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Departure" sheetId="1" state="visible" r:id="rId3"/>
    <sheet name="Parameters" sheetId="2" state="visible" r:id="rId4"/>
    <sheet name="TwoPlayers" sheetId="3" state="visible" r:id="rId5"/>
    <sheet name="Master" sheetId="4" state="visible" r:id="rId6"/>
    <sheet name="SortA" sheetId="5" state="visible" r:id="rId7"/>
    <sheet name="SortB" sheetId="6" state="visible" r:id="rId8"/>
    <sheet name="SortC" sheetId="7" state="visible" r:id="rId9"/>
  </sheets>
  <definedNames>
    <definedName function="false" hidden="false" name="Delay" vbProcedure="false">Parameters!$B$4</definedName>
    <definedName function="false" hidden="false" name="E" vbProcedure="false">Parameters!$B$2</definedName>
    <definedName function="false" hidden="false" name="Early" vbProcedure="false">Parameters!$B$2</definedName>
    <definedName function="false" hidden="false" name="L" vbProcedure="false">Parameters!$B$5</definedName>
    <definedName function="false" hidden="false" name="Late" vbProcedure="false">Parameters!$B$5</definedName>
    <definedName function="false" hidden="false" name="O" vbProcedure="false">Parameters!$B$3</definedName>
    <definedName function="false" hidden="false" name="Ontime" vbProcedure="false">Parameters!$B$3</definedName>
    <definedName function="false" hidden="false" name="V" vbProcedure="false">Parameters!$B$1</definedName>
    <definedName function="false" hidden="false" name="VeryEarly" vbProcedure="false">Parameters!$B$1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<sst xmlns="http://schemas.openxmlformats.org/spreadsheetml/2006/main" count="1336" uniqueCount="189">
  <si>
    <t xml:space="preserve">Player B</t>
  </si>
  <si>
    <t xml:space="preserve">V</t>
  </si>
  <si>
    <t xml:space="preserve">E</t>
  </si>
  <si>
    <t xml:space="preserve">O</t>
  </si>
  <si>
    <t xml:space="preserve">L</t>
  </si>
  <si>
    <t xml:space="preserve">Player C</t>
  </si>
  <si>
    <t xml:space="preserve">Player A</t>
  </si>
  <si>
    <t xml:space="preserve">P(V)</t>
  </si>
  <si>
    <t xml:space="preserve">P(E)</t>
  </si>
  <si>
    <t xml:space="preserve">P(O)</t>
  </si>
  <si>
    <t xml:space="preserve">P(L)</t>
  </si>
  <si>
    <t xml:space="preserve">P(_R)</t>
  </si>
  <si>
    <t xml:space="preserve">P(S)</t>
  </si>
  <si>
    <t xml:space="preserve">VeryEarly</t>
  </si>
  <si>
    <t xml:space="preserve">Number of Nash Equilibria (Unpriced)</t>
  </si>
  <si>
    <t xml:space="preserve">E,D,L</t>
  </si>
  <si>
    <t xml:space="preserve">Solutions</t>
  </si>
  <si>
    <t xml:space="preserve">Number of Nash Equilibria (Priced)</t>
  </si>
  <si>
    <t xml:space="preserve">LowestTC</t>
  </si>
  <si>
    <t xml:space="preserve">Early</t>
  </si>
  <si>
    <t xml:space="preserve">0,0,0</t>
  </si>
  <si>
    <t xml:space="preserve">all</t>
  </si>
  <si>
    <t xml:space="preserve">Ontime</t>
  </si>
  <si>
    <t xml:space="preserve">Number of Nash Equilibria (MC priced)</t>
  </si>
  <si>
    <t xml:space="preserve">0,1,0</t>
  </si>
  <si>
    <t xml:space="preserve">VEO …, VEL …, VOL …, EOL … ,</t>
  </si>
  <si>
    <t xml:space="preserve">Delay</t>
  </si>
  <si>
    <t xml:space="preserve">0,0,1</t>
  </si>
  <si>
    <t xml:space="preserve">VVV, VVO …, VEE … , VEO, …</t>
  </si>
  <si>
    <t xml:space="preserve">Late</t>
  </si>
  <si>
    <t xml:space="preserve">Minimum TC</t>
  </si>
  <si>
    <t xml:space="preserve">0,1,1</t>
  </si>
  <si>
    <t xml:space="preserve">VEO, …</t>
  </si>
  <si>
    <t xml:space="preserve">1,0,0</t>
  </si>
  <si>
    <t xml:space="preserve">OOO,LLL,OLL, …, OOL …</t>
  </si>
  <si>
    <t xml:space="preserve">OOO,LLL,LLO, …, OOL …</t>
  </si>
  <si>
    <t xml:space="preserve">V=Very Early</t>
  </si>
  <si>
    <t xml:space="preserve">1,1,0</t>
  </si>
  <si>
    <t xml:space="preserve">OOO, OOL …, OLL, …</t>
  </si>
  <si>
    <t xml:space="preserve">LLO, …</t>
  </si>
  <si>
    <t xml:space="preserve">(others at 1 not Nash)</t>
  </si>
  <si>
    <t xml:space="preserve">E - Early</t>
  </si>
  <si>
    <t xml:space="preserve">1,0,1</t>
  </si>
  <si>
    <t xml:space="preserve">OOO,  EEE, …  EOO, …</t>
  </si>
  <si>
    <t xml:space="preserve">EEE, EEO, …</t>
  </si>
  <si>
    <t xml:space="preserve">O = Ontime</t>
  </si>
  <si>
    <t xml:space="preserve">1,1,1</t>
  </si>
  <si>
    <t xml:space="preserve">EOL, … , EOO, …</t>
  </si>
  <si>
    <t xml:space="preserve">EOL, …</t>
  </si>
  <si>
    <t xml:space="preserve">L=Late</t>
  </si>
  <si>
    <t xml:space="preserve">3,1,4</t>
  </si>
  <si>
    <t xml:space="preserve">EEE</t>
  </si>
  <si>
    <t xml:space="preserve">EOO, …</t>
  </si>
  <si>
    <t xml:space="preserve">R=Really Late</t>
  </si>
  <si>
    <t xml:space="preserve">4,0,3</t>
  </si>
  <si>
    <t xml:space="preserve">OOO, EEE</t>
  </si>
  <si>
    <t xml:space="preserve">EEE, EOO</t>
  </si>
  <si>
    <t xml:space="preserve">S=Super Late</t>
  </si>
  <si>
    <t xml:space="preserve">4,1,3</t>
  </si>
  <si>
    <t xml:space="preserve">OOO, EOO, ...</t>
  </si>
  <si>
    <t xml:space="preserve">EOL, …, EOO</t>
  </si>
  <si>
    <t xml:space="preserve">3,0,4</t>
  </si>
  <si>
    <t xml:space="preserve">Tree</t>
  </si>
  <si>
    <t xml:space="preserve">Arrival Pattern</t>
  </si>
  <si>
    <t xml:space="preserve">Departure Pattern</t>
  </si>
  <si>
    <t xml:space="preserve">VEO</t>
  </si>
  <si>
    <t xml:space="preserve">VEL</t>
  </si>
  <si>
    <t xml:space="preserve">VOL</t>
  </si>
  <si>
    <t xml:space="preserve">VLR</t>
  </si>
  <si>
    <t xml:space="preserve">EOL</t>
  </si>
  <si>
    <t xml:space="preserve">ELR</t>
  </si>
  <si>
    <t xml:space="preserve">OLR</t>
  </si>
  <si>
    <t xml:space="preserve">LRS</t>
  </si>
  <si>
    <t xml:space="preserve">VVV</t>
  </si>
  <si>
    <t xml:space="preserve">VVE</t>
  </si>
  <si>
    <t xml:space="preserve">VVO</t>
  </si>
  <si>
    <t xml:space="preserve">VVL</t>
  </si>
  <si>
    <t xml:space="preserve">VEV</t>
  </si>
  <si>
    <t xml:space="preserve">VEE</t>
  </si>
  <si>
    <t xml:space="preserve">VOV</t>
  </si>
  <si>
    <t xml:space="preserve">VOE</t>
  </si>
  <si>
    <t xml:space="preserve">VOO</t>
  </si>
  <si>
    <t xml:space="preserve">VLV</t>
  </si>
  <si>
    <t xml:space="preserve">VLE</t>
  </si>
  <si>
    <t xml:space="preserve">VLO</t>
  </si>
  <si>
    <t xml:space="preserve">VLL</t>
  </si>
  <si>
    <t xml:space="preserve">EVV</t>
  </si>
  <si>
    <t xml:space="preserve">EVE</t>
  </si>
  <si>
    <t xml:space="preserve">EVO</t>
  </si>
  <si>
    <t xml:space="preserve">EVL</t>
  </si>
  <si>
    <t xml:space="preserve">EEV</t>
  </si>
  <si>
    <t xml:space="preserve">EEO</t>
  </si>
  <si>
    <t xml:space="preserve">EEL</t>
  </si>
  <si>
    <t xml:space="preserve">EOV</t>
  </si>
  <si>
    <t xml:space="preserve">EOE</t>
  </si>
  <si>
    <t xml:space="preserve">EOO</t>
  </si>
  <si>
    <t xml:space="preserve">ELV</t>
  </si>
  <si>
    <t xml:space="preserve">ELE</t>
  </si>
  <si>
    <t xml:space="preserve">ELO</t>
  </si>
  <si>
    <t xml:space="preserve">ELL</t>
  </si>
  <si>
    <t xml:space="preserve">OVV</t>
  </si>
  <si>
    <t xml:space="preserve">OVE</t>
  </si>
  <si>
    <t xml:space="preserve">OVO</t>
  </si>
  <si>
    <t xml:space="preserve">OVL</t>
  </si>
  <si>
    <t xml:space="preserve">OEV</t>
  </si>
  <si>
    <t xml:space="preserve">OEE</t>
  </si>
  <si>
    <t xml:space="preserve">OEO</t>
  </si>
  <si>
    <t xml:space="preserve">OEL</t>
  </si>
  <si>
    <t xml:space="preserve">OOV</t>
  </si>
  <si>
    <t xml:space="preserve">OOE</t>
  </si>
  <si>
    <t xml:space="preserve">OOO</t>
  </si>
  <si>
    <t xml:space="preserve">OOL</t>
  </si>
  <si>
    <t xml:space="preserve">OLV</t>
  </si>
  <si>
    <t xml:space="preserve">OLE</t>
  </si>
  <si>
    <t xml:space="preserve">OLO</t>
  </si>
  <si>
    <t xml:space="preserve">OLL</t>
  </si>
  <si>
    <t xml:space="preserve">LVV</t>
  </si>
  <si>
    <t xml:space="preserve">LVE</t>
  </si>
  <si>
    <t xml:space="preserve">LVO</t>
  </si>
  <si>
    <t xml:space="preserve">LVL</t>
  </si>
  <si>
    <t xml:space="preserve">LEV</t>
  </si>
  <si>
    <t xml:space="preserve">LEE</t>
  </si>
  <si>
    <t xml:space="preserve">LEO</t>
  </si>
  <si>
    <t xml:space="preserve">LEL</t>
  </si>
  <si>
    <t xml:space="preserve">LOV</t>
  </si>
  <si>
    <t xml:space="preserve">LOE</t>
  </si>
  <si>
    <t xml:space="preserve">LOO</t>
  </si>
  <si>
    <t xml:space="preserve">LOL</t>
  </si>
  <si>
    <t xml:space="preserve">LLV</t>
  </si>
  <si>
    <t xml:space="preserve">LLE</t>
  </si>
  <si>
    <t xml:space="preserve">LLO</t>
  </si>
  <si>
    <t xml:space="preserve">LLL</t>
  </si>
  <si>
    <t xml:space="preserve">Vehicle A</t>
  </si>
  <si>
    <t xml:space="preserve">Vehicle B</t>
  </si>
  <si>
    <t xml:space="preserve">AV</t>
  </si>
  <si>
    <t xml:space="preserve">AE</t>
  </si>
  <si>
    <t xml:space="preserve">AO</t>
  </si>
  <si>
    <t xml:space="preserve">AL</t>
  </si>
  <si>
    <t xml:space="preserve">BV</t>
  </si>
  <si>
    <t xml:space="preserve">BE</t>
  </si>
  <si>
    <t xml:space="preserve">BO</t>
  </si>
  <si>
    <t xml:space="preserve">BL</t>
  </si>
  <si>
    <t xml:space="preserve">QLV</t>
  </si>
  <si>
    <t xml:space="preserve">QLE</t>
  </si>
  <si>
    <t xml:space="preserve">QLO</t>
  </si>
  <si>
    <t xml:space="preserve">QLL</t>
  </si>
  <si>
    <t xml:space="preserve">E(Delay A)</t>
  </si>
  <si>
    <t xml:space="preserve">E(Delay B)</t>
  </si>
  <si>
    <t xml:space="preserve">E(ArrivalTimeA)</t>
  </si>
  <si>
    <t xml:space="preserve">E(ArrivalTimeB)</t>
  </si>
  <si>
    <t xml:space="preserve">ArrA1</t>
  </si>
  <si>
    <t xml:space="preserve">ArrA2</t>
  </si>
  <si>
    <t xml:space="preserve">ArrA3</t>
  </si>
  <si>
    <t xml:space="preserve">ArrB1</t>
  </si>
  <si>
    <t xml:space="preserve">ArrB2</t>
  </si>
  <si>
    <t xml:space="preserve">ArrB3</t>
  </si>
  <si>
    <t xml:space="preserve">E(SD A)</t>
  </si>
  <si>
    <t xml:space="preserve">E(SD B)</t>
  </si>
  <si>
    <t xml:space="preserve">Price A</t>
  </si>
  <si>
    <t xml:space="preserve">Price B</t>
  </si>
  <si>
    <t xml:space="preserve">PATTERN</t>
  </si>
  <si>
    <t xml:space="preserve">TC</t>
  </si>
  <si>
    <t xml:space="preserve">Game ID</t>
  </si>
  <si>
    <t xml:space="preserve">Vehicle C</t>
  </si>
  <si>
    <t xml:space="preserve">CV</t>
  </si>
  <si>
    <t xml:space="preserve">CE</t>
  </si>
  <si>
    <t xml:space="preserve">CO</t>
  </si>
  <si>
    <t xml:space="preserve">CL</t>
  </si>
  <si>
    <t xml:space="preserve">E(Delay C)</t>
  </si>
  <si>
    <t xml:space="preserve">E(ArrivalTimeC)</t>
  </si>
  <si>
    <t xml:space="preserve">ArrC1</t>
  </si>
  <si>
    <t xml:space="preserve">ArrC2</t>
  </si>
  <si>
    <t xml:space="preserve">ArrC3</t>
  </si>
  <si>
    <t xml:space="preserve">E(SD C)</t>
  </si>
  <si>
    <t xml:space="preserve">Price C</t>
  </si>
  <si>
    <t xml:space="preserve">Nash A</t>
  </si>
  <si>
    <t xml:space="preserve">Nash B</t>
  </si>
  <si>
    <t xml:space="preserve">Nash C</t>
  </si>
  <si>
    <t xml:space="preserve">Equilibrium</t>
  </si>
  <si>
    <t xml:space="preserve">ARRIVAL</t>
  </si>
  <si>
    <t xml:space="preserve">No(A)</t>
  </si>
  <si>
    <t xml:space="preserve">No(B)</t>
  </si>
  <si>
    <t xml:space="preserve">NO©</t>
  </si>
  <si>
    <t xml:space="preserve">2-Player(NoA)</t>
  </si>
  <si>
    <t xml:space="preserve">2-Player(NoB)</t>
  </si>
  <si>
    <t xml:space="preserve">2-Player(NoC)</t>
  </si>
  <si>
    <t xml:space="preserve">MC(A)</t>
  </si>
  <si>
    <t xml:space="preserve">MC(B)</t>
  </si>
  <si>
    <t xml:space="preserve">MC©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</si>
</sst>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Verdan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Verdana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7" min="2" style="0" width="5.7"/>
  </cols>
  <sheetData>
    <row r="3" customFormat="false" ht="13" hidden="false" customHeight="false" outlineLevel="0" collapsed="false">
      <c r="A3" s="0" t="s">
        <v>0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2</v>
      </c>
      <c r="I3" s="0" t="s">
        <v>2</v>
      </c>
      <c r="J3" s="0" t="s">
        <v>2</v>
      </c>
      <c r="K3" s="0" t="s">
        <v>3</v>
      </c>
      <c r="L3" s="0" t="s">
        <v>3</v>
      </c>
      <c r="M3" s="0" t="s">
        <v>4</v>
      </c>
    </row>
    <row r="4" customFormat="false" ht="13" hidden="false" customHeight="false" outlineLevel="0" collapsed="false">
      <c r="A4" s="0" t="s">
        <v>5</v>
      </c>
      <c r="D4" s="0" t="s">
        <v>1</v>
      </c>
      <c r="E4" s="0" t="s">
        <v>2</v>
      </c>
      <c r="F4" s="0" t="s">
        <v>3</v>
      </c>
      <c r="G4" s="0" t="s">
        <v>4</v>
      </c>
      <c r="H4" s="0" t="s">
        <v>2</v>
      </c>
      <c r="I4" s="0" t="s">
        <v>3</v>
      </c>
      <c r="J4" s="0" t="s">
        <v>4</v>
      </c>
      <c r="K4" s="0" t="s">
        <v>3</v>
      </c>
      <c r="L4" s="0" t="s">
        <v>4</v>
      </c>
      <c r="M4" s="0" t="s">
        <v>4</v>
      </c>
    </row>
    <row r="5" customFormat="false" ht="13" hidden="false" customHeight="false" outlineLevel="0" collapsed="false">
      <c r="A5" s="0" t="s">
        <v>6</v>
      </c>
      <c r="B5" s="0" t="s">
        <v>1</v>
      </c>
      <c r="C5" s="0" t="s">
        <v>7</v>
      </c>
      <c r="D5" s="0" t="n">
        <v>0.33</v>
      </c>
      <c r="E5" s="0" t="n">
        <v>0.5</v>
      </c>
      <c r="F5" s="0" t="n">
        <v>0.5</v>
      </c>
      <c r="G5" s="0" t="n">
        <v>0.5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</row>
    <row r="6" customFormat="false" ht="13" hidden="false" customHeight="false" outlineLevel="0" collapsed="false">
      <c r="C6" s="0" t="s">
        <v>8</v>
      </c>
      <c r="D6" s="0" t="n">
        <v>0.33</v>
      </c>
      <c r="E6" s="0" t="n">
        <v>0.5</v>
      </c>
      <c r="F6" s="0" t="n">
        <v>0.5</v>
      </c>
      <c r="G6" s="0" t="n">
        <v>0.5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3" hidden="false" customHeight="false" outlineLevel="0" collapsed="false">
      <c r="C7" s="0" t="s">
        <v>9</v>
      </c>
      <c r="D7" s="0" t="n">
        <v>0.33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3" hidden="false" customHeight="false" outlineLevel="0" collapsed="false">
      <c r="C8" s="0" t="s">
        <v>10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3" hidden="false" customHeight="false" outlineLevel="0" collapsed="false">
      <c r="C9" s="0" t="s">
        <v>11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3" hidden="false" customHeight="false" outlineLevel="0" collapsed="false">
      <c r="C10" s="0" t="s">
        <v>12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3" hidden="false" customHeight="false" outlineLevel="0" collapsed="false">
      <c r="B11" s="0" t="s">
        <v>2</v>
      </c>
      <c r="C11" s="0" t="s">
        <v>7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3" hidden="false" customHeight="false" outlineLevel="0" collapsed="false">
      <c r="C12" s="0" t="s">
        <v>8</v>
      </c>
      <c r="D12" s="0" t="n">
        <v>0</v>
      </c>
      <c r="E12" s="0" t="n">
        <v>0.5</v>
      </c>
      <c r="F12" s="0" t="n">
        <v>1</v>
      </c>
      <c r="G12" s="0" t="n">
        <v>1</v>
      </c>
      <c r="H12" s="0" t="n">
        <v>0.33</v>
      </c>
      <c r="I12" s="0" t="n">
        <v>0.5</v>
      </c>
      <c r="J12" s="0" t="n">
        <v>0.5</v>
      </c>
      <c r="K12" s="0" t="n">
        <v>1</v>
      </c>
      <c r="L12" s="0" t="n">
        <v>1</v>
      </c>
      <c r="M12" s="0" t="n">
        <v>1</v>
      </c>
    </row>
    <row r="13" customFormat="false" ht="13" hidden="false" customHeight="false" outlineLevel="0" collapsed="false">
      <c r="C13" s="0" t="s">
        <v>9</v>
      </c>
      <c r="D13" s="0" t="n">
        <v>1</v>
      </c>
      <c r="E13" s="0" t="n">
        <v>0.5</v>
      </c>
      <c r="F13" s="0" t="n">
        <v>0</v>
      </c>
      <c r="G13" s="0" t="n">
        <v>0</v>
      </c>
      <c r="H13" s="0" t="n">
        <v>0.33</v>
      </c>
      <c r="I13" s="0" t="n">
        <v>0.5</v>
      </c>
      <c r="J13" s="0" t="n">
        <v>0.5</v>
      </c>
      <c r="K13" s="0" t="n">
        <v>0</v>
      </c>
      <c r="L13" s="0" t="n">
        <v>0</v>
      </c>
      <c r="M13" s="0" t="n">
        <v>0</v>
      </c>
    </row>
    <row r="14" customFormat="false" ht="13" hidden="false" customHeight="false" outlineLevel="0" collapsed="false">
      <c r="C14" s="0" t="s">
        <v>10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0.33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3" hidden="false" customHeight="false" outlineLevel="0" collapsed="false">
      <c r="C15" s="0" t="s">
        <v>11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3" hidden="false" customHeight="false" outlineLevel="0" collapsed="false">
      <c r="C16" s="0" t="s">
        <v>12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3" hidden="false" customHeight="false" outlineLevel="0" collapsed="false">
      <c r="B17" s="0" t="s">
        <v>3</v>
      </c>
      <c r="C17" s="0" t="s">
        <v>7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3" hidden="false" customHeight="false" outlineLevel="0" collapsed="false">
      <c r="C18" s="0" t="s">
        <v>8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3" hidden="false" customHeight="false" outlineLevel="0" collapsed="false">
      <c r="C19" s="0" t="s">
        <v>9</v>
      </c>
      <c r="D19" s="0" t="n">
        <v>1</v>
      </c>
      <c r="E19" s="0" t="n">
        <v>1</v>
      </c>
      <c r="F19" s="0" t="n">
        <v>0.5</v>
      </c>
      <c r="G19" s="0" t="n">
        <v>1</v>
      </c>
      <c r="H19" s="0" t="n">
        <v>0</v>
      </c>
      <c r="I19" s="0" t="n">
        <v>0.5</v>
      </c>
      <c r="J19" s="0" t="n">
        <v>1</v>
      </c>
      <c r="K19" s="0" t="n">
        <v>0.33</v>
      </c>
      <c r="L19" s="0" t="n">
        <v>0.5</v>
      </c>
      <c r="M19" s="0" t="n">
        <v>1</v>
      </c>
    </row>
    <row r="20" customFormat="false" ht="13" hidden="false" customHeight="false" outlineLevel="0" collapsed="false">
      <c r="C20" s="0" t="s">
        <v>10</v>
      </c>
      <c r="D20" s="0" t="n">
        <v>0</v>
      </c>
      <c r="E20" s="0" t="n">
        <v>0</v>
      </c>
      <c r="F20" s="0" t="n">
        <v>0.5</v>
      </c>
      <c r="G20" s="0" t="n">
        <v>0</v>
      </c>
      <c r="H20" s="0" t="n">
        <v>1</v>
      </c>
      <c r="I20" s="0" t="n">
        <v>0.5</v>
      </c>
      <c r="J20" s="0" t="n">
        <v>0</v>
      </c>
      <c r="K20" s="0" t="n">
        <v>0.33</v>
      </c>
      <c r="L20" s="0" t="n">
        <v>0.5</v>
      </c>
      <c r="M20" s="0" t="n">
        <v>0</v>
      </c>
    </row>
    <row r="21" customFormat="false" ht="13" hidden="false" customHeight="false" outlineLevel="0" collapsed="false">
      <c r="C21" s="0" t="s">
        <v>11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0.33</v>
      </c>
      <c r="L21" s="0" t="n">
        <v>0</v>
      </c>
      <c r="M21" s="0" t="n">
        <v>0</v>
      </c>
    </row>
    <row r="22" customFormat="false" ht="13" hidden="false" customHeight="false" outlineLevel="0" collapsed="false">
      <c r="C22" s="0" t="s">
        <v>12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3" hidden="false" customHeight="false" outlineLevel="0" collapsed="false">
      <c r="B23" s="0" t="s">
        <v>4</v>
      </c>
      <c r="C23" s="0" t="s">
        <v>7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3" hidden="false" customHeight="false" outlineLevel="0" collapsed="false">
      <c r="C24" s="0" t="s">
        <v>8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3" hidden="false" customHeight="false" outlineLevel="0" collapsed="false">
      <c r="C25" s="0" t="s">
        <v>9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3" hidden="false" customHeight="false" outlineLevel="0" collapsed="false">
      <c r="C26" s="0" t="s">
        <v>10</v>
      </c>
      <c r="D26" s="0" t="n">
        <v>1</v>
      </c>
      <c r="E26" s="0" t="n">
        <v>1</v>
      </c>
      <c r="F26" s="0" t="n">
        <v>1</v>
      </c>
      <c r="G26" s="0" t="n">
        <v>0.5</v>
      </c>
      <c r="H26" s="0" t="n">
        <v>1</v>
      </c>
      <c r="I26" s="0" t="n">
        <v>1</v>
      </c>
      <c r="J26" s="0" t="n">
        <v>0.5</v>
      </c>
      <c r="K26" s="0" t="n">
        <v>0</v>
      </c>
      <c r="L26" s="0" t="n">
        <v>0.5</v>
      </c>
      <c r="M26" s="0" t="n">
        <v>0.33</v>
      </c>
    </row>
    <row r="27" customFormat="false" ht="13" hidden="false" customHeight="false" outlineLevel="0" collapsed="false">
      <c r="C27" s="0" t="s">
        <v>11</v>
      </c>
      <c r="D27" s="0" t="n">
        <v>0</v>
      </c>
      <c r="E27" s="0" t="n">
        <v>0</v>
      </c>
      <c r="F27" s="0" t="n">
        <v>0</v>
      </c>
      <c r="G27" s="0" t="n">
        <v>0.5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0.5</v>
      </c>
      <c r="M27" s="0" t="n">
        <v>0.33</v>
      </c>
    </row>
    <row r="28" customFormat="false" ht="13" hidden="false" customHeight="false" outlineLevel="0" collapsed="false">
      <c r="C28" s="0" t="s">
        <v>12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7" min="7" style="0" width="27.99"/>
    <col collapsed="false" customWidth="true" hidden="false" outlineLevel="0" max="9" min="9" style="0" width="27.7"/>
  </cols>
  <sheetData>
    <row r="1" customFormat="false" ht="13" hidden="false" customHeight="false" outlineLevel="0" collapsed="false">
      <c r="A1" s="0" t="s">
        <v>13</v>
      </c>
      <c r="B1" s="0" t="n">
        <v>3</v>
      </c>
      <c r="D1" s="0" t="s">
        <v>14</v>
      </c>
      <c r="E1" s="0" t="s">
        <v>15</v>
      </c>
      <c r="F1" s="0" t="s">
        <v>14</v>
      </c>
      <c r="G1" s="0" t="s">
        <v>16</v>
      </c>
      <c r="H1" s="0" t="s">
        <v>17</v>
      </c>
      <c r="I1" s="0" t="s">
        <v>16</v>
      </c>
      <c r="J1" s="0" t="s">
        <v>18</v>
      </c>
    </row>
    <row r="2" customFormat="false" ht="13" hidden="false" customHeight="false" outlineLevel="0" collapsed="false">
      <c r="A2" s="0" t="s">
        <v>19</v>
      </c>
      <c r="B2" s="0" t="n">
        <v>3</v>
      </c>
      <c r="D2" s="0" t="n">
        <f aca="false">Master!AW67</f>
        <v>1</v>
      </c>
      <c r="E2" s="0" t="s">
        <v>20</v>
      </c>
      <c r="F2" s="0" t="n">
        <v>64</v>
      </c>
      <c r="G2" s="0" t="s">
        <v>21</v>
      </c>
      <c r="H2" s="0" t="n">
        <v>64</v>
      </c>
      <c r="I2" s="0" t="s">
        <v>21</v>
      </c>
      <c r="J2" s="0" t="n">
        <v>0</v>
      </c>
    </row>
    <row r="3" customFormat="false" ht="13" hidden="false" customHeight="false" outlineLevel="0" collapsed="false">
      <c r="A3" s="0" t="s">
        <v>22</v>
      </c>
      <c r="B3" s="0" t="n">
        <v>0</v>
      </c>
      <c r="D3" s="0" t="s">
        <v>23</v>
      </c>
      <c r="E3" s="0" t="s">
        <v>24</v>
      </c>
      <c r="F3" s="0" t="n">
        <v>24</v>
      </c>
      <c r="G3" s="0" t="s">
        <v>25</v>
      </c>
      <c r="H3" s="0" t="n">
        <v>24</v>
      </c>
      <c r="I3" s="0" t="s">
        <v>25</v>
      </c>
      <c r="J3" s="0" t="n">
        <v>0</v>
      </c>
    </row>
    <row r="4" customFormat="false" ht="13" hidden="false" customHeight="false" outlineLevel="0" collapsed="false">
      <c r="A4" s="0" t="s">
        <v>26</v>
      </c>
      <c r="B4" s="0" t="n">
        <v>1</v>
      </c>
      <c r="D4" s="0" t="n">
        <f aca="false">Master!BM67</f>
        <v>3</v>
      </c>
      <c r="E4" s="0" t="s">
        <v>27</v>
      </c>
      <c r="F4" s="0" t="n">
        <v>13</v>
      </c>
      <c r="G4" s="0" t="s">
        <v>28</v>
      </c>
      <c r="H4" s="0" t="n">
        <v>13</v>
      </c>
      <c r="I4" s="0" t="s">
        <v>28</v>
      </c>
      <c r="J4" s="0" t="n">
        <v>0</v>
      </c>
    </row>
    <row r="5" customFormat="false" ht="13" hidden="false" customHeight="false" outlineLevel="0" collapsed="false">
      <c r="A5" s="0" t="s">
        <v>29</v>
      </c>
      <c r="B5" s="0" t="n">
        <v>4</v>
      </c>
      <c r="D5" s="0" t="s">
        <v>30</v>
      </c>
      <c r="E5" s="0" t="s">
        <v>31</v>
      </c>
      <c r="F5" s="0" t="n">
        <v>6</v>
      </c>
      <c r="G5" s="0" t="s">
        <v>32</v>
      </c>
      <c r="H5" s="0" t="n">
        <v>6</v>
      </c>
      <c r="I5" s="0" t="s">
        <v>32</v>
      </c>
      <c r="J5" s="0" t="n">
        <v>0</v>
      </c>
    </row>
    <row r="6" customFormat="false" ht="13" hidden="false" customHeight="false" outlineLevel="0" collapsed="false">
      <c r="D6" s="0" t="n">
        <f aca="false">Master!AY67</f>
        <v>7</v>
      </c>
      <c r="E6" s="0" t="s">
        <v>33</v>
      </c>
      <c r="F6" s="0" t="n">
        <v>8</v>
      </c>
      <c r="G6" s="0" t="s">
        <v>34</v>
      </c>
      <c r="H6" s="0" t="n">
        <v>8</v>
      </c>
      <c r="I6" s="0" t="s">
        <v>35</v>
      </c>
      <c r="J6" s="0" t="n">
        <v>0</v>
      </c>
    </row>
    <row r="7" customFormat="false" ht="13" hidden="false" customHeight="false" outlineLevel="0" collapsed="false">
      <c r="A7" s="0" t="s">
        <v>36</v>
      </c>
      <c r="E7" s="0" t="s">
        <v>37</v>
      </c>
      <c r="F7" s="0" t="n">
        <v>7</v>
      </c>
      <c r="G7" s="0" t="s">
        <v>38</v>
      </c>
      <c r="H7" s="0" t="n">
        <v>3</v>
      </c>
      <c r="I7" s="0" t="s">
        <v>39</v>
      </c>
      <c r="J7" s="0" t="n">
        <v>1</v>
      </c>
      <c r="K7" s="0" t="s">
        <v>40</v>
      </c>
    </row>
    <row r="8" customFormat="false" ht="13" hidden="false" customHeight="false" outlineLevel="0" collapsed="false">
      <c r="A8" s="0" t="s">
        <v>41</v>
      </c>
      <c r="E8" s="0" t="s">
        <v>42</v>
      </c>
      <c r="F8" s="0" t="n">
        <v>5</v>
      </c>
      <c r="G8" s="0" t="s">
        <v>43</v>
      </c>
      <c r="H8" s="0" t="n">
        <v>4</v>
      </c>
      <c r="I8" s="0" t="s">
        <v>44</v>
      </c>
      <c r="J8" s="0" t="n">
        <v>2</v>
      </c>
    </row>
    <row r="9" customFormat="false" ht="13" hidden="false" customHeight="false" outlineLevel="0" collapsed="false">
      <c r="A9" s="0" t="s">
        <v>45</v>
      </c>
      <c r="E9" s="0" t="s">
        <v>46</v>
      </c>
      <c r="F9" s="0" t="n">
        <v>9</v>
      </c>
      <c r="G9" s="0" t="s">
        <v>47</v>
      </c>
      <c r="H9" s="0" t="n">
        <v>6</v>
      </c>
      <c r="I9" s="0" t="s">
        <v>48</v>
      </c>
      <c r="J9" s="0" t="n">
        <v>2</v>
      </c>
    </row>
    <row r="10" customFormat="false" ht="13" hidden="false" customHeight="false" outlineLevel="0" collapsed="false">
      <c r="A10" s="0" t="s">
        <v>49</v>
      </c>
      <c r="E10" s="0" t="s">
        <v>50</v>
      </c>
      <c r="F10" s="0" t="n">
        <v>1</v>
      </c>
      <c r="G10" s="0" t="s">
        <v>51</v>
      </c>
      <c r="H10" s="0" t="n">
        <v>3</v>
      </c>
      <c r="I10" s="0" t="s">
        <v>52</v>
      </c>
      <c r="J10" s="0" t="n">
        <v>7</v>
      </c>
    </row>
    <row r="11" customFormat="false" ht="13" hidden="false" customHeight="false" outlineLevel="0" collapsed="false">
      <c r="A11" s="0" t="s">
        <v>53</v>
      </c>
      <c r="E11" s="0" t="s">
        <v>54</v>
      </c>
      <c r="F11" s="0" t="n">
        <v>2</v>
      </c>
      <c r="G11" s="0" t="s">
        <v>55</v>
      </c>
      <c r="H11" s="0" t="n">
        <v>4</v>
      </c>
      <c r="I11" s="0" t="s">
        <v>56</v>
      </c>
      <c r="J11" s="0" t="n">
        <v>7</v>
      </c>
    </row>
    <row r="12" customFormat="false" ht="13" hidden="false" customHeight="false" outlineLevel="0" collapsed="false">
      <c r="A12" s="0" t="s">
        <v>57</v>
      </c>
      <c r="E12" s="0" t="s">
        <v>58</v>
      </c>
      <c r="F12" s="0" t="n">
        <v>4</v>
      </c>
      <c r="G12" s="0" t="s">
        <v>59</v>
      </c>
      <c r="H12" s="0" t="n">
        <v>9</v>
      </c>
      <c r="I12" s="0" t="s">
        <v>60</v>
      </c>
      <c r="J12" s="0" t="n">
        <v>7</v>
      </c>
    </row>
    <row r="13" customFormat="false" ht="13" hidden="false" customHeight="false" outlineLevel="0" collapsed="false">
      <c r="E13" s="0" t="s">
        <v>61</v>
      </c>
      <c r="F13" s="0" t="n">
        <v>1</v>
      </c>
      <c r="G13" s="0" t="s">
        <v>51</v>
      </c>
      <c r="H13" s="0" t="n">
        <v>1</v>
      </c>
      <c r="I13" s="0" t="s">
        <v>51</v>
      </c>
      <c r="J13" s="0" t="n">
        <v>7</v>
      </c>
    </row>
    <row r="16" customFormat="false" ht="13" hidden="false" customHeight="false" outlineLevel="0" collapsed="false">
      <c r="A16" s="0" t="s">
        <v>62</v>
      </c>
    </row>
    <row r="17" customFormat="false" ht="13" hidden="false" customHeight="false" outlineLevel="0" collapsed="false">
      <c r="A17" s="0" t="s">
        <v>63</v>
      </c>
      <c r="B17" s="0" t="s">
        <v>64</v>
      </c>
      <c r="C17" s="0" t="s">
        <v>65</v>
      </c>
      <c r="D17" s="0" t="s">
        <v>66</v>
      </c>
      <c r="E17" s="0" t="s">
        <v>67</v>
      </c>
      <c r="F17" s="0" t="s">
        <v>68</v>
      </c>
      <c r="G17" s="0" t="s">
        <v>69</v>
      </c>
      <c r="H17" s="0" t="s">
        <v>70</v>
      </c>
      <c r="I17" s="0" t="s">
        <v>71</v>
      </c>
      <c r="J17" s="0" t="s">
        <v>72</v>
      </c>
      <c r="L17" s="0" t="s">
        <v>65</v>
      </c>
    </row>
    <row r="18" customFormat="false" ht="13" hidden="false" customHeight="false" outlineLevel="0" collapsed="false">
      <c r="A18" s="1" t="s">
        <v>73</v>
      </c>
      <c r="B18" s="0" t="s">
        <v>65</v>
      </c>
      <c r="C18" s="0" t="n">
        <f aca="false">IF($B18=C$17,1,0)</f>
        <v>1</v>
      </c>
      <c r="D18" s="0" t="n">
        <f aca="false">IF($B18=D$17,1,0)</f>
        <v>0</v>
      </c>
      <c r="E18" s="0" t="n">
        <f aca="false">IF($B18=E$17,1,0)</f>
        <v>0</v>
      </c>
      <c r="F18" s="0" t="n">
        <f aca="false">IF($B18=F$17,1,0)</f>
        <v>0</v>
      </c>
      <c r="G18" s="0" t="n">
        <f aca="false">IF($B18=G$17,1,0)</f>
        <v>0</v>
      </c>
      <c r="H18" s="0" t="n">
        <f aca="false">IF($B18=H$17,1,0)</f>
        <v>0</v>
      </c>
      <c r="I18" s="0" t="n">
        <f aca="false">IF($B18=I$17,1,0)</f>
        <v>0</v>
      </c>
      <c r="J18" s="0" t="n">
        <f aca="false">IF($B18=J$17,1,0)</f>
        <v>0</v>
      </c>
      <c r="L18" s="0" t="s">
        <v>66</v>
      </c>
    </row>
    <row r="19" customFormat="false" ht="13" hidden="false" customHeight="false" outlineLevel="0" collapsed="false">
      <c r="A19" s="0" t="s">
        <v>74</v>
      </c>
      <c r="B19" s="0" t="s">
        <v>65</v>
      </c>
      <c r="C19" s="0" t="n">
        <f aca="false">IF($B19=C$17,1,0)</f>
        <v>1</v>
      </c>
      <c r="D19" s="0" t="n">
        <f aca="false">IF($B19=D$17,1,0)</f>
        <v>0</v>
      </c>
      <c r="E19" s="0" t="n">
        <f aca="false">IF($B19=E$17,1,0)</f>
        <v>0</v>
      </c>
      <c r="F19" s="0" t="n">
        <f aca="false">IF($B19=F$17,1,0)</f>
        <v>0</v>
      </c>
      <c r="G19" s="0" t="n">
        <f aca="false">IF($B19=G$17,1,0)</f>
        <v>0</v>
      </c>
      <c r="H19" s="0" t="n">
        <f aca="false">IF($B19=H$17,1,0)</f>
        <v>0</v>
      </c>
      <c r="I19" s="0" t="n">
        <f aca="false">IF($B19=I$17,1,0)</f>
        <v>0</v>
      </c>
      <c r="J19" s="0" t="n">
        <f aca="false">IF($B19=J$17,1,0)</f>
        <v>0</v>
      </c>
      <c r="L19" s="0" t="s">
        <v>67</v>
      </c>
    </row>
    <row r="20" customFormat="false" ht="13" hidden="false" customHeight="false" outlineLevel="0" collapsed="false">
      <c r="A20" s="0" t="s">
        <v>75</v>
      </c>
      <c r="B20" s="0" t="s">
        <v>65</v>
      </c>
      <c r="C20" s="0" t="n">
        <f aca="false">IF($B20=C$17,1,0)</f>
        <v>1</v>
      </c>
      <c r="D20" s="0" t="n">
        <f aca="false">IF($B20=D$17,1,0)</f>
        <v>0</v>
      </c>
      <c r="E20" s="0" t="n">
        <f aca="false">IF($B20=E$17,1,0)</f>
        <v>0</v>
      </c>
      <c r="F20" s="0" t="n">
        <f aca="false">IF($B20=F$17,1,0)</f>
        <v>0</v>
      </c>
      <c r="G20" s="0" t="n">
        <f aca="false">IF($B20=G$17,1,0)</f>
        <v>0</v>
      </c>
      <c r="H20" s="0" t="n">
        <f aca="false">IF($B20=H$17,1,0)</f>
        <v>0</v>
      </c>
      <c r="I20" s="0" t="n">
        <f aca="false">IF($B20=I$17,1,0)</f>
        <v>0</v>
      </c>
      <c r="J20" s="0" t="n">
        <f aca="false">IF($B20=J$17,1,0)</f>
        <v>0</v>
      </c>
      <c r="L20" s="0" t="s">
        <v>68</v>
      </c>
    </row>
    <row r="21" customFormat="false" ht="13" hidden="false" customHeight="false" outlineLevel="0" collapsed="false">
      <c r="A21" s="0" t="s">
        <v>76</v>
      </c>
      <c r="B21" s="0" t="s">
        <v>66</v>
      </c>
      <c r="C21" s="0" t="n">
        <f aca="false">IF($B21=C$17,1,0)</f>
        <v>0</v>
      </c>
      <c r="D21" s="0" t="n">
        <f aca="false">IF($B21=D$17,1,0)</f>
        <v>1</v>
      </c>
      <c r="E21" s="0" t="n">
        <f aca="false">IF($B21=E$17,1,0)</f>
        <v>0</v>
      </c>
      <c r="F21" s="0" t="n">
        <f aca="false">IF($B21=F$17,1,0)</f>
        <v>0</v>
      </c>
      <c r="G21" s="0" t="n">
        <f aca="false">IF($B21=G$17,1,0)</f>
        <v>0</v>
      </c>
      <c r="H21" s="0" t="n">
        <f aca="false">IF($B21=H$17,1,0)</f>
        <v>0</v>
      </c>
      <c r="I21" s="0" t="n">
        <f aca="false">IF($B21=I$17,1,0)</f>
        <v>0</v>
      </c>
      <c r="J21" s="0" t="n">
        <f aca="false">IF($B21=J$17,1,0)</f>
        <v>0</v>
      </c>
      <c r="L21" s="0" t="s">
        <v>69</v>
      </c>
    </row>
    <row r="22" customFormat="false" ht="13" hidden="false" customHeight="false" outlineLevel="0" collapsed="false">
      <c r="A22" s="0" t="s">
        <v>77</v>
      </c>
      <c r="B22" s="0" t="s">
        <v>65</v>
      </c>
      <c r="C22" s="0" t="n">
        <f aca="false">IF($B22=C$17,1,0)</f>
        <v>1</v>
      </c>
      <c r="D22" s="0" t="n">
        <f aca="false">IF($B22=D$17,1,0)</f>
        <v>0</v>
      </c>
      <c r="E22" s="0" t="n">
        <f aca="false">IF($B22=E$17,1,0)</f>
        <v>0</v>
      </c>
      <c r="F22" s="0" t="n">
        <f aca="false">IF($B22=F$17,1,0)</f>
        <v>0</v>
      </c>
      <c r="G22" s="0" t="n">
        <f aca="false">IF($B22=G$17,1,0)</f>
        <v>0</v>
      </c>
      <c r="H22" s="0" t="n">
        <f aca="false">IF($B22=H$17,1,0)</f>
        <v>0</v>
      </c>
      <c r="I22" s="0" t="n">
        <f aca="false">IF($B22=I$17,1,0)</f>
        <v>0</v>
      </c>
      <c r="J22" s="0" t="n">
        <f aca="false">IF($B22=J$17,1,0)</f>
        <v>0</v>
      </c>
      <c r="L22" s="0" t="s">
        <v>70</v>
      </c>
    </row>
    <row r="23" customFormat="false" ht="13" hidden="false" customHeight="false" outlineLevel="0" collapsed="false">
      <c r="A23" s="0" t="s">
        <v>78</v>
      </c>
      <c r="B23" s="0" t="s">
        <v>65</v>
      </c>
      <c r="C23" s="0" t="n">
        <f aca="false">IF($B23=C$17,1,0)</f>
        <v>1</v>
      </c>
      <c r="D23" s="0" t="n">
        <f aca="false">IF($B23=D$17,1,0)</f>
        <v>0</v>
      </c>
      <c r="E23" s="0" t="n">
        <f aca="false">IF($B23=E$17,1,0)</f>
        <v>0</v>
      </c>
      <c r="F23" s="0" t="n">
        <f aca="false">IF($B23=F$17,1,0)</f>
        <v>0</v>
      </c>
      <c r="G23" s="0" t="n">
        <f aca="false">IF($B23=G$17,1,0)</f>
        <v>0</v>
      </c>
      <c r="H23" s="0" t="n">
        <f aca="false">IF($B23=H$17,1,0)</f>
        <v>0</v>
      </c>
      <c r="I23" s="0" t="n">
        <f aca="false">IF($B23=I$17,1,0)</f>
        <v>0</v>
      </c>
      <c r="J23" s="0" t="n">
        <f aca="false">IF($B23=J$17,1,0)</f>
        <v>0</v>
      </c>
      <c r="L23" s="0" t="s">
        <v>71</v>
      </c>
    </row>
    <row r="24" customFormat="false" ht="13" hidden="false" customHeight="false" outlineLevel="0" collapsed="false">
      <c r="A24" s="0" t="s">
        <v>65</v>
      </c>
      <c r="B24" s="0" t="s">
        <v>65</v>
      </c>
      <c r="C24" s="0" t="n">
        <f aca="false">IF($B24=C$17,1,0)</f>
        <v>1</v>
      </c>
      <c r="D24" s="0" t="n">
        <f aca="false">IF($B24=D$17,1,0)</f>
        <v>0</v>
      </c>
      <c r="E24" s="0" t="n">
        <f aca="false">IF($B24=E$17,1,0)</f>
        <v>0</v>
      </c>
      <c r="F24" s="0" t="n">
        <f aca="false">IF($B24=F$17,1,0)</f>
        <v>0</v>
      </c>
      <c r="G24" s="0" t="n">
        <f aca="false">IF($B24=G$17,1,0)</f>
        <v>0</v>
      </c>
      <c r="H24" s="0" t="n">
        <f aca="false">IF($B24=H$17,1,0)</f>
        <v>0</v>
      </c>
      <c r="I24" s="0" t="n">
        <f aca="false">IF($B24=I$17,1,0)</f>
        <v>0</v>
      </c>
      <c r="J24" s="0" t="n">
        <f aca="false">IF($B24=J$17,1,0)</f>
        <v>0</v>
      </c>
      <c r="L24" s="0" t="s">
        <v>72</v>
      </c>
    </row>
    <row r="25" customFormat="false" ht="13" hidden="false" customHeight="false" outlineLevel="0" collapsed="false">
      <c r="A25" s="0" t="s">
        <v>66</v>
      </c>
      <c r="B25" s="0" t="s">
        <v>66</v>
      </c>
      <c r="C25" s="0" t="n">
        <f aca="false">IF($B25=C$17,1,0)</f>
        <v>0</v>
      </c>
      <c r="D25" s="0" t="n">
        <f aca="false">IF($B25=D$17,1,0)</f>
        <v>1</v>
      </c>
      <c r="E25" s="0" t="n">
        <f aca="false">IF($B25=E$17,1,0)</f>
        <v>0</v>
      </c>
      <c r="F25" s="0" t="n">
        <f aca="false">IF($B25=F$17,1,0)</f>
        <v>0</v>
      </c>
      <c r="G25" s="0" t="n">
        <f aca="false">IF($B25=G$17,1,0)</f>
        <v>0</v>
      </c>
      <c r="H25" s="0" t="n">
        <f aca="false">IF($B25=H$17,1,0)</f>
        <v>0</v>
      </c>
      <c r="I25" s="0" t="n">
        <f aca="false">IF($B25=I$17,1,0)</f>
        <v>0</v>
      </c>
      <c r="J25" s="0" t="n">
        <f aca="false">IF($B25=J$17,1,0)</f>
        <v>0</v>
      </c>
    </row>
    <row r="26" customFormat="false" ht="13" hidden="false" customHeight="false" outlineLevel="0" collapsed="false">
      <c r="A26" s="0" t="s">
        <v>79</v>
      </c>
      <c r="B26" s="0" t="s">
        <v>65</v>
      </c>
      <c r="C26" s="0" t="n">
        <f aca="false">IF($B26=C$17,1,0)</f>
        <v>1</v>
      </c>
      <c r="D26" s="0" t="n">
        <f aca="false">IF($B26=D$17,1,0)</f>
        <v>0</v>
      </c>
      <c r="E26" s="0" t="n">
        <f aca="false">IF($B26=E$17,1,0)</f>
        <v>0</v>
      </c>
      <c r="F26" s="0" t="n">
        <f aca="false">IF($B26=F$17,1,0)</f>
        <v>0</v>
      </c>
      <c r="G26" s="0" t="n">
        <f aca="false">IF($B26=G$17,1,0)</f>
        <v>0</v>
      </c>
      <c r="H26" s="0" t="n">
        <f aca="false">IF($B26=H$17,1,0)</f>
        <v>0</v>
      </c>
      <c r="I26" s="0" t="n">
        <f aca="false">IF($B26=I$17,1,0)</f>
        <v>0</v>
      </c>
      <c r="J26" s="0" t="n">
        <f aca="false">IF($B26=J$17,1,0)</f>
        <v>0</v>
      </c>
    </row>
    <row r="27" customFormat="false" ht="13" hidden="false" customHeight="false" outlineLevel="0" collapsed="false">
      <c r="A27" s="0" t="s">
        <v>80</v>
      </c>
      <c r="B27" s="0" t="s">
        <v>65</v>
      </c>
      <c r="C27" s="0" t="n">
        <f aca="false">IF($B27=C$17,1,0)</f>
        <v>1</v>
      </c>
      <c r="D27" s="0" t="n">
        <f aca="false">IF($B27=D$17,1,0)</f>
        <v>0</v>
      </c>
      <c r="E27" s="0" t="n">
        <f aca="false">IF($B27=E$17,1,0)</f>
        <v>0</v>
      </c>
      <c r="F27" s="0" t="n">
        <f aca="false">IF($B27=F$17,1,0)</f>
        <v>0</v>
      </c>
      <c r="G27" s="0" t="n">
        <f aca="false">IF($B27=G$17,1,0)</f>
        <v>0</v>
      </c>
      <c r="H27" s="0" t="n">
        <f aca="false">IF($B27=H$17,1,0)</f>
        <v>0</v>
      </c>
      <c r="I27" s="0" t="n">
        <f aca="false">IF($B27=I$17,1,0)</f>
        <v>0</v>
      </c>
      <c r="J27" s="0" t="n">
        <f aca="false">IF($B27=J$17,1,0)</f>
        <v>0</v>
      </c>
    </row>
    <row r="28" customFormat="false" ht="13" hidden="false" customHeight="false" outlineLevel="0" collapsed="false">
      <c r="A28" s="0" t="s">
        <v>81</v>
      </c>
      <c r="B28" s="0" t="s">
        <v>67</v>
      </c>
      <c r="C28" s="0" t="n">
        <f aca="false">IF($B28=C$17,1,0)</f>
        <v>0</v>
      </c>
      <c r="D28" s="0" t="n">
        <f aca="false">IF($B28=D$17,1,0)</f>
        <v>0</v>
      </c>
      <c r="E28" s="0" t="n">
        <f aca="false">IF($B28=E$17,1,0)</f>
        <v>1</v>
      </c>
      <c r="F28" s="0" t="n">
        <f aca="false">IF($B28=F$17,1,0)</f>
        <v>0</v>
      </c>
      <c r="G28" s="0" t="n">
        <f aca="false">IF($B28=G$17,1,0)</f>
        <v>0</v>
      </c>
      <c r="H28" s="0" t="n">
        <f aca="false">IF($B28=H$17,1,0)</f>
        <v>0</v>
      </c>
      <c r="I28" s="0" t="n">
        <f aca="false">IF($B28=I$17,1,0)</f>
        <v>0</v>
      </c>
      <c r="J28" s="0" t="n">
        <f aca="false">IF($B28=J$17,1,0)</f>
        <v>0</v>
      </c>
    </row>
    <row r="29" customFormat="false" ht="13" hidden="false" customHeight="false" outlineLevel="0" collapsed="false">
      <c r="A29" s="0" t="s">
        <v>67</v>
      </c>
      <c r="B29" s="0" t="s">
        <v>67</v>
      </c>
      <c r="C29" s="0" t="n">
        <f aca="false">IF($B29=C$17,1,0)</f>
        <v>0</v>
      </c>
      <c r="D29" s="0" t="n">
        <f aca="false">IF($B29=D$17,1,0)</f>
        <v>0</v>
      </c>
      <c r="E29" s="0" t="n">
        <f aca="false">IF($B29=E$17,1,0)</f>
        <v>1</v>
      </c>
      <c r="F29" s="0" t="n">
        <f aca="false">IF($B29=F$17,1,0)</f>
        <v>0</v>
      </c>
      <c r="G29" s="0" t="n">
        <f aca="false">IF($B29=G$17,1,0)</f>
        <v>0</v>
      </c>
      <c r="H29" s="0" t="n">
        <f aca="false">IF($B29=H$17,1,0)</f>
        <v>0</v>
      </c>
      <c r="I29" s="0" t="n">
        <f aca="false">IF($B29=I$17,1,0)</f>
        <v>0</v>
      </c>
      <c r="J29" s="0" t="n">
        <f aca="false">IF($B29=J$17,1,0)</f>
        <v>0</v>
      </c>
    </row>
    <row r="30" customFormat="false" ht="13" hidden="false" customHeight="false" outlineLevel="0" collapsed="false">
      <c r="A30" s="0" t="s">
        <v>82</v>
      </c>
      <c r="B30" s="0" t="s">
        <v>66</v>
      </c>
      <c r="C30" s="0" t="n">
        <f aca="false">IF($B30=C$17,1,0)</f>
        <v>0</v>
      </c>
      <c r="D30" s="0" t="n">
        <f aca="false">IF($B30=D$17,1,0)</f>
        <v>1</v>
      </c>
      <c r="E30" s="0" t="n">
        <f aca="false">IF($B30=E$17,1,0)</f>
        <v>0</v>
      </c>
      <c r="F30" s="0" t="n">
        <f aca="false">IF($B30=F$17,1,0)</f>
        <v>0</v>
      </c>
      <c r="G30" s="0" t="n">
        <f aca="false">IF($B30=G$17,1,0)</f>
        <v>0</v>
      </c>
      <c r="H30" s="0" t="n">
        <f aca="false">IF($B30=H$17,1,0)</f>
        <v>0</v>
      </c>
      <c r="I30" s="0" t="n">
        <f aca="false">IF($B30=I$17,1,0)</f>
        <v>0</v>
      </c>
      <c r="J30" s="0" t="n">
        <f aca="false">IF($B30=J$17,1,0)</f>
        <v>0</v>
      </c>
    </row>
    <row r="31" customFormat="false" ht="13" hidden="false" customHeight="false" outlineLevel="0" collapsed="false">
      <c r="A31" s="0" t="s">
        <v>83</v>
      </c>
      <c r="B31" s="0" t="s">
        <v>66</v>
      </c>
      <c r="C31" s="0" t="n">
        <f aca="false">IF($B31=C$17,1,0)</f>
        <v>0</v>
      </c>
      <c r="D31" s="0" t="n">
        <f aca="false">IF($B31=D$17,1,0)</f>
        <v>1</v>
      </c>
      <c r="E31" s="0" t="n">
        <f aca="false">IF($B31=E$17,1,0)</f>
        <v>0</v>
      </c>
      <c r="F31" s="0" t="n">
        <f aca="false">IF($B31=F$17,1,0)</f>
        <v>0</v>
      </c>
      <c r="G31" s="0" t="n">
        <f aca="false">IF($B31=G$17,1,0)</f>
        <v>0</v>
      </c>
      <c r="H31" s="0" t="n">
        <f aca="false">IF($B31=H$17,1,0)</f>
        <v>0</v>
      </c>
      <c r="I31" s="0" t="n">
        <f aca="false">IF($B31=I$17,1,0)</f>
        <v>0</v>
      </c>
      <c r="J31" s="0" t="n">
        <f aca="false">IF($B31=J$17,1,0)</f>
        <v>0</v>
      </c>
    </row>
    <row r="32" customFormat="false" ht="13" hidden="false" customHeight="false" outlineLevel="0" collapsed="false">
      <c r="A32" s="0" t="s">
        <v>84</v>
      </c>
      <c r="B32" s="0" t="s">
        <v>67</v>
      </c>
      <c r="C32" s="0" t="n">
        <f aca="false">IF($B32=C$17,1,0)</f>
        <v>0</v>
      </c>
      <c r="D32" s="0" t="n">
        <f aca="false">IF($B32=D$17,1,0)</f>
        <v>0</v>
      </c>
      <c r="E32" s="0" t="n">
        <f aca="false">IF($B32=E$17,1,0)</f>
        <v>1</v>
      </c>
      <c r="F32" s="0" t="n">
        <f aca="false">IF($B32=F$17,1,0)</f>
        <v>0</v>
      </c>
      <c r="G32" s="0" t="n">
        <f aca="false">IF($B32=G$17,1,0)</f>
        <v>0</v>
      </c>
      <c r="H32" s="0" t="n">
        <f aca="false">IF($B32=H$17,1,0)</f>
        <v>0</v>
      </c>
      <c r="I32" s="0" t="n">
        <f aca="false">IF($B32=I$17,1,0)</f>
        <v>0</v>
      </c>
      <c r="J32" s="0" t="n">
        <f aca="false">IF($B32=J$17,1,0)</f>
        <v>0</v>
      </c>
    </row>
    <row r="33" customFormat="false" ht="13" hidden="false" customHeight="false" outlineLevel="0" collapsed="false">
      <c r="A33" s="0" t="s">
        <v>85</v>
      </c>
      <c r="B33" s="0" t="s">
        <v>68</v>
      </c>
      <c r="C33" s="0" t="n">
        <f aca="false">IF($B33=C$17,1,0)</f>
        <v>0</v>
      </c>
      <c r="D33" s="0" t="n">
        <f aca="false">IF($B33=D$17,1,0)</f>
        <v>0</v>
      </c>
      <c r="E33" s="0" t="n">
        <f aca="false">IF($B33=E$17,1,0)</f>
        <v>0</v>
      </c>
      <c r="F33" s="0" t="n">
        <f aca="false">IF($B33=F$17,1,0)</f>
        <v>1</v>
      </c>
      <c r="G33" s="0" t="n">
        <f aca="false">IF($B33=G$17,1,0)</f>
        <v>0</v>
      </c>
      <c r="H33" s="0" t="n">
        <f aca="false">IF($B33=H$17,1,0)</f>
        <v>0</v>
      </c>
      <c r="I33" s="0" t="n">
        <f aca="false">IF($B33=I$17,1,0)</f>
        <v>0</v>
      </c>
      <c r="J33" s="0" t="n">
        <f aca="false">IF($B33=J$17,1,0)</f>
        <v>0</v>
      </c>
    </row>
    <row r="34" customFormat="false" ht="13" hidden="false" customHeight="false" outlineLevel="0" collapsed="false">
      <c r="A34" s="0" t="s">
        <v>86</v>
      </c>
      <c r="B34" s="0" t="s">
        <v>65</v>
      </c>
      <c r="C34" s="0" t="n">
        <f aca="false">IF($B34=C$17,1,0)</f>
        <v>1</v>
      </c>
      <c r="D34" s="0" t="n">
        <f aca="false">IF($B34=D$17,1,0)</f>
        <v>0</v>
      </c>
      <c r="E34" s="0" t="n">
        <f aca="false">IF($B34=E$17,1,0)</f>
        <v>0</v>
      </c>
      <c r="F34" s="0" t="n">
        <f aca="false">IF($B34=F$17,1,0)</f>
        <v>0</v>
      </c>
      <c r="G34" s="0" t="n">
        <f aca="false">IF($B34=G$17,1,0)</f>
        <v>0</v>
      </c>
      <c r="H34" s="0" t="n">
        <f aca="false">IF($B34=H$17,1,0)</f>
        <v>0</v>
      </c>
      <c r="I34" s="0" t="n">
        <f aca="false">IF($B34=I$17,1,0)</f>
        <v>0</v>
      </c>
      <c r="J34" s="0" t="n">
        <f aca="false">IF($B34=J$17,1,0)</f>
        <v>0</v>
      </c>
    </row>
    <row r="35" customFormat="false" ht="13" hidden="false" customHeight="false" outlineLevel="0" collapsed="false">
      <c r="A35" s="0" t="s">
        <v>87</v>
      </c>
      <c r="B35" s="0" t="s">
        <v>65</v>
      </c>
      <c r="C35" s="0" t="n">
        <f aca="false">IF($B35=C$17,1,0)</f>
        <v>1</v>
      </c>
      <c r="D35" s="0" t="n">
        <f aca="false">IF($B35=D$17,1,0)</f>
        <v>0</v>
      </c>
      <c r="E35" s="0" t="n">
        <f aca="false">IF($B35=E$17,1,0)</f>
        <v>0</v>
      </c>
      <c r="F35" s="0" t="n">
        <f aca="false">IF($B35=F$17,1,0)</f>
        <v>0</v>
      </c>
      <c r="G35" s="0" t="n">
        <f aca="false">IF($B35=G$17,1,0)</f>
        <v>0</v>
      </c>
      <c r="H35" s="0" t="n">
        <f aca="false">IF($B35=H$17,1,0)</f>
        <v>0</v>
      </c>
      <c r="I35" s="0" t="n">
        <f aca="false">IF($B35=I$17,1,0)</f>
        <v>0</v>
      </c>
      <c r="J35" s="0" t="n">
        <f aca="false">IF($B35=J$17,1,0)</f>
        <v>0</v>
      </c>
    </row>
    <row r="36" customFormat="false" ht="13" hidden="false" customHeight="false" outlineLevel="0" collapsed="false">
      <c r="A36" s="0" t="s">
        <v>88</v>
      </c>
      <c r="B36" s="0" t="s">
        <v>65</v>
      </c>
      <c r="C36" s="0" t="n">
        <f aca="false">IF($B36=C$17,1,0)</f>
        <v>1</v>
      </c>
      <c r="D36" s="0" t="n">
        <f aca="false">IF($B36=D$17,1,0)</f>
        <v>0</v>
      </c>
      <c r="E36" s="0" t="n">
        <f aca="false">IF($B36=E$17,1,0)</f>
        <v>0</v>
      </c>
      <c r="F36" s="0" t="n">
        <f aca="false">IF($B36=F$17,1,0)</f>
        <v>0</v>
      </c>
      <c r="G36" s="0" t="n">
        <f aca="false">IF($B36=G$17,1,0)</f>
        <v>0</v>
      </c>
      <c r="H36" s="0" t="n">
        <f aca="false">IF($B36=H$17,1,0)</f>
        <v>0</v>
      </c>
      <c r="I36" s="0" t="n">
        <f aca="false">IF($B36=I$17,1,0)</f>
        <v>0</v>
      </c>
      <c r="J36" s="0" t="n">
        <f aca="false">IF($B36=J$17,1,0)</f>
        <v>0</v>
      </c>
    </row>
    <row r="37" customFormat="false" ht="13" hidden="false" customHeight="false" outlineLevel="0" collapsed="false">
      <c r="A37" s="0" t="s">
        <v>89</v>
      </c>
      <c r="B37" s="0" t="s">
        <v>66</v>
      </c>
      <c r="C37" s="0" t="n">
        <f aca="false">IF($B37=C$17,1,0)</f>
        <v>0</v>
      </c>
      <c r="D37" s="0" t="n">
        <f aca="false">IF($B37=D$17,1,0)</f>
        <v>1</v>
      </c>
      <c r="E37" s="0" t="n">
        <f aca="false">IF($B37=E$17,1,0)</f>
        <v>0</v>
      </c>
      <c r="F37" s="0" t="n">
        <f aca="false">IF($B37=F$17,1,0)</f>
        <v>0</v>
      </c>
      <c r="G37" s="0" t="n">
        <f aca="false">IF($B37=G$17,1,0)</f>
        <v>0</v>
      </c>
      <c r="H37" s="0" t="n">
        <f aca="false">IF($B37=H$17,1,0)</f>
        <v>0</v>
      </c>
      <c r="I37" s="0" t="n">
        <f aca="false">IF($B37=I$17,1,0)</f>
        <v>0</v>
      </c>
      <c r="J37" s="0" t="n">
        <f aca="false">IF($B37=J$17,1,0)</f>
        <v>0</v>
      </c>
    </row>
    <row r="38" customFormat="false" ht="13" hidden="false" customHeight="false" outlineLevel="0" collapsed="false">
      <c r="A38" s="0" t="s">
        <v>90</v>
      </c>
      <c r="B38" s="0" t="s">
        <v>65</v>
      </c>
      <c r="C38" s="0" t="n">
        <f aca="false">IF($B38=C$17,1,0)</f>
        <v>1</v>
      </c>
      <c r="D38" s="0" t="n">
        <f aca="false">IF($B38=D$17,1,0)</f>
        <v>0</v>
      </c>
      <c r="E38" s="0" t="n">
        <f aca="false">IF($B38=E$17,1,0)</f>
        <v>0</v>
      </c>
      <c r="F38" s="0" t="n">
        <f aca="false">IF($B38=F$17,1,0)</f>
        <v>0</v>
      </c>
      <c r="G38" s="0" t="n">
        <f aca="false">IF($B38=G$17,1,0)</f>
        <v>0</v>
      </c>
      <c r="H38" s="0" t="n">
        <f aca="false">IF($B38=H$17,1,0)</f>
        <v>0</v>
      </c>
      <c r="I38" s="0" t="n">
        <f aca="false">IF($B38=I$17,1,0)</f>
        <v>0</v>
      </c>
      <c r="J38" s="0" t="n">
        <f aca="false">IF($B38=J$17,1,0)</f>
        <v>0</v>
      </c>
    </row>
    <row r="39" customFormat="false" ht="13" hidden="false" customHeight="false" outlineLevel="0" collapsed="false">
      <c r="A39" s="1" t="s">
        <v>51</v>
      </c>
      <c r="B39" s="0" t="s">
        <v>69</v>
      </c>
      <c r="C39" s="0" t="n">
        <f aca="false">IF($B39=C$17,1,0)</f>
        <v>0</v>
      </c>
      <c r="D39" s="0" t="n">
        <f aca="false">IF($B39=D$17,1,0)</f>
        <v>0</v>
      </c>
      <c r="E39" s="0" t="n">
        <f aca="false">IF($B39=E$17,1,0)</f>
        <v>0</v>
      </c>
      <c r="F39" s="0" t="n">
        <f aca="false">IF($B39=F$17,1,0)</f>
        <v>0</v>
      </c>
      <c r="G39" s="0" t="n">
        <f aca="false">IF($B39=G$17,1,0)</f>
        <v>1</v>
      </c>
      <c r="H39" s="0" t="n">
        <f aca="false">IF($B39=H$17,1,0)</f>
        <v>0</v>
      </c>
      <c r="I39" s="0" t="n">
        <f aca="false">IF($B39=I$17,1,0)</f>
        <v>0</v>
      </c>
      <c r="J39" s="0" t="n">
        <f aca="false">IF($B39=J$17,1,0)</f>
        <v>0</v>
      </c>
    </row>
    <row r="40" customFormat="false" ht="13" hidden="false" customHeight="false" outlineLevel="0" collapsed="false">
      <c r="A40" s="0" t="s">
        <v>91</v>
      </c>
      <c r="B40" s="0" t="s">
        <v>69</v>
      </c>
      <c r="C40" s="0" t="n">
        <f aca="false">IF($B40=C$17,1,0)</f>
        <v>0</v>
      </c>
      <c r="D40" s="0" t="n">
        <f aca="false">IF($B40=D$17,1,0)</f>
        <v>0</v>
      </c>
      <c r="E40" s="0" t="n">
        <f aca="false">IF($B40=E$17,1,0)</f>
        <v>0</v>
      </c>
      <c r="F40" s="0" t="n">
        <f aca="false">IF($B40=F$17,1,0)</f>
        <v>0</v>
      </c>
      <c r="G40" s="0" t="n">
        <f aca="false">IF($B40=G$17,1,0)</f>
        <v>1</v>
      </c>
      <c r="H40" s="0" t="n">
        <f aca="false">IF($B40=H$17,1,0)</f>
        <v>0</v>
      </c>
      <c r="I40" s="0" t="n">
        <f aca="false">IF($B40=I$17,1,0)</f>
        <v>0</v>
      </c>
      <c r="J40" s="0" t="n">
        <f aca="false">IF($B40=J$17,1,0)</f>
        <v>0</v>
      </c>
    </row>
    <row r="41" customFormat="false" ht="13" hidden="false" customHeight="false" outlineLevel="0" collapsed="false">
      <c r="A41" s="0" t="s">
        <v>92</v>
      </c>
      <c r="B41" s="0" t="s">
        <v>69</v>
      </c>
      <c r="C41" s="0" t="n">
        <f aca="false">IF($B41=C$17,1,0)</f>
        <v>0</v>
      </c>
      <c r="D41" s="0" t="n">
        <f aca="false">IF($B41=D$17,1,0)</f>
        <v>0</v>
      </c>
      <c r="E41" s="0" t="n">
        <f aca="false">IF($B41=E$17,1,0)</f>
        <v>0</v>
      </c>
      <c r="F41" s="0" t="n">
        <f aca="false">IF($B41=F$17,1,0)</f>
        <v>0</v>
      </c>
      <c r="G41" s="0" t="n">
        <f aca="false">IF($B41=G$17,1,0)</f>
        <v>1</v>
      </c>
      <c r="H41" s="0" t="n">
        <f aca="false">IF($B41=H$17,1,0)</f>
        <v>0</v>
      </c>
      <c r="I41" s="0" t="n">
        <f aca="false">IF($B41=I$17,1,0)</f>
        <v>0</v>
      </c>
      <c r="J41" s="0" t="n">
        <f aca="false">IF($B41=J$17,1,0)</f>
        <v>0</v>
      </c>
    </row>
    <row r="42" customFormat="false" ht="13" hidden="false" customHeight="false" outlineLevel="0" collapsed="false">
      <c r="A42" s="0" t="s">
        <v>93</v>
      </c>
      <c r="B42" s="0" t="s">
        <v>65</v>
      </c>
      <c r="C42" s="0" t="n">
        <f aca="false">IF($B42=C$17,1,0)</f>
        <v>1</v>
      </c>
      <c r="D42" s="0" t="n">
        <f aca="false">IF($B42=D$17,1,0)</f>
        <v>0</v>
      </c>
      <c r="E42" s="0" t="n">
        <f aca="false">IF($B42=E$17,1,0)</f>
        <v>0</v>
      </c>
      <c r="F42" s="0" t="n">
        <f aca="false">IF($B42=F$17,1,0)</f>
        <v>0</v>
      </c>
      <c r="G42" s="0" t="n">
        <f aca="false">IF($B42=G$17,1,0)</f>
        <v>0</v>
      </c>
      <c r="H42" s="0" t="n">
        <f aca="false">IF($B42=H$17,1,0)</f>
        <v>0</v>
      </c>
      <c r="I42" s="0" t="n">
        <f aca="false">IF($B42=I$17,1,0)</f>
        <v>0</v>
      </c>
      <c r="J42" s="0" t="n">
        <f aca="false">IF($B42=J$17,1,0)</f>
        <v>0</v>
      </c>
    </row>
    <row r="43" customFormat="false" ht="13" hidden="false" customHeight="false" outlineLevel="0" collapsed="false">
      <c r="A43" s="0" t="s">
        <v>94</v>
      </c>
      <c r="B43" s="0" t="s">
        <v>69</v>
      </c>
      <c r="C43" s="0" t="n">
        <f aca="false">IF($B43=C$17,1,0)</f>
        <v>0</v>
      </c>
      <c r="D43" s="0" t="n">
        <f aca="false">IF($B43=D$17,1,0)</f>
        <v>0</v>
      </c>
      <c r="E43" s="0" t="n">
        <f aca="false">IF($B43=E$17,1,0)</f>
        <v>0</v>
      </c>
      <c r="F43" s="0" t="n">
        <f aca="false">IF($B43=F$17,1,0)</f>
        <v>0</v>
      </c>
      <c r="G43" s="0" t="n">
        <f aca="false">IF($B43=G$17,1,0)</f>
        <v>1</v>
      </c>
      <c r="H43" s="0" t="n">
        <f aca="false">IF($B43=H$17,1,0)</f>
        <v>0</v>
      </c>
      <c r="I43" s="0" t="n">
        <f aca="false">IF($B43=I$17,1,0)</f>
        <v>0</v>
      </c>
      <c r="J43" s="0" t="n">
        <f aca="false">IF($B43=J$17,1,0)</f>
        <v>0</v>
      </c>
    </row>
    <row r="44" customFormat="false" ht="13" hidden="false" customHeight="false" outlineLevel="0" collapsed="false">
      <c r="A44" s="0" t="s">
        <v>95</v>
      </c>
      <c r="B44" s="0" t="s">
        <v>69</v>
      </c>
      <c r="C44" s="0" t="n">
        <f aca="false">IF($B44=C$17,1,0)</f>
        <v>0</v>
      </c>
      <c r="D44" s="0" t="n">
        <f aca="false">IF($B44=D$17,1,0)</f>
        <v>0</v>
      </c>
      <c r="E44" s="0" t="n">
        <f aca="false">IF($B44=E$17,1,0)</f>
        <v>0</v>
      </c>
      <c r="F44" s="0" t="n">
        <f aca="false">IF($B44=F$17,1,0)</f>
        <v>0</v>
      </c>
      <c r="G44" s="0" t="n">
        <f aca="false">IF($B44=G$17,1,0)</f>
        <v>1</v>
      </c>
      <c r="H44" s="0" t="n">
        <f aca="false">IF($B44=H$17,1,0)</f>
        <v>0</v>
      </c>
      <c r="I44" s="0" t="n">
        <f aca="false">IF($B44=I$17,1,0)</f>
        <v>0</v>
      </c>
      <c r="J44" s="0" t="n">
        <f aca="false">IF($B44=J$17,1,0)</f>
        <v>0</v>
      </c>
    </row>
    <row r="45" customFormat="false" ht="13" hidden="false" customHeight="false" outlineLevel="0" collapsed="false">
      <c r="A45" s="0" t="s">
        <v>69</v>
      </c>
      <c r="B45" s="0" t="s">
        <v>69</v>
      </c>
      <c r="C45" s="0" t="n">
        <f aca="false">IF($B45=C$17,1,0)</f>
        <v>0</v>
      </c>
      <c r="D45" s="0" t="n">
        <f aca="false">IF($B45=D$17,1,0)</f>
        <v>0</v>
      </c>
      <c r="E45" s="0" t="n">
        <f aca="false">IF($B45=E$17,1,0)</f>
        <v>0</v>
      </c>
      <c r="F45" s="0" t="n">
        <f aca="false">IF($B45=F$17,1,0)</f>
        <v>0</v>
      </c>
      <c r="G45" s="0" t="n">
        <f aca="false">IF($B45=G$17,1,0)</f>
        <v>1</v>
      </c>
      <c r="H45" s="0" t="n">
        <f aca="false">IF($B45=H$17,1,0)</f>
        <v>0</v>
      </c>
      <c r="I45" s="0" t="n">
        <f aca="false">IF($B45=I$17,1,0)</f>
        <v>0</v>
      </c>
      <c r="J45" s="0" t="n">
        <f aca="false">IF($B45=J$17,1,0)</f>
        <v>0</v>
      </c>
    </row>
    <row r="46" customFormat="false" ht="13" hidden="false" customHeight="false" outlineLevel="0" collapsed="false">
      <c r="A46" s="0" t="s">
        <v>96</v>
      </c>
      <c r="B46" s="0" t="s">
        <v>66</v>
      </c>
      <c r="C46" s="0" t="n">
        <f aca="false">IF($B46=C$17,1,0)</f>
        <v>0</v>
      </c>
      <c r="D46" s="0" t="n">
        <f aca="false">IF($B46=D$17,1,0)</f>
        <v>1</v>
      </c>
      <c r="E46" s="0" t="n">
        <f aca="false">IF($B46=E$17,1,0)</f>
        <v>0</v>
      </c>
      <c r="F46" s="0" t="n">
        <f aca="false">IF($B46=F$17,1,0)</f>
        <v>0</v>
      </c>
      <c r="G46" s="0" t="n">
        <f aca="false">IF($B46=G$17,1,0)</f>
        <v>0</v>
      </c>
      <c r="H46" s="0" t="n">
        <f aca="false">IF($B46=H$17,1,0)</f>
        <v>0</v>
      </c>
      <c r="I46" s="0" t="n">
        <f aca="false">IF($B46=I$17,1,0)</f>
        <v>0</v>
      </c>
      <c r="J46" s="0" t="n">
        <f aca="false">IF($B46=J$17,1,0)</f>
        <v>0</v>
      </c>
    </row>
    <row r="47" customFormat="false" ht="13" hidden="false" customHeight="false" outlineLevel="0" collapsed="false">
      <c r="A47" s="0" t="s">
        <v>97</v>
      </c>
      <c r="B47" s="0" t="s">
        <v>69</v>
      </c>
      <c r="C47" s="0" t="n">
        <f aca="false">IF($B47=C$17,1,0)</f>
        <v>0</v>
      </c>
      <c r="D47" s="0" t="n">
        <f aca="false">IF($B47=D$17,1,0)</f>
        <v>0</v>
      </c>
      <c r="E47" s="0" t="n">
        <f aca="false">IF($B47=E$17,1,0)</f>
        <v>0</v>
      </c>
      <c r="F47" s="0" t="n">
        <f aca="false">IF($B47=F$17,1,0)</f>
        <v>0</v>
      </c>
      <c r="G47" s="0" t="n">
        <f aca="false">IF($B47=G$17,1,0)</f>
        <v>1</v>
      </c>
      <c r="H47" s="0" t="n">
        <f aca="false">IF($B47=H$17,1,0)</f>
        <v>0</v>
      </c>
      <c r="I47" s="0" t="n">
        <f aca="false">IF($B47=I$17,1,0)</f>
        <v>0</v>
      </c>
      <c r="J47" s="0" t="n">
        <f aca="false">IF($B47=J$17,1,0)</f>
        <v>0</v>
      </c>
    </row>
    <row r="48" customFormat="false" ht="13" hidden="false" customHeight="false" outlineLevel="0" collapsed="false">
      <c r="A48" s="0" t="s">
        <v>98</v>
      </c>
      <c r="B48" s="0" t="s">
        <v>69</v>
      </c>
      <c r="C48" s="0" t="n">
        <f aca="false">IF($B48=C$17,1,0)</f>
        <v>0</v>
      </c>
      <c r="D48" s="0" t="n">
        <f aca="false">IF($B48=D$17,1,0)</f>
        <v>0</v>
      </c>
      <c r="E48" s="0" t="n">
        <f aca="false">IF($B48=E$17,1,0)</f>
        <v>0</v>
      </c>
      <c r="F48" s="0" t="n">
        <f aca="false">IF($B48=F$17,1,0)</f>
        <v>0</v>
      </c>
      <c r="G48" s="0" t="n">
        <f aca="false">IF($B48=G$17,1,0)</f>
        <v>1</v>
      </c>
      <c r="H48" s="0" t="n">
        <f aca="false">IF($B48=H$17,1,0)</f>
        <v>0</v>
      </c>
      <c r="I48" s="0" t="n">
        <f aca="false">IF($B48=I$17,1,0)</f>
        <v>0</v>
      </c>
      <c r="J48" s="0" t="n">
        <f aca="false">IF($B48=J$17,1,0)</f>
        <v>0</v>
      </c>
    </row>
    <row r="49" customFormat="false" ht="13" hidden="false" customHeight="false" outlineLevel="0" collapsed="false">
      <c r="A49" s="0" t="s">
        <v>99</v>
      </c>
      <c r="B49" s="0" t="s">
        <v>70</v>
      </c>
      <c r="C49" s="0" t="n">
        <f aca="false">IF($B49=C$17,1,0)</f>
        <v>0</v>
      </c>
      <c r="D49" s="0" t="n">
        <f aca="false">IF($B49=D$17,1,0)</f>
        <v>0</v>
      </c>
      <c r="E49" s="0" t="n">
        <f aca="false">IF($B49=E$17,1,0)</f>
        <v>0</v>
      </c>
      <c r="F49" s="0" t="n">
        <f aca="false">IF($B49=F$17,1,0)</f>
        <v>0</v>
      </c>
      <c r="G49" s="0" t="n">
        <f aca="false">IF($B49=G$17,1,0)</f>
        <v>0</v>
      </c>
      <c r="H49" s="0" t="n">
        <f aca="false">IF($B49=H$17,1,0)</f>
        <v>1</v>
      </c>
      <c r="I49" s="0" t="n">
        <f aca="false">IF($B49=I$17,1,0)</f>
        <v>0</v>
      </c>
      <c r="J49" s="0" t="n">
        <f aca="false">IF($B49=J$17,1,0)</f>
        <v>0</v>
      </c>
    </row>
    <row r="50" customFormat="false" ht="13" hidden="false" customHeight="false" outlineLevel="0" collapsed="false">
      <c r="A50" s="0" t="s">
        <v>100</v>
      </c>
      <c r="B50" s="0" t="s">
        <v>65</v>
      </c>
      <c r="C50" s="0" t="n">
        <f aca="false">IF($B50=C$17,1,0)</f>
        <v>1</v>
      </c>
      <c r="D50" s="0" t="n">
        <f aca="false">IF($B50=D$17,1,0)</f>
        <v>0</v>
      </c>
      <c r="E50" s="0" t="n">
        <f aca="false">IF($B50=E$17,1,0)</f>
        <v>0</v>
      </c>
      <c r="F50" s="0" t="n">
        <f aca="false">IF($B50=F$17,1,0)</f>
        <v>0</v>
      </c>
      <c r="G50" s="0" t="n">
        <f aca="false">IF($B50=G$17,1,0)</f>
        <v>0</v>
      </c>
      <c r="H50" s="0" t="n">
        <f aca="false">IF($B50=H$17,1,0)</f>
        <v>0</v>
      </c>
      <c r="I50" s="0" t="n">
        <f aca="false">IF($B50=I$17,1,0)</f>
        <v>0</v>
      </c>
      <c r="J50" s="0" t="n">
        <f aca="false">IF($B50=J$17,1,0)</f>
        <v>0</v>
      </c>
    </row>
    <row r="51" customFormat="false" ht="13" hidden="false" customHeight="false" outlineLevel="0" collapsed="false">
      <c r="A51" s="0" t="s">
        <v>101</v>
      </c>
      <c r="B51" s="0" t="s">
        <v>65</v>
      </c>
      <c r="C51" s="0" t="n">
        <f aca="false">IF($B51=C$17,1,0)</f>
        <v>1</v>
      </c>
      <c r="D51" s="0" t="n">
        <f aca="false">IF($B51=D$17,1,0)</f>
        <v>0</v>
      </c>
      <c r="E51" s="0" t="n">
        <f aca="false">IF($B51=E$17,1,0)</f>
        <v>0</v>
      </c>
      <c r="F51" s="0" t="n">
        <f aca="false">IF($B51=F$17,1,0)</f>
        <v>0</v>
      </c>
      <c r="G51" s="0" t="n">
        <f aca="false">IF($B51=G$17,1,0)</f>
        <v>0</v>
      </c>
      <c r="H51" s="0" t="n">
        <f aca="false">IF($B51=H$17,1,0)</f>
        <v>0</v>
      </c>
      <c r="I51" s="0" t="n">
        <f aca="false">IF($B51=I$17,1,0)</f>
        <v>0</v>
      </c>
      <c r="J51" s="0" t="n">
        <f aca="false">IF($B51=J$17,1,0)</f>
        <v>0</v>
      </c>
    </row>
    <row r="52" customFormat="false" ht="13" hidden="false" customHeight="false" outlineLevel="0" collapsed="false">
      <c r="A52" s="0" t="s">
        <v>102</v>
      </c>
      <c r="B52" s="0" t="s">
        <v>67</v>
      </c>
      <c r="C52" s="0" t="n">
        <f aca="false">IF($B52=C$17,1,0)</f>
        <v>0</v>
      </c>
      <c r="D52" s="0" t="n">
        <f aca="false">IF($B52=D$17,1,0)</f>
        <v>0</v>
      </c>
      <c r="E52" s="0" t="n">
        <f aca="false">IF($B52=E$17,1,0)</f>
        <v>1</v>
      </c>
      <c r="F52" s="0" t="n">
        <f aca="false">IF($B52=F$17,1,0)</f>
        <v>0</v>
      </c>
      <c r="G52" s="0" t="n">
        <f aca="false">IF($B52=G$17,1,0)</f>
        <v>0</v>
      </c>
      <c r="H52" s="0" t="n">
        <f aca="false">IF($B52=H$17,1,0)</f>
        <v>0</v>
      </c>
      <c r="I52" s="0" t="n">
        <f aca="false">IF($B52=I$17,1,0)</f>
        <v>0</v>
      </c>
      <c r="J52" s="0" t="n">
        <f aca="false">IF($B52=J$17,1,0)</f>
        <v>0</v>
      </c>
    </row>
    <row r="53" customFormat="false" ht="13" hidden="false" customHeight="false" outlineLevel="0" collapsed="false">
      <c r="A53" s="0" t="s">
        <v>103</v>
      </c>
      <c r="B53" s="0" t="s">
        <v>67</v>
      </c>
      <c r="C53" s="0" t="n">
        <f aca="false">IF($B53=C$17,1,0)</f>
        <v>0</v>
      </c>
      <c r="D53" s="0" t="n">
        <f aca="false">IF($B53=D$17,1,0)</f>
        <v>0</v>
      </c>
      <c r="E53" s="0" t="n">
        <f aca="false">IF($B53=E$17,1,0)</f>
        <v>1</v>
      </c>
      <c r="F53" s="0" t="n">
        <f aca="false">IF($B53=F$17,1,0)</f>
        <v>0</v>
      </c>
      <c r="G53" s="0" t="n">
        <f aca="false">IF($B53=G$17,1,0)</f>
        <v>0</v>
      </c>
      <c r="H53" s="0" t="n">
        <f aca="false">IF($B53=H$17,1,0)</f>
        <v>0</v>
      </c>
      <c r="I53" s="0" t="n">
        <f aca="false">IF($B53=I$17,1,0)</f>
        <v>0</v>
      </c>
      <c r="J53" s="0" t="n">
        <f aca="false">IF($B53=J$17,1,0)</f>
        <v>0</v>
      </c>
    </row>
    <row r="54" customFormat="false" ht="13" hidden="false" customHeight="false" outlineLevel="0" collapsed="false">
      <c r="A54" s="0" t="s">
        <v>104</v>
      </c>
      <c r="B54" s="0" t="s">
        <v>65</v>
      </c>
      <c r="C54" s="0" t="n">
        <f aca="false">IF($B54=C$17,1,0)</f>
        <v>1</v>
      </c>
      <c r="D54" s="0" t="n">
        <f aca="false">IF($B54=D$17,1,0)</f>
        <v>0</v>
      </c>
      <c r="E54" s="0" t="n">
        <f aca="false">IF($B54=E$17,1,0)</f>
        <v>0</v>
      </c>
      <c r="F54" s="0" t="n">
        <f aca="false">IF($B54=F$17,1,0)</f>
        <v>0</v>
      </c>
      <c r="G54" s="0" t="n">
        <f aca="false">IF($B54=G$17,1,0)</f>
        <v>0</v>
      </c>
      <c r="H54" s="0" t="n">
        <f aca="false">IF($B54=H$17,1,0)</f>
        <v>0</v>
      </c>
      <c r="I54" s="0" t="n">
        <f aca="false">IF($B54=I$17,1,0)</f>
        <v>0</v>
      </c>
      <c r="J54" s="0" t="n">
        <f aca="false">IF($B54=J$17,1,0)</f>
        <v>0</v>
      </c>
    </row>
    <row r="55" customFormat="false" ht="13" hidden="false" customHeight="false" outlineLevel="0" collapsed="false">
      <c r="A55" s="0" t="s">
        <v>105</v>
      </c>
      <c r="B55" s="0" t="s">
        <v>69</v>
      </c>
      <c r="C55" s="0" t="n">
        <f aca="false">IF($B55=C$17,1,0)</f>
        <v>0</v>
      </c>
      <c r="D55" s="0" t="n">
        <f aca="false">IF($B55=D$17,1,0)</f>
        <v>0</v>
      </c>
      <c r="E55" s="0" t="n">
        <f aca="false">IF($B55=E$17,1,0)</f>
        <v>0</v>
      </c>
      <c r="F55" s="0" t="n">
        <f aca="false">IF($B55=F$17,1,0)</f>
        <v>0</v>
      </c>
      <c r="G55" s="0" t="n">
        <f aca="false">IF($B55=G$17,1,0)</f>
        <v>1</v>
      </c>
      <c r="H55" s="0" t="n">
        <f aca="false">IF($B55=H$17,1,0)</f>
        <v>0</v>
      </c>
      <c r="I55" s="0" t="n">
        <f aca="false">IF($B55=I$17,1,0)</f>
        <v>0</v>
      </c>
      <c r="J55" s="0" t="n">
        <f aca="false">IF($B55=J$17,1,0)</f>
        <v>0</v>
      </c>
    </row>
    <row r="56" customFormat="false" ht="13" hidden="false" customHeight="false" outlineLevel="0" collapsed="false">
      <c r="A56" s="0" t="s">
        <v>106</v>
      </c>
      <c r="B56" s="0" t="s">
        <v>69</v>
      </c>
      <c r="C56" s="0" t="n">
        <f aca="false">IF($B56=C$17,1,0)</f>
        <v>0</v>
      </c>
      <c r="D56" s="0" t="n">
        <f aca="false">IF($B56=D$17,1,0)</f>
        <v>0</v>
      </c>
      <c r="E56" s="0" t="n">
        <f aca="false">IF($B56=E$17,1,0)</f>
        <v>0</v>
      </c>
      <c r="F56" s="0" t="n">
        <f aca="false">IF($B56=F$17,1,0)</f>
        <v>0</v>
      </c>
      <c r="G56" s="0" t="n">
        <f aca="false">IF($B56=G$17,1,0)</f>
        <v>1</v>
      </c>
      <c r="H56" s="0" t="n">
        <f aca="false">IF($B56=H$17,1,0)</f>
        <v>0</v>
      </c>
      <c r="I56" s="0" t="n">
        <f aca="false">IF($B56=I$17,1,0)</f>
        <v>0</v>
      </c>
      <c r="J56" s="0" t="n">
        <f aca="false">IF($B56=J$17,1,0)</f>
        <v>0</v>
      </c>
    </row>
    <row r="57" customFormat="false" ht="13" hidden="false" customHeight="false" outlineLevel="0" collapsed="false">
      <c r="A57" s="0" t="s">
        <v>107</v>
      </c>
      <c r="B57" s="0" t="s">
        <v>69</v>
      </c>
      <c r="C57" s="0" t="n">
        <f aca="false">IF($B57=C$17,1,0)</f>
        <v>0</v>
      </c>
      <c r="D57" s="0" t="n">
        <f aca="false">IF($B57=D$17,1,0)</f>
        <v>0</v>
      </c>
      <c r="E57" s="0" t="n">
        <f aca="false">IF($B57=E$17,1,0)</f>
        <v>0</v>
      </c>
      <c r="F57" s="0" t="n">
        <f aca="false">IF($B57=F$17,1,0)</f>
        <v>0</v>
      </c>
      <c r="G57" s="0" t="n">
        <f aca="false">IF($B57=G$17,1,0)</f>
        <v>1</v>
      </c>
      <c r="H57" s="0" t="n">
        <f aca="false">IF($B57=H$17,1,0)</f>
        <v>0</v>
      </c>
      <c r="I57" s="0" t="n">
        <f aca="false">IF($B57=I$17,1,0)</f>
        <v>0</v>
      </c>
      <c r="J57" s="0" t="n">
        <f aca="false">IF($B57=J$17,1,0)</f>
        <v>0</v>
      </c>
    </row>
    <row r="58" customFormat="false" ht="13" hidden="false" customHeight="false" outlineLevel="0" collapsed="false">
      <c r="A58" s="0" t="s">
        <v>108</v>
      </c>
      <c r="B58" s="0" t="s">
        <v>67</v>
      </c>
      <c r="C58" s="0" t="n">
        <f aca="false">IF($B58=C$17,1,0)</f>
        <v>0</v>
      </c>
      <c r="D58" s="0" t="n">
        <f aca="false">IF($B58=D$17,1,0)</f>
        <v>0</v>
      </c>
      <c r="E58" s="0" t="n">
        <f aca="false">IF($B58=E$17,1,0)</f>
        <v>1</v>
      </c>
      <c r="F58" s="0" t="n">
        <f aca="false">IF($B58=F$17,1,0)</f>
        <v>0</v>
      </c>
      <c r="G58" s="0" t="n">
        <f aca="false">IF($B58=G$17,1,0)</f>
        <v>0</v>
      </c>
      <c r="H58" s="0" t="n">
        <f aca="false">IF($B58=H$17,1,0)</f>
        <v>0</v>
      </c>
      <c r="I58" s="0" t="n">
        <f aca="false">IF($B58=I$17,1,0)</f>
        <v>0</v>
      </c>
      <c r="J58" s="0" t="n">
        <f aca="false">IF($B58=J$17,1,0)</f>
        <v>0</v>
      </c>
    </row>
    <row r="59" customFormat="false" ht="13" hidden="false" customHeight="false" outlineLevel="0" collapsed="false">
      <c r="A59" s="0" t="s">
        <v>109</v>
      </c>
      <c r="B59" s="0" t="s">
        <v>69</v>
      </c>
      <c r="C59" s="0" t="n">
        <f aca="false">IF($B59=C$17,1,0)</f>
        <v>0</v>
      </c>
      <c r="D59" s="0" t="n">
        <f aca="false">IF($B59=D$17,1,0)</f>
        <v>0</v>
      </c>
      <c r="E59" s="0" t="n">
        <f aca="false">IF($B59=E$17,1,0)</f>
        <v>0</v>
      </c>
      <c r="F59" s="0" t="n">
        <f aca="false">IF($B59=F$17,1,0)</f>
        <v>0</v>
      </c>
      <c r="G59" s="0" t="n">
        <f aca="false">IF($B59=G$17,1,0)</f>
        <v>1</v>
      </c>
      <c r="H59" s="0" t="n">
        <f aca="false">IF($B59=H$17,1,0)</f>
        <v>0</v>
      </c>
      <c r="I59" s="0" t="n">
        <f aca="false">IF($B59=I$17,1,0)</f>
        <v>0</v>
      </c>
      <c r="J59" s="0" t="n">
        <f aca="false">IF($B59=J$17,1,0)</f>
        <v>0</v>
      </c>
    </row>
    <row r="60" customFormat="false" ht="13" hidden="false" customHeight="false" outlineLevel="0" collapsed="false">
      <c r="A60" s="1" t="s">
        <v>110</v>
      </c>
      <c r="B60" s="0" t="s">
        <v>71</v>
      </c>
      <c r="C60" s="0" t="n">
        <f aca="false">IF($B60=C$17,1,0)</f>
        <v>0</v>
      </c>
      <c r="D60" s="0" t="n">
        <f aca="false">IF($B60=D$17,1,0)</f>
        <v>0</v>
      </c>
      <c r="E60" s="0" t="n">
        <f aca="false">IF($B60=E$17,1,0)</f>
        <v>0</v>
      </c>
      <c r="F60" s="0" t="n">
        <f aca="false">IF($B60=F$17,1,0)</f>
        <v>0</v>
      </c>
      <c r="G60" s="0" t="n">
        <f aca="false">IF($B60=G$17,1,0)</f>
        <v>0</v>
      </c>
      <c r="H60" s="0" t="n">
        <f aca="false">IF($B60=H$17,1,0)</f>
        <v>0</v>
      </c>
      <c r="I60" s="0" t="n">
        <f aca="false">IF($B60=I$17,1,0)</f>
        <v>1</v>
      </c>
      <c r="J60" s="0" t="n">
        <f aca="false">IF($B60=J$17,1,0)</f>
        <v>0</v>
      </c>
    </row>
    <row r="61" customFormat="false" ht="13" hidden="false" customHeight="false" outlineLevel="0" collapsed="false">
      <c r="A61" s="0" t="s">
        <v>111</v>
      </c>
      <c r="B61" s="0" t="s">
        <v>71</v>
      </c>
      <c r="C61" s="0" t="n">
        <f aca="false">IF($B61=C$17,1,0)</f>
        <v>0</v>
      </c>
      <c r="D61" s="0" t="n">
        <f aca="false">IF($B61=D$17,1,0)</f>
        <v>0</v>
      </c>
      <c r="E61" s="0" t="n">
        <f aca="false">IF($B61=E$17,1,0)</f>
        <v>0</v>
      </c>
      <c r="F61" s="0" t="n">
        <f aca="false">IF($B61=F$17,1,0)</f>
        <v>0</v>
      </c>
      <c r="G61" s="0" t="n">
        <f aca="false">IF($B61=G$17,1,0)</f>
        <v>0</v>
      </c>
      <c r="H61" s="0" t="n">
        <f aca="false">IF($B61=H$17,1,0)</f>
        <v>0</v>
      </c>
      <c r="I61" s="0" t="n">
        <f aca="false">IF($B61=I$17,1,0)</f>
        <v>1</v>
      </c>
      <c r="J61" s="0" t="n">
        <f aca="false">IF($B61=J$17,1,0)</f>
        <v>0</v>
      </c>
    </row>
    <row r="62" customFormat="false" ht="13" hidden="false" customHeight="false" outlineLevel="0" collapsed="false">
      <c r="A62" s="0" t="s">
        <v>112</v>
      </c>
      <c r="B62" s="0" t="s">
        <v>67</v>
      </c>
      <c r="C62" s="0" t="n">
        <f aca="false">IF($B62=C$17,1,0)</f>
        <v>0</v>
      </c>
      <c r="D62" s="0" t="n">
        <f aca="false">IF($B62=D$17,1,0)</f>
        <v>0</v>
      </c>
      <c r="E62" s="0" t="n">
        <f aca="false">IF($B62=E$17,1,0)</f>
        <v>1</v>
      </c>
      <c r="F62" s="0" t="n">
        <f aca="false">IF($B62=F$17,1,0)</f>
        <v>0</v>
      </c>
      <c r="G62" s="0" t="n">
        <f aca="false">IF($B62=G$17,1,0)</f>
        <v>0</v>
      </c>
      <c r="H62" s="0" t="n">
        <f aca="false">IF($B62=H$17,1,0)</f>
        <v>0</v>
      </c>
      <c r="I62" s="0" t="n">
        <f aca="false">IF($B62=I$17,1,0)</f>
        <v>0</v>
      </c>
      <c r="J62" s="0" t="n">
        <f aca="false">IF($B62=J$17,1,0)</f>
        <v>0</v>
      </c>
    </row>
    <row r="63" customFormat="false" ht="13" hidden="false" customHeight="false" outlineLevel="0" collapsed="false">
      <c r="A63" s="0" t="s">
        <v>113</v>
      </c>
      <c r="B63" s="0" t="s">
        <v>69</v>
      </c>
      <c r="C63" s="0" t="n">
        <f aca="false">IF($B63=C$17,1,0)</f>
        <v>0</v>
      </c>
      <c r="D63" s="0" t="n">
        <f aca="false">IF($B63=D$17,1,0)</f>
        <v>0</v>
      </c>
      <c r="E63" s="0" t="n">
        <f aca="false">IF($B63=E$17,1,0)</f>
        <v>0</v>
      </c>
      <c r="F63" s="0" t="n">
        <f aca="false">IF($B63=F$17,1,0)</f>
        <v>0</v>
      </c>
      <c r="G63" s="0" t="n">
        <f aca="false">IF($B63=G$17,1,0)</f>
        <v>1</v>
      </c>
      <c r="H63" s="0" t="n">
        <f aca="false">IF($B63=H$17,1,0)</f>
        <v>0</v>
      </c>
      <c r="I63" s="0" t="n">
        <f aca="false">IF($B63=I$17,1,0)</f>
        <v>0</v>
      </c>
      <c r="J63" s="0" t="n">
        <f aca="false">IF($B63=J$17,1,0)</f>
        <v>0</v>
      </c>
    </row>
    <row r="64" customFormat="false" ht="13" hidden="false" customHeight="false" outlineLevel="0" collapsed="false">
      <c r="A64" s="0" t="s">
        <v>114</v>
      </c>
      <c r="B64" s="0" t="s">
        <v>71</v>
      </c>
      <c r="C64" s="0" t="n">
        <f aca="false">IF($B64=C$17,1,0)</f>
        <v>0</v>
      </c>
      <c r="D64" s="0" t="n">
        <f aca="false">IF($B64=D$17,1,0)</f>
        <v>0</v>
      </c>
      <c r="E64" s="0" t="n">
        <f aca="false">IF($B64=E$17,1,0)</f>
        <v>0</v>
      </c>
      <c r="F64" s="0" t="n">
        <f aca="false">IF($B64=F$17,1,0)</f>
        <v>0</v>
      </c>
      <c r="G64" s="0" t="n">
        <f aca="false">IF($B64=G$17,1,0)</f>
        <v>0</v>
      </c>
      <c r="H64" s="0" t="n">
        <f aca="false">IF($B64=H$17,1,0)</f>
        <v>0</v>
      </c>
      <c r="I64" s="0" t="n">
        <f aca="false">IF($B64=I$17,1,0)</f>
        <v>1</v>
      </c>
      <c r="J64" s="0" t="n">
        <f aca="false">IF($B64=J$17,1,0)</f>
        <v>0</v>
      </c>
    </row>
    <row r="65" customFormat="false" ht="13" hidden="false" customHeight="false" outlineLevel="0" collapsed="false">
      <c r="A65" s="0" t="s">
        <v>115</v>
      </c>
      <c r="B65" s="0" t="s">
        <v>71</v>
      </c>
      <c r="C65" s="0" t="n">
        <f aca="false">IF($B65=C$17,1,0)</f>
        <v>0</v>
      </c>
      <c r="D65" s="0" t="n">
        <f aca="false">IF($B65=D$17,1,0)</f>
        <v>0</v>
      </c>
      <c r="E65" s="0" t="n">
        <f aca="false">IF($B65=E$17,1,0)</f>
        <v>0</v>
      </c>
      <c r="F65" s="0" t="n">
        <f aca="false">IF($B65=F$17,1,0)</f>
        <v>0</v>
      </c>
      <c r="G65" s="0" t="n">
        <f aca="false">IF($B65=G$17,1,0)</f>
        <v>0</v>
      </c>
      <c r="H65" s="0" t="n">
        <f aca="false">IF($B65=H$17,1,0)</f>
        <v>0</v>
      </c>
      <c r="I65" s="0" t="n">
        <f aca="false">IF($B65=I$17,1,0)</f>
        <v>1</v>
      </c>
      <c r="J65" s="0" t="n">
        <f aca="false">IF($B65=J$17,1,0)</f>
        <v>0</v>
      </c>
    </row>
    <row r="66" customFormat="false" ht="13" hidden="false" customHeight="false" outlineLevel="0" collapsed="false">
      <c r="A66" s="0" t="s">
        <v>116</v>
      </c>
      <c r="B66" s="0" t="s">
        <v>66</v>
      </c>
      <c r="C66" s="0" t="n">
        <f aca="false">IF($B66=C$17,1,0)</f>
        <v>0</v>
      </c>
      <c r="D66" s="0" t="n">
        <f aca="false">IF($B66=D$17,1,0)</f>
        <v>1</v>
      </c>
      <c r="E66" s="0" t="n">
        <f aca="false">IF($B66=E$17,1,0)</f>
        <v>0</v>
      </c>
      <c r="F66" s="0" t="n">
        <f aca="false">IF($B66=F$17,1,0)</f>
        <v>0</v>
      </c>
      <c r="G66" s="0" t="n">
        <f aca="false">IF($B66=G$17,1,0)</f>
        <v>0</v>
      </c>
      <c r="H66" s="0" t="n">
        <f aca="false">IF($B66=H$17,1,0)</f>
        <v>0</v>
      </c>
      <c r="I66" s="0" t="n">
        <f aca="false">IF($B66=I$17,1,0)</f>
        <v>0</v>
      </c>
      <c r="J66" s="0" t="n">
        <f aca="false">IF($B66=J$17,1,0)</f>
        <v>0</v>
      </c>
    </row>
    <row r="67" customFormat="false" ht="13" hidden="false" customHeight="false" outlineLevel="0" collapsed="false">
      <c r="A67" s="0" t="s">
        <v>117</v>
      </c>
      <c r="B67" s="0" t="s">
        <v>66</v>
      </c>
      <c r="C67" s="0" t="n">
        <f aca="false">IF($B67=C$17,1,0)</f>
        <v>0</v>
      </c>
      <c r="D67" s="0" t="n">
        <f aca="false">IF($B67=D$17,1,0)</f>
        <v>1</v>
      </c>
      <c r="E67" s="0" t="n">
        <f aca="false">IF($B67=E$17,1,0)</f>
        <v>0</v>
      </c>
      <c r="F67" s="0" t="n">
        <f aca="false">IF($B67=F$17,1,0)</f>
        <v>0</v>
      </c>
      <c r="G67" s="0" t="n">
        <f aca="false">IF($B67=G$17,1,0)</f>
        <v>0</v>
      </c>
      <c r="H67" s="0" t="n">
        <f aca="false">IF($B67=H$17,1,0)</f>
        <v>0</v>
      </c>
      <c r="I67" s="0" t="n">
        <f aca="false">IF($B67=I$17,1,0)</f>
        <v>0</v>
      </c>
      <c r="J67" s="0" t="n">
        <f aca="false">IF($B67=J$17,1,0)</f>
        <v>0</v>
      </c>
    </row>
    <row r="68" customFormat="false" ht="13" hidden="false" customHeight="false" outlineLevel="0" collapsed="false">
      <c r="A68" s="0" t="s">
        <v>118</v>
      </c>
      <c r="B68" s="0" t="s">
        <v>67</v>
      </c>
      <c r="C68" s="0" t="n">
        <f aca="false">IF($B68=C$17,1,0)</f>
        <v>0</v>
      </c>
      <c r="D68" s="0" t="n">
        <f aca="false">IF($B68=D$17,1,0)</f>
        <v>0</v>
      </c>
      <c r="E68" s="0" t="n">
        <f aca="false">IF($B68=E$17,1,0)</f>
        <v>1</v>
      </c>
      <c r="F68" s="0" t="n">
        <f aca="false">IF($B68=F$17,1,0)</f>
        <v>0</v>
      </c>
      <c r="G68" s="0" t="n">
        <f aca="false">IF($B68=G$17,1,0)</f>
        <v>0</v>
      </c>
      <c r="H68" s="0" t="n">
        <f aca="false">IF($B68=H$17,1,0)</f>
        <v>0</v>
      </c>
      <c r="I68" s="0" t="n">
        <f aca="false">IF($B68=I$17,1,0)</f>
        <v>0</v>
      </c>
      <c r="J68" s="0" t="n">
        <f aca="false">IF($B68=J$17,1,0)</f>
        <v>0</v>
      </c>
    </row>
    <row r="69" customFormat="false" ht="13" hidden="false" customHeight="false" outlineLevel="0" collapsed="false">
      <c r="A69" s="0" t="s">
        <v>119</v>
      </c>
      <c r="B69" s="0" t="s">
        <v>68</v>
      </c>
      <c r="C69" s="0" t="n">
        <f aca="false">IF($B69=C$17,1,0)</f>
        <v>0</v>
      </c>
      <c r="D69" s="0" t="n">
        <f aca="false">IF($B69=D$17,1,0)</f>
        <v>0</v>
      </c>
      <c r="E69" s="0" t="n">
        <f aca="false">IF($B69=E$17,1,0)</f>
        <v>0</v>
      </c>
      <c r="F69" s="0" t="n">
        <f aca="false">IF($B69=F$17,1,0)</f>
        <v>1</v>
      </c>
      <c r="G69" s="0" t="n">
        <f aca="false">IF($B69=G$17,1,0)</f>
        <v>0</v>
      </c>
      <c r="H69" s="0" t="n">
        <f aca="false">IF($B69=H$17,1,0)</f>
        <v>0</v>
      </c>
      <c r="I69" s="0" t="n">
        <f aca="false">IF($B69=I$17,1,0)</f>
        <v>0</v>
      </c>
      <c r="J69" s="0" t="n">
        <f aca="false">IF($B69=J$17,1,0)</f>
        <v>0</v>
      </c>
    </row>
    <row r="70" customFormat="false" ht="13" hidden="false" customHeight="false" outlineLevel="0" collapsed="false">
      <c r="A70" s="0" t="s">
        <v>120</v>
      </c>
      <c r="B70" s="0" t="s">
        <v>66</v>
      </c>
      <c r="C70" s="0" t="n">
        <f aca="false">IF($B70=C$17,1,0)</f>
        <v>0</v>
      </c>
      <c r="D70" s="0" t="n">
        <f aca="false">IF($B70=D$17,1,0)</f>
        <v>1</v>
      </c>
      <c r="E70" s="0" t="n">
        <f aca="false">IF($B70=E$17,1,0)</f>
        <v>0</v>
      </c>
      <c r="F70" s="0" t="n">
        <f aca="false">IF($B70=F$17,1,0)</f>
        <v>0</v>
      </c>
      <c r="G70" s="0" t="n">
        <f aca="false">IF($B70=G$17,1,0)</f>
        <v>0</v>
      </c>
      <c r="H70" s="0" t="n">
        <f aca="false">IF($B70=H$17,1,0)</f>
        <v>0</v>
      </c>
      <c r="I70" s="0" t="n">
        <f aca="false">IF($B70=I$17,1,0)</f>
        <v>0</v>
      </c>
      <c r="J70" s="0" t="n">
        <f aca="false">IF($B70=J$17,1,0)</f>
        <v>0</v>
      </c>
    </row>
    <row r="71" customFormat="false" ht="13" hidden="false" customHeight="false" outlineLevel="0" collapsed="false">
      <c r="A71" s="0" t="s">
        <v>121</v>
      </c>
      <c r="B71" s="0" t="s">
        <v>69</v>
      </c>
      <c r="C71" s="0" t="n">
        <f aca="false">IF($B71=C$17,1,0)</f>
        <v>0</v>
      </c>
      <c r="D71" s="0" t="n">
        <f aca="false">IF($B71=D$17,1,0)</f>
        <v>0</v>
      </c>
      <c r="E71" s="0" t="n">
        <f aca="false">IF($B71=E$17,1,0)</f>
        <v>0</v>
      </c>
      <c r="F71" s="0" t="n">
        <f aca="false">IF($B71=F$17,1,0)</f>
        <v>0</v>
      </c>
      <c r="G71" s="0" t="n">
        <f aca="false">IF($B71=G$17,1,0)</f>
        <v>1</v>
      </c>
      <c r="H71" s="0" t="n">
        <f aca="false">IF($B71=H$17,1,0)</f>
        <v>0</v>
      </c>
      <c r="I71" s="0" t="n">
        <f aca="false">IF($B71=I$17,1,0)</f>
        <v>0</v>
      </c>
      <c r="J71" s="0" t="n">
        <f aca="false">IF($B71=J$17,1,0)</f>
        <v>0</v>
      </c>
    </row>
    <row r="72" customFormat="false" ht="13" hidden="false" customHeight="false" outlineLevel="0" collapsed="false">
      <c r="A72" s="0" t="s">
        <v>122</v>
      </c>
      <c r="B72" s="0" t="s">
        <v>69</v>
      </c>
      <c r="C72" s="0" t="n">
        <f aca="false">IF($B72=C$17,1,0)</f>
        <v>0</v>
      </c>
      <c r="D72" s="0" t="n">
        <f aca="false">IF($B72=D$17,1,0)</f>
        <v>0</v>
      </c>
      <c r="E72" s="0" t="n">
        <f aca="false">IF($B72=E$17,1,0)</f>
        <v>0</v>
      </c>
      <c r="F72" s="0" t="n">
        <f aca="false">IF($B72=F$17,1,0)</f>
        <v>0</v>
      </c>
      <c r="G72" s="0" t="n">
        <f aca="false">IF($B72=G$17,1,0)</f>
        <v>1</v>
      </c>
      <c r="H72" s="0" t="n">
        <f aca="false">IF($B72=H$17,1,0)</f>
        <v>0</v>
      </c>
      <c r="I72" s="0" t="n">
        <f aca="false">IF($B72=I$17,1,0)</f>
        <v>0</v>
      </c>
      <c r="J72" s="0" t="n">
        <f aca="false">IF($B72=J$17,1,0)</f>
        <v>0</v>
      </c>
    </row>
    <row r="73" customFormat="false" ht="13" hidden="false" customHeight="false" outlineLevel="0" collapsed="false">
      <c r="A73" s="0" t="s">
        <v>123</v>
      </c>
      <c r="B73" s="0" t="s">
        <v>70</v>
      </c>
      <c r="C73" s="0" t="n">
        <f aca="false">IF($B73=C$17,1,0)</f>
        <v>0</v>
      </c>
      <c r="D73" s="0" t="n">
        <f aca="false">IF($B73=D$17,1,0)</f>
        <v>0</v>
      </c>
      <c r="E73" s="0" t="n">
        <f aca="false">IF($B73=E$17,1,0)</f>
        <v>0</v>
      </c>
      <c r="F73" s="0" t="n">
        <f aca="false">IF($B73=F$17,1,0)</f>
        <v>0</v>
      </c>
      <c r="G73" s="0" t="n">
        <f aca="false">IF($B73=G$17,1,0)</f>
        <v>0</v>
      </c>
      <c r="H73" s="0" t="n">
        <f aca="false">IF($B73=H$17,1,0)</f>
        <v>1</v>
      </c>
      <c r="I73" s="0" t="n">
        <f aca="false">IF($B73=I$17,1,0)</f>
        <v>0</v>
      </c>
      <c r="J73" s="0" t="n">
        <f aca="false">IF($B73=J$17,1,0)</f>
        <v>0</v>
      </c>
    </row>
    <row r="74" customFormat="false" ht="13" hidden="false" customHeight="false" outlineLevel="0" collapsed="false">
      <c r="A74" s="0" t="s">
        <v>124</v>
      </c>
      <c r="B74" s="0" t="s">
        <v>67</v>
      </c>
      <c r="C74" s="0" t="n">
        <f aca="false">IF($B74=C$17,1,0)</f>
        <v>0</v>
      </c>
      <c r="D74" s="0" t="n">
        <f aca="false">IF($B74=D$17,1,0)</f>
        <v>0</v>
      </c>
      <c r="E74" s="0" t="n">
        <f aca="false">IF($B74=E$17,1,0)</f>
        <v>1</v>
      </c>
      <c r="F74" s="0" t="n">
        <f aca="false">IF($B74=F$17,1,0)</f>
        <v>0</v>
      </c>
      <c r="G74" s="0" t="n">
        <f aca="false">IF($B74=G$17,1,0)</f>
        <v>0</v>
      </c>
      <c r="H74" s="0" t="n">
        <f aca="false">IF($B74=H$17,1,0)</f>
        <v>0</v>
      </c>
      <c r="I74" s="0" t="n">
        <f aca="false">IF($B74=I$17,1,0)</f>
        <v>0</v>
      </c>
      <c r="J74" s="0" t="n">
        <f aca="false">IF($B74=J$17,1,0)</f>
        <v>0</v>
      </c>
    </row>
    <row r="75" customFormat="false" ht="13" hidden="false" customHeight="false" outlineLevel="0" collapsed="false">
      <c r="A75" s="0" t="s">
        <v>125</v>
      </c>
      <c r="B75" s="0" t="s">
        <v>69</v>
      </c>
      <c r="C75" s="0" t="n">
        <f aca="false">IF($B75=C$17,1,0)</f>
        <v>0</v>
      </c>
      <c r="D75" s="0" t="n">
        <f aca="false">IF($B75=D$17,1,0)</f>
        <v>0</v>
      </c>
      <c r="E75" s="0" t="n">
        <f aca="false">IF($B75=E$17,1,0)</f>
        <v>0</v>
      </c>
      <c r="F75" s="0" t="n">
        <f aca="false">IF($B75=F$17,1,0)</f>
        <v>0</v>
      </c>
      <c r="G75" s="0" t="n">
        <f aca="false">IF($B75=G$17,1,0)</f>
        <v>1</v>
      </c>
      <c r="H75" s="0" t="n">
        <f aca="false">IF($B75=H$17,1,0)</f>
        <v>0</v>
      </c>
      <c r="I75" s="0" t="n">
        <f aca="false">IF($B75=I$17,1,0)</f>
        <v>0</v>
      </c>
      <c r="J75" s="0" t="n">
        <f aca="false">IF($B75=J$17,1,0)</f>
        <v>0</v>
      </c>
    </row>
    <row r="76" customFormat="false" ht="13" hidden="false" customHeight="false" outlineLevel="0" collapsed="false">
      <c r="A76" s="0" t="s">
        <v>126</v>
      </c>
      <c r="B76" s="0" t="s">
        <v>71</v>
      </c>
      <c r="C76" s="0" t="n">
        <f aca="false">IF($B76=C$17,1,0)</f>
        <v>0</v>
      </c>
      <c r="D76" s="0" t="n">
        <f aca="false">IF($B76=D$17,1,0)</f>
        <v>0</v>
      </c>
      <c r="E76" s="0" t="n">
        <f aca="false">IF($B76=E$17,1,0)</f>
        <v>0</v>
      </c>
      <c r="F76" s="0" t="n">
        <f aca="false">IF($B76=F$17,1,0)</f>
        <v>0</v>
      </c>
      <c r="G76" s="0" t="n">
        <f aca="false">IF($B76=G$17,1,0)</f>
        <v>0</v>
      </c>
      <c r="H76" s="0" t="n">
        <f aca="false">IF($B76=H$17,1,0)</f>
        <v>0</v>
      </c>
      <c r="I76" s="0" t="n">
        <f aca="false">IF($B76=I$17,1,0)</f>
        <v>1</v>
      </c>
      <c r="J76" s="0" t="n">
        <f aca="false">IF($B76=J$17,1,0)</f>
        <v>0</v>
      </c>
    </row>
    <row r="77" customFormat="false" ht="13" hidden="false" customHeight="false" outlineLevel="0" collapsed="false">
      <c r="A77" s="0" t="s">
        <v>127</v>
      </c>
      <c r="B77" s="0" t="s">
        <v>71</v>
      </c>
      <c r="C77" s="0" t="n">
        <f aca="false">IF($B77=C$17,1,0)</f>
        <v>0</v>
      </c>
      <c r="D77" s="0" t="n">
        <f aca="false">IF($B77=D$17,1,0)</f>
        <v>0</v>
      </c>
      <c r="E77" s="0" t="n">
        <f aca="false">IF($B77=E$17,1,0)</f>
        <v>0</v>
      </c>
      <c r="F77" s="0" t="n">
        <f aca="false">IF($B77=F$17,1,0)</f>
        <v>0</v>
      </c>
      <c r="G77" s="0" t="n">
        <f aca="false">IF($B77=G$17,1,0)</f>
        <v>0</v>
      </c>
      <c r="H77" s="0" t="n">
        <f aca="false">IF($B77=H$17,1,0)</f>
        <v>0</v>
      </c>
      <c r="I77" s="0" t="n">
        <f aca="false">IF($B77=I$17,1,0)</f>
        <v>1</v>
      </c>
      <c r="J77" s="0" t="n">
        <f aca="false">IF($B77=J$17,1,0)</f>
        <v>0</v>
      </c>
    </row>
    <row r="78" customFormat="false" ht="13" hidden="false" customHeight="false" outlineLevel="0" collapsed="false">
      <c r="A78" s="0" t="s">
        <v>128</v>
      </c>
      <c r="B78" s="0" t="s">
        <v>68</v>
      </c>
      <c r="C78" s="0" t="n">
        <f aca="false">IF($B78=C$17,1,0)</f>
        <v>0</v>
      </c>
      <c r="D78" s="0" t="n">
        <f aca="false">IF($B78=D$17,1,0)</f>
        <v>0</v>
      </c>
      <c r="E78" s="0" t="n">
        <f aca="false">IF($B78=E$17,1,0)</f>
        <v>0</v>
      </c>
      <c r="F78" s="0" t="n">
        <f aca="false">IF($B78=F$17,1,0)</f>
        <v>1</v>
      </c>
      <c r="G78" s="0" t="n">
        <f aca="false">IF($B78=G$17,1,0)</f>
        <v>0</v>
      </c>
      <c r="H78" s="0" t="n">
        <f aca="false">IF($B78=H$17,1,0)</f>
        <v>0</v>
      </c>
      <c r="I78" s="0" t="n">
        <f aca="false">IF($B78=I$17,1,0)</f>
        <v>0</v>
      </c>
      <c r="J78" s="0" t="n">
        <f aca="false">IF($B78=J$17,1,0)</f>
        <v>0</v>
      </c>
    </row>
    <row r="79" customFormat="false" ht="13" hidden="false" customHeight="false" outlineLevel="0" collapsed="false">
      <c r="A79" s="0" t="s">
        <v>129</v>
      </c>
      <c r="B79" s="0" t="s">
        <v>70</v>
      </c>
      <c r="C79" s="0" t="n">
        <f aca="false">IF($B79=C$17,1,0)</f>
        <v>0</v>
      </c>
      <c r="D79" s="0" t="n">
        <f aca="false">IF($B79=D$17,1,0)</f>
        <v>0</v>
      </c>
      <c r="E79" s="0" t="n">
        <f aca="false">IF($B79=E$17,1,0)</f>
        <v>0</v>
      </c>
      <c r="F79" s="0" t="n">
        <f aca="false">IF($B79=F$17,1,0)</f>
        <v>0</v>
      </c>
      <c r="G79" s="0" t="n">
        <f aca="false">IF($B79=G$17,1,0)</f>
        <v>0</v>
      </c>
      <c r="H79" s="0" t="n">
        <f aca="false">IF($B79=H$17,1,0)</f>
        <v>1</v>
      </c>
      <c r="I79" s="0" t="n">
        <f aca="false">IF($B79=I$17,1,0)</f>
        <v>0</v>
      </c>
      <c r="J79" s="0" t="n">
        <f aca="false">IF($B79=J$17,1,0)</f>
        <v>0</v>
      </c>
    </row>
    <row r="80" customFormat="false" ht="13" hidden="false" customHeight="false" outlineLevel="0" collapsed="false">
      <c r="A80" s="0" t="s">
        <v>130</v>
      </c>
      <c r="B80" s="0" t="s">
        <v>71</v>
      </c>
      <c r="C80" s="0" t="n">
        <f aca="false">IF($B80=C$17,1,0)</f>
        <v>0</v>
      </c>
      <c r="D80" s="0" t="n">
        <f aca="false">IF($B80=D$17,1,0)</f>
        <v>0</v>
      </c>
      <c r="E80" s="0" t="n">
        <f aca="false">IF($B80=E$17,1,0)</f>
        <v>0</v>
      </c>
      <c r="F80" s="0" t="n">
        <f aca="false">IF($B80=F$17,1,0)</f>
        <v>0</v>
      </c>
      <c r="G80" s="0" t="n">
        <f aca="false">IF($B80=G$17,1,0)</f>
        <v>0</v>
      </c>
      <c r="H80" s="0" t="n">
        <f aca="false">IF($B80=H$17,1,0)</f>
        <v>0</v>
      </c>
      <c r="I80" s="0" t="n">
        <f aca="false">IF($B80=I$17,1,0)</f>
        <v>1</v>
      </c>
      <c r="J80" s="0" t="n">
        <f aca="false">IF($B80=J$17,1,0)</f>
        <v>0</v>
      </c>
    </row>
    <row r="81" customFormat="false" ht="13" hidden="false" customHeight="false" outlineLevel="0" collapsed="false">
      <c r="A81" s="1" t="s">
        <v>131</v>
      </c>
      <c r="B81" s="0" t="s">
        <v>72</v>
      </c>
      <c r="C81" s="0" t="n">
        <f aca="false">IF($B81=C$17,1,0)</f>
        <v>0</v>
      </c>
      <c r="D81" s="0" t="n">
        <f aca="false">IF($B81=D$17,1,0)</f>
        <v>0</v>
      </c>
      <c r="E81" s="0" t="n">
        <f aca="false">IF($B81=E$17,1,0)</f>
        <v>0</v>
      </c>
      <c r="F81" s="0" t="n">
        <f aca="false">IF($B81=F$17,1,0)</f>
        <v>0</v>
      </c>
      <c r="G81" s="0" t="n">
        <f aca="false">IF($B81=G$17,1,0)</f>
        <v>0</v>
      </c>
      <c r="H81" s="0" t="n">
        <f aca="false">IF($B81=H$17,1,0)</f>
        <v>0</v>
      </c>
      <c r="I81" s="0" t="n">
        <f aca="false">IF($B81=I$17,1,0)</f>
        <v>0</v>
      </c>
      <c r="J81" s="0" t="n">
        <f aca="false">IF($B81=J$17,1,0)</f>
        <v>1</v>
      </c>
    </row>
    <row r="83" customFormat="false" ht="13" hidden="false" customHeight="false" outlineLevel="0" collapsed="false">
      <c r="C83" s="0" t="n">
        <f aca="false">SUM(C18:C81)</f>
        <v>16</v>
      </c>
      <c r="D83" s="0" t="n">
        <f aca="false">SUM(D18:D81)</f>
        <v>9</v>
      </c>
      <c r="E83" s="0" t="n">
        <f aca="false">SUM(E18:E81)</f>
        <v>9</v>
      </c>
      <c r="F83" s="0" t="n">
        <f aca="false">SUM(F18:F81)</f>
        <v>3</v>
      </c>
      <c r="G83" s="0" t="n">
        <f aca="false">SUM(G18:G81)</f>
        <v>16</v>
      </c>
      <c r="H83" s="0" t="n">
        <f aca="false">SUM(H18:H81)</f>
        <v>3</v>
      </c>
      <c r="I83" s="0" t="n">
        <f aca="false">SUM(I18:I81)</f>
        <v>7</v>
      </c>
      <c r="J83" s="0" t="n">
        <f aca="false">SUM(J18:J81)</f>
        <v>1</v>
      </c>
      <c r="K83" s="0" t="n">
        <f aca="false">SUM(C83:J83)</f>
        <v>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S2" activeCellId="0" sqref="S2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34" min="1" style="0" width="5.7"/>
  </cols>
  <sheetData>
    <row r="1" customFormat="false" ht="13" hidden="false" customHeight="false" outlineLevel="0" collapsed="false">
      <c r="A1" s="0" t="s">
        <v>132</v>
      </c>
      <c r="B1" s="0" t="s">
        <v>133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134</v>
      </c>
      <c r="H1" s="0" t="s">
        <v>135</v>
      </c>
      <c r="I1" s="0" t="s">
        <v>136</v>
      </c>
      <c r="J1" s="0" t="s">
        <v>137</v>
      </c>
      <c r="K1" s="0" t="s">
        <v>138</v>
      </c>
      <c r="L1" s="0" t="s">
        <v>139</v>
      </c>
      <c r="M1" s="0" t="s">
        <v>140</v>
      </c>
      <c r="N1" s="0" t="s">
        <v>141</v>
      </c>
      <c r="O1" s="0" t="s">
        <v>142</v>
      </c>
      <c r="P1" s="0" t="s">
        <v>143</v>
      </c>
      <c r="Q1" s="0" t="s">
        <v>144</v>
      </c>
      <c r="R1" s="0" t="s">
        <v>145</v>
      </c>
      <c r="S1" s="0" t="s">
        <v>146</v>
      </c>
      <c r="T1" s="0" t="s">
        <v>147</v>
      </c>
      <c r="U1" s="0" t="s">
        <v>148</v>
      </c>
      <c r="V1" s="0" t="s">
        <v>149</v>
      </c>
      <c r="W1" s="0" t="s">
        <v>150</v>
      </c>
      <c r="X1" s="0" t="s">
        <v>151</v>
      </c>
      <c r="Y1" s="0" t="s">
        <v>152</v>
      </c>
      <c r="Z1" s="0" t="s">
        <v>153</v>
      </c>
      <c r="AA1" s="0" t="s">
        <v>154</v>
      </c>
      <c r="AB1" s="0" t="s">
        <v>155</v>
      </c>
      <c r="AC1" s="0" t="s">
        <v>156</v>
      </c>
      <c r="AD1" s="0" t="s">
        <v>157</v>
      </c>
      <c r="AE1" s="0" t="s">
        <v>158</v>
      </c>
      <c r="AF1" s="0" t="s">
        <v>159</v>
      </c>
      <c r="AG1" s="0" t="s">
        <v>160</v>
      </c>
      <c r="AH1" s="0" t="s">
        <v>161</v>
      </c>
    </row>
    <row r="2" customFormat="false" ht="13" hidden="false" customHeight="false" outlineLevel="0" collapsed="false">
      <c r="A2" s="1" t="s">
        <v>1</v>
      </c>
      <c r="B2" s="1" t="s">
        <v>1</v>
      </c>
      <c r="C2" s="1" t="n">
        <f aca="false">(IF($A2="V",1,0))+IF($B2="V",1,0)</f>
        <v>2</v>
      </c>
      <c r="D2" s="1" t="n">
        <f aca="false">(IF($A2="E",1,0))+IF($B2="E",1,0)</f>
        <v>0</v>
      </c>
      <c r="E2" s="1" t="n">
        <f aca="false">(IF($A2="O",1,0))+IF($B2="O",1,0)</f>
        <v>0</v>
      </c>
      <c r="F2" s="1" t="n">
        <f aca="false">(IF($A2="L",1,0))+IF($B2="L",1,0)</f>
        <v>0</v>
      </c>
      <c r="G2" s="1" t="n">
        <f aca="false">(IF(A2="V",1,0))</f>
        <v>1</v>
      </c>
      <c r="H2" s="1" t="n">
        <f aca="false">(IF(A2="E",1,0))</f>
        <v>0</v>
      </c>
      <c r="I2" s="1" t="n">
        <f aca="false">(IF(A2="O",1,0))</f>
        <v>0</v>
      </c>
      <c r="J2" s="1" t="n">
        <f aca="false">(IF(A2="L",1,0))</f>
        <v>0</v>
      </c>
      <c r="K2" s="1" t="n">
        <f aca="false">(IF(B2="V",1,0))</f>
        <v>1</v>
      </c>
      <c r="L2" s="1" t="n">
        <f aca="false">(IF(B2="E",1,0))</f>
        <v>0</v>
      </c>
      <c r="M2" s="1" t="n">
        <f aca="false">(IF(B2="O",1,0))</f>
        <v>0</v>
      </c>
      <c r="N2" s="1" t="n">
        <f aca="false">(IF(B2="L",1,0))</f>
        <v>0</v>
      </c>
      <c r="O2" s="1" t="n">
        <f aca="false">MAX(C2-1,0)</f>
        <v>1</v>
      </c>
      <c r="P2" s="1" t="n">
        <f aca="false">MAX(O2-1+D2,0)</f>
        <v>0</v>
      </c>
      <c r="Q2" s="1" t="n">
        <f aca="false">MAX(P2-1+E2,0)</f>
        <v>0</v>
      </c>
      <c r="R2" s="1" t="n">
        <f aca="false">MAX(Q2-1+F2,0)</f>
        <v>0</v>
      </c>
      <c r="S2" s="1" t="n">
        <f aca="false">0.5*($O2*G2+$P2*H2+$Q2*I2+$R2*J2)</f>
        <v>0.5</v>
      </c>
      <c r="T2" s="1" t="n">
        <f aca="false">0.5*($O2*K2+$P2*L2+$Q2*M2+$R2*N2)</f>
        <v>0.5</v>
      </c>
      <c r="U2" s="1" t="n">
        <f aca="false">IF(A2="V",-2,0)+IF(A2="E",-1,0)+IF(A2="O",0,0)+IF(A2="L",1,0)+S2</f>
        <v>-1.5</v>
      </c>
      <c r="V2" s="1" t="n">
        <f aca="false">IF(B2="V",-2,0)+IF(B2="E",-1,0)+IF(B2="O",0,0)+IF(B2="L",1,0)+T2</f>
        <v>-1.5</v>
      </c>
      <c r="W2" s="1" t="n">
        <f aca="false">IF(A2="V",-2,0)+IF(A2="E",-1,0)+IF(A2="O",0,0)+IF(A2="L",1,0)</f>
        <v>-2</v>
      </c>
      <c r="X2" s="1" t="n">
        <f aca="false">IF(A2="V",-2,0)+IF(A2="E",-1,0)+IF(A2="O",0,0)+IF(A2="L",1,0)+S2</f>
        <v>-1.5</v>
      </c>
      <c r="Y2" s="1" t="n">
        <f aca="false">IF(A2="V",-2,0)+IF(A2="E",-1,0)+IF(A2="O",0,0)+IF(A2="L",1,0)+S2*2</f>
        <v>-1</v>
      </c>
      <c r="Z2" s="1" t="n">
        <f aca="false">IF(B2="V",-2,0)+IF(B2="E",-1,0)+IF(B2="O",0,0)+IF(B2="L",1,0)</f>
        <v>-2</v>
      </c>
      <c r="AA2" s="1" t="n">
        <f aca="false">IF(B2="V",-2,0)+IF(B2="E",-1,0)+IF(B2="O",0,0)+IF(B2="L",1,0)+T2</f>
        <v>-1.5</v>
      </c>
      <c r="AB2" s="1" t="n">
        <f aca="false">IF(B2="V",-2,0)+IF(B2="E",-1,0)+IF(B2="O",0,0)+IF(B2="L",1,0)+T2*2</f>
        <v>-1</v>
      </c>
      <c r="AC2" s="1" t="n">
        <f aca="false">(ABS(IF(W2&lt;0,W2*Early,W2*Late))+ABS(IF(X2&lt;0,X2*Early,X2*Late))+ABS(IF(Y2&lt;0,Y2*Early,Y2*Late)))/3</f>
        <v>4.5</v>
      </c>
      <c r="AD2" s="1" t="n">
        <f aca="false">(ABS(IF(Z2&lt;0,Z2*Early,Z2*Late))+ABS(IF(AA2&lt;0,AA2*Early,AA2*Late))+ABS(IF(AB2&lt;0,AB2*Early,AB2*Late)))/3</f>
        <v>4.5</v>
      </c>
      <c r="AE2" s="1" t="n">
        <f aca="false">S2*Delay+AC2</f>
        <v>5</v>
      </c>
      <c r="AF2" s="1" t="n">
        <f aca="false">T2*Delay+AD2</f>
        <v>5</v>
      </c>
      <c r="AG2" s="1" t="str">
        <f aca="false">A2&amp;B2</f>
        <v>VV</v>
      </c>
      <c r="AH2" s="1" t="n">
        <f aca="false">AE2+AF2</f>
        <v>10</v>
      </c>
    </row>
    <row r="3" customFormat="false" ht="13" hidden="false" customHeight="false" outlineLevel="0" collapsed="false">
      <c r="A3" s="0" t="s">
        <v>1</v>
      </c>
      <c r="B3" s="0" t="s">
        <v>2</v>
      </c>
      <c r="C3" s="1" t="n">
        <f aca="false">(IF($A3="V",1,0))+IF($B3="V",1,0)</f>
        <v>1</v>
      </c>
      <c r="D3" s="1" t="n">
        <f aca="false">(IF($A3="E",1,0))+IF($B3="E",1,0)</f>
        <v>1</v>
      </c>
      <c r="E3" s="1" t="n">
        <f aca="false">(IF($A3="O",1,0))+IF($B3="O",1,0)</f>
        <v>0</v>
      </c>
      <c r="F3" s="1" t="n">
        <f aca="false">(IF($A3="L",1,0))+IF($B3="L",1,0)</f>
        <v>0</v>
      </c>
      <c r="G3" s="1" t="n">
        <f aca="false">(IF(A3="V",1,0))</f>
        <v>1</v>
      </c>
      <c r="H3" s="0" t="n">
        <f aca="false">(IF(A3="E",1,0))</f>
        <v>0</v>
      </c>
      <c r="I3" s="0" t="n">
        <f aca="false">(IF(A3="O",1,0))</f>
        <v>0</v>
      </c>
      <c r="J3" s="0" t="n">
        <f aca="false">(IF(A3="L",1,0))</f>
        <v>0</v>
      </c>
      <c r="K3" s="0" t="n">
        <f aca="false">(IF(B3="V",1,0))</f>
        <v>0</v>
      </c>
      <c r="L3" s="0" t="n">
        <f aca="false">(IF(B3="E",1,0))</f>
        <v>1</v>
      </c>
      <c r="M3" s="0" t="n">
        <f aca="false">(IF(B3="O",1,0))</f>
        <v>0</v>
      </c>
      <c r="N3" s="0" t="n">
        <f aca="false">(IF(B3="L",1,0))</f>
        <v>0</v>
      </c>
      <c r="O3" s="0" t="n">
        <f aca="false">MAX(C3-1,0)</f>
        <v>0</v>
      </c>
      <c r="P3" s="0" t="n">
        <f aca="false">MAX(O3-1+D3,0)</f>
        <v>0</v>
      </c>
      <c r="Q3" s="0" t="n">
        <f aca="false">MAX(P3-1+E3,0)</f>
        <v>0</v>
      </c>
      <c r="R3" s="0" t="n">
        <f aca="false">MAX(Q3-1+F3,0)</f>
        <v>0</v>
      </c>
      <c r="S3" s="0" t="n">
        <f aca="false">0.5*($O3*G3+$P3*H3+$Q3*I3+$R3*J3)</f>
        <v>0</v>
      </c>
      <c r="T3" s="0" t="n">
        <f aca="false">0.5*($O3*K3+$P3*L3+$Q3*M3+$R3*N3)</f>
        <v>0</v>
      </c>
      <c r="U3" s="0" t="n">
        <f aca="false">IF(A3="V",-2,0)+IF(A3="E",-1,0)+IF(A3="O",0,0)+IF(A3="L",1,0)+S3</f>
        <v>-2</v>
      </c>
      <c r="V3" s="0" t="n">
        <f aca="false">IF(B3="V",-2,0)+IF(B3="E",-1,0)+IF(B3="O",0,0)+IF(B3="L",1,0)+T3</f>
        <v>-1</v>
      </c>
      <c r="W3" s="1" t="n">
        <f aca="false">IF(A3="V",-2,0)+IF(A3="E",-1,0)+IF(A3="O",0,0)+IF(A3="L",1,0)</f>
        <v>-2</v>
      </c>
      <c r="X3" s="1" t="n">
        <f aca="false">IF(A3="V",-2,0)+IF(A3="E",-1,0)+IF(A3="O",0,0)+IF(A3="L",1,0)+S3</f>
        <v>-2</v>
      </c>
      <c r="Y3" s="1" t="n">
        <f aca="false">IF(A3="V",-2,0)+IF(A3="E",-1,0)+IF(A3="O",0,0)+IF(A3="L",1,0)+S3*2</f>
        <v>-2</v>
      </c>
      <c r="Z3" s="1" t="n">
        <f aca="false">IF(B3="V",-2,0)+IF(B3="E",-1,0)+IF(B3="O",0,0)+IF(B3="L",1,0)</f>
        <v>-1</v>
      </c>
      <c r="AA3" s="1" t="n">
        <f aca="false">IF(B3="V",-2,0)+IF(B3="E",-1,0)+IF(B3="O",0,0)+IF(B3="L",1,0)+T3</f>
        <v>-1</v>
      </c>
      <c r="AB3" s="1" t="n">
        <f aca="false">IF(B3="V",-2,0)+IF(B3="E",-1,0)+IF(B3="O",0,0)+IF(B3="L",1,0)+T3*2</f>
        <v>-1</v>
      </c>
      <c r="AC3" s="1" t="n">
        <f aca="false">(ABS(IF(W3&lt;0,W3*Early,W3*Late))+ABS(IF(X3&lt;0,X3*Early,X3*Late))+ABS(IF(Y3&lt;0,Y3*Early,Y3*Late)))/3</f>
        <v>6</v>
      </c>
      <c r="AD3" s="1" t="n">
        <f aca="false">(ABS(IF(Z3&lt;0,Z3*Early,Z3*Late))+ABS(IF(AA3&lt;0,AA3*Early,AA3*Late))+ABS(IF(AB3&lt;0,AB3*Early,AB3*Late)))/3</f>
        <v>3</v>
      </c>
      <c r="AE3" s="0" t="n">
        <f aca="false">S3*Delay+AC3</f>
        <v>6</v>
      </c>
      <c r="AF3" s="0" t="n">
        <f aca="false">T3*Delay+AD3</f>
        <v>3</v>
      </c>
      <c r="AG3" s="1" t="str">
        <f aca="false">A3&amp;B3</f>
        <v>VE</v>
      </c>
      <c r="AH3" s="1" t="n">
        <f aca="false">AE3+AF3</f>
        <v>9</v>
      </c>
    </row>
    <row r="4" customFormat="false" ht="13" hidden="false" customHeight="false" outlineLevel="0" collapsed="false">
      <c r="A4" s="0" t="s">
        <v>1</v>
      </c>
      <c r="B4" s="0" t="s">
        <v>3</v>
      </c>
      <c r="C4" s="1" t="n">
        <f aca="false">(IF($A4="V",1,0))+IF($B4="V",1,0)</f>
        <v>1</v>
      </c>
      <c r="D4" s="1" t="n">
        <f aca="false">(IF($A4="E",1,0))+IF($B4="E",1,0)</f>
        <v>0</v>
      </c>
      <c r="E4" s="1" t="n">
        <f aca="false">(IF($A4="O",1,0))+IF($B4="O",1,0)</f>
        <v>1</v>
      </c>
      <c r="F4" s="1" t="n">
        <f aca="false">(IF($A4="L",1,0))+IF($B4="L",1,0)</f>
        <v>0</v>
      </c>
      <c r="G4" s="1" t="n">
        <f aca="false">(IF(A4="V",1,0))</f>
        <v>1</v>
      </c>
      <c r="H4" s="0" t="n">
        <f aca="false">(IF(A4="E",1,0))</f>
        <v>0</v>
      </c>
      <c r="I4" s="0" t="n">
        <f aca="false">(IF(A4="O",1,0))</f>
        <v>0</v>
      </c>
      <c r="J4" s="0" t="n">
        <f aca="false">(IF(A4="L",1,0))</f>
        <v>0</v>
      </c>
      <c r="K4" s="0" t="n">
        <f aca="false">(IF(B4="V",1,0))</f>
        <v>0</v>
      </c>
      <c r="L4" s="0" t="n">
        <f aca="false">(IF(B4="E",1,0))</f>
        <v>0</v>
      </c>
      <c r="M4" s="0" t="n">
        <f aca="false">(IF(B4="O",1,0))</f>
        <v>1</v>
      </c>
      <c r="N4" s="0" t="n">
        <f aca="false">(IF(B4="L",1,0))</f>
        <v>0</v>
      </c>
      <c r="O4" s="0" t="n">
        <f aca="false">MAX(C4-1,0)</f>
        <v>0</v>
      </c>
      <c r="P4" s="0" t="n">
        <f aca="false">MAX(O4-1+D4,0)</f>
        <v>0</v>
      </c>
      <c r="Q4" s="0" t="n">
        <f aca="false">MAX(P4-1+E4,0)</f>
        <v>0</v>
      </c>
      <c r="R4" s="0" t="n">
        <f aca="false">MAX(Q4-1+F4,0)</f>
        <v>0</v>
      </c>
      <c r="S4" s="0" t="n">
        <f aca="false">0.5*($O4*G4+$P4*H4+$Q4*I4+$R4*J4)</f>
        <v>0</v>
      </c>
      <c r="T4" s="0" t="n">
        <f aca="false">0.5*($O4*K4+$P4*L4+$Q4*M4+$R4*N4)</f>
        <v>0</v>
      </c>
      <c r="U4" s="0" t="n">
        <f aca="false">IF(A4="V",-2,0)+IF(A4="E",-1,0)+IF(A4="O",0,0)+IF(A4="L",1,0)+S4</f>
        <v>-2</v>
      </c>
      <c r="V4" s="0" t="n">
        <f aca="false">IF(B4="V",-2,0)+IF(B4="E",-1,0)+IF(B4="O",0,0)+IF(B4="L",1,0)+T4</f>
        <v>0</v>
      </c>
      <c r="W4" s="1" t="n">
        <f aca="false">IF(A4="V",-2,0)+IF(A4="E",-1,0)+IF(A4="O",0,0)+IF(A4="L",1,0)</f>
        <v>-2</v>
      </c>
      <c r="X4" s="1" t="n">
        <f aca="false">IF(A4="V",-2,0)+IF(A4="E",-1,0)+IF(A4="O",0,0)+IF(A4="L",1,0)+S4</f>
        <v>-2</v>
      </c>
      <c r="Y4" s="1" t="n">
        <f aca="false">IF(A4="V",-2,0)+IF(A4="E",-1,0)+IF(A4="O",0,0)+IF(A4="L",1,0)+S4*2</f>
        <v>-2</v>
      </c>
      <c r="Z4" s="1" t="n">
        <f aca="false">IF(B4="V",-2,0)+IF(B4="E",-1,0)+IF(B4="O",0,0)+IF(B4="L",1,0)</f>
        <v>0</v>
      </c>
      <c r="AA4" s="1" t="n">
        <f aca="false">IF(B4="V",-2,0)+IF(B4="E",-1,0)+IF(B4="O",0,0)+IF(B4="L",1,0)+T4</f>
        <v>0</v>
      </c>
      <c r="AB4" s="1" t="n">
        <f aca="false">IF(B4="V",-2,0)+IF(B4="E",-1,0)+IF(B4="O",0,0)+IF(B4="L",1,0)+T4*2</f>
        <v>0</v>
      </c>
      <c r="AC4" s="1" t="n">
        <f aca="false">(ABS(IF(W4&lt;0,W4*Early,W4*Late))+ABS(IF(X4&lt;0,X4*Early,X4*Late))+ABS(IF(Y4&lt;0,Y4*Early,Y4*Late)))/3</f>
        <v>6</v>
      </c>
      <c r="AD4" s="1" t="n">
        <f aca="false">(ABS(IF(Z4&lt;0,Z4*Early,Z4*Late))+ABS(IF(AA4&lt;0,AA4*Early,AA4*Late))+ABS(IF(AB4&lt;0,AB4*Early,AB4*Late)))/3</f>
        <v>0</v>
      </c>
      <c r="AE4" s="0" t="n">
        <f aca="false">S4*Delay+AC4</f>
        <v>6</v>
      </c>
      <c r="AF4" s="0" t="n">
        <f aca="false">T4*Delay+AD4</f>
        <v>0</v>
      </c>
      <c r="AG4" s="1" t="str">
        <f aca="false">A4&amp;B4</f>
        <v>VO</v>
      </c>
      <c r="AH4" s="1" t="n">
        <f aca="false">AE4+AF4</f>
        <v>6</v>
      </c>
    </row>
    <row r="5" customFormat="false" ht="13" hidden="false" customHeight="false" outlineLevel="0" collapsed="false">
      <c r="A5" s="0" t="s">
        <v>1</v>
      </c>
      <c r="B5" s="0" t="s">
        <v>4</v>
      </c>
      <c r="C5" s="1" t="n">
        <f aca="false">(IF($A5="V",1,0))+IF($B5="V",1,0)</f>
        <v>1</v>
      </c>
      <c r="D5" s="1" t="n">
        <f aca="false">(IF($A5="E",1,0))+IF($B5="E",1,0)</f>
        <v>0</v>
      </c>
      <c r="E5" s="1" t="n">
        <f aca="false">(IF($A5="O",1,0))+IF($B5="O",1,0)</f>
        <v>0</v>
      </c>
      <c r="F5" s="1" t="n">
        <f aca="false">(IF($A5="L",1,0))+IF($B5="L",1,0)</f>
        <v>1</v>
      </c>
      <c r="G5" s="1" t="n">
        <f aca="false">(IF(A5="V",1,0))</f>
        <v>1</v>
      </c>
      <c r="H5" s="0" t="n">
        <f aca="false">(IF(A5="E",1,0))</f>
        <v>0</v>
      </c>
      <c r="I5" s="0" t="n">
        <f aca="false">(IF(A5="O",1,0))</f>
        <v>0</v>
      </c>
      <c r="J5" s="0" t="n">
        <f aca="false">(IF(A5="L",1,0))</f>
        <v>0</v>
      </c>
      <c r="K5" s="0" t="n">
        <f aca="false">(IF(B5="V",1,0))</f>
        <v>0</v>
      </c>
      <c r="L5" s="0" t="n">
        <f aca="false">(IF(B5="E",1,0))</f>
        <v>0</v>
      </c>
      <c r="M5" s="0" t="n">
        <f aca="false">(IF(B5="O",1,0))</f>
        <v>0</v>
      </c>
      <c r="N5" s="0" t="n">
        <f aca="false">(IF(B5="L",1,0))</f>
        <v>1</v>
      </c>
      <c r="O5" s="0" t="n">
        <f aca="false">MAX(C5-1,0)</f>
        <v>0</v>
      </c>
      <c r="P5" s="0" t="n">
        <f aca="false">MAX(O5-1+D5,0)</f>
        <v>0</v>
      </c>
      <c r="Q5" s="0" t="n">
        <f aca="false">MAX(P5-1+E5,0)</f>
        <v>0</v>
      </c>
      <c r="R5" s="0" t="n">
        <f aca="false">MAX(Q5-1+F5,0)</f>
        <v>0</v>
      </c>
      <c r="S5" s="0" t="n">
        <f aca="false">0.5*($O5*G5+$P5*H5+$Q5*I5+$R5*J5)</f>
        <v>0</v>
      </c>
      <c r="T5" s="0" t="n">
        <f aca="false">0.5*($O5*K5+$P5*L5+$Q5*M5+$R5*N5)</f>
        <v>0</v>
      </c>
      <c r="U5" s="0" t="n">
        <f aca="false">IF(A5="V",-2,0)+IF(A5="E",-1,0)+IF(A5="O",0,0)+IF(A5="L",1,0)+S5</f>
        <v>-2</v>
      </c>
      <c r="V5" s="0" t="n">
        <f aca="false">IF(B5="V",-2,0)+IF(B5="E",-1,0)+IF(B5="O",0,0)+IF(B5="L",1,0)+T5</f>
        <v>1</v>
      </c>
      <c r="W5" s="1" t="n">
        <f aca="false">IF(A5="V",-2,0)+IF(A5="E",-1,0)+IF(A5="O",0,0)+IF(A5="L",1,0)</f>
        <v>-2</v>
      </c>
      <c r="X5" s="1" t="n">
        <f aca="false">IF(A5="V",-2,0)+IF(A5="E",-1,0)+IF(A5="O",0,0)+IF(A5="L",1,0)+S5</f>
        <v>-2</v>
      </c>
      <c r="Y5" s="1" t="n">
        <f aca="false">IF(A5="V",-2,0)+IF(A5="E",-1,0)+IF(A5="O",0,0)+IF(A5="L",1,0)+S5*2</f>
        <v>-2</v>
      </c>
      <c r="Z5" s="1" t="n">
        <f aca="false">IF(B5="V",-2,0)+IF(B5="E",-1,0)+IF(B5="O",0,0)+IF(B5="L",1,0)</f>
        <v>1</v>
      </c>
      <c r="AA5" s="1" t="n">
        <f aca="false">IF(B5="V",-2,0)+IF(B5="E",-1,0)+IF(B5="O",0,0)+IF(B5="L",1,0)+T5</f>
        <v>1</v>
      </c>
      <c r="AB5" s="1" t="n">
        <f aca="false">IF(B5="V",-2,0)+IF(B5="E",-1,0)+IF(B5="O",0,0)+IF(B5="L",1,0)+T5*2</f>
        <v>1</v>
      </c>
      <c r="AC5" s="1" t="n">
        <f aca="false">(ABS(IF(W5&lt;0,W5*Early,W5*Late))+ABS(IF(X5&lt;0,X5*Early,X5*Late))+ABS(IF(Y5&lt;0,Y5*Early,Y5*Late)))/3</f>
        <v>6</v>
      </c>
      <c r="AD5" s="1" t="n">
        <f aca="false">(ABS(IF(Z5&lt;0,Z5*Early,Z5*Late))+ABS(IF(AA5&lt;0,AA5*Early,AA5*Late))+ABS(IF(AB5&lt;0,AB5*Early,AB5*Late)))/3</f>
        <v>4</v>
      </c>
      <c r="AE5" s="0" t="n">
        <f aca="false">S5*Delay+AC5</f>
        <v>6</v>
      </c>
      <c r="AF5" s="0" t="n">
        <f aca="false">T5*Delay+AD5</f>
        <v>4</v>
      </c>
      <c r="AG5" s="1" t="str">
        <f aca="false">A5&amp;B5</f>
        <v>VL</v>
      </c>
      <c r="AH5" s="1" t="n">
        <f aca="false">AE5+AF5</f>
        <v>10</v>
      </c>
    </row>
    <row r="6" customFormat="false" ht="13" hidden="false" customHeight="false" outlineLevel="0" collapsed="false">
      <c r="A6" s="0" t="s">
        <v>2</v>
      </c>
      <c r="B6" s="0" t="s">
        <v>1</v>
      </c>
      <c r="C6" s="1" t="n">
        <f aca="false">(IF($A6="V",1,0))+IF($B6="V",1,0)</f>
        <v>1</v>
      </c>
      <c r="D6" s="1" t="n">
        <f aca="false">(IF($A6="E",1,0))+IF($B6="E",1,0)</f>
        <v>1</v>
      </c>
      <c r="E6" s="1" t="n">
        <f aca="false">(IF($A6="O",1,0))+IF($B6="O",1,0)</f>
        <v>0</v>
      </c>
      <c r="F6" s="1" t="n">
        <f aca="false">(IF($A6="L",1,0))+IF($B6="L",1,0)</f>
        <v>0</v>
      </c>
      <c r="G6" s="1" t="n">
        <f aca="false">(IF(A6="V",1,0))</f>
        <v>0</v>
      </c>
      <c r="H6" s="0" t="n">
        <f aca="false">(IF(A6="E",1,0))</f>
        <v>1</v>
      </c>
      <c r="I6" s="0" t="n">
        <f aca="false">(IF(A6="O",1,0))</f>
        <v>0</v>
      </c>
      <c r="J6" s="0" t="n">
        <f aca="false">(IF(A6="L",1,0))</f>
        <v>0</v>
      </c>
      <c r="K6" s="0" t="n">
        <f aca="false">(IF(B6="V",1,0))</f>
        <v>1</v>
      </c>
      <c r="L6" s="0" t="n">
        <f aca="false">(IF(B6="E",1,0))</f>
        <v>0</v>
      </c>
      <c r="M6" s="0" t="n">
        <f aca="false">(IF(B6="O",1,0))</f>
        <v>0</v>
      </c>
      <c r="N6" s="0" t="n">
        <f aca="false">(IF(B6="L",1,0))</f>
        <v>0</v>
      </c>
      <c r="O6" s="0" t="n">
        <f aca="false">MAX(C6-1,0)</f>
        <v>0</v>
      </c>
      <c r="P6" s="0" t="n">
        <f aca="false">MAX(O6-1+D6,0)</f>
        <v>0</v>
      </c>
      <c r="Q6" s="0" t="n">
        <f aca="false">MAX(P6-1+E6,0)</f>
        <v>0</v>
      </c>
      <c r="R6" s="0" t="n">
        <f aca="false">MAX(Q6-1+F6,0)</f>
        <v>0</v>
      </c>
      <c r="S6" s="0" t="n">
        <f aca="false">0.5*($O6*G6+$P6*H6+$Q6*I6+$R6*J6)</f>
        <v>0</v>
      </c>
      <c r="T6" s="0" t="n">
        <f aca="false">0.5*($O6*K6+$P6*L6+$Q6*M6+$R6*N6)</f>
        <v>0</v>
      </c>
      <c r="U6" s="0" t="n">
        <f aca="false">IF(A6="V",-2,0)+IF(A6="E",-1,0)+IF(A6="O",0,0)+IF(A6="L",1,0)+S6</f>
        <v>-1</v>
      </c>
      <c r="V6" s="0" t="n">
        <f aca="false">IF(B6="V",-2,0)+IF(B6="E",-1,0)+IF(B6="O",0,0)+IF(B6="L",1,0)+T6</f>
        <v>-2</v>
      </c>
      <c r="W6" s="1" t="n">
        <f aca="false">IF(A6="V",-2,0)+IF(A6="E",-1,0)+IF(A6="O",0,0)+IF(A6="L",1,0)</f>
        <v>-1</v>
      </c>
      <c r="X6" s="1" t="n">
        <f aca="false">IF(A6="V",-2,0)+IF(A6="E",-1,0)+IF(A6="O",0,0)+IF(A6="L",1,0)+S6</f>
        <v>-1</v>
      </c>
      <c r="Y6" s="1" t="n">
        <f aca="false">IF(A6="V",-2,0)+IF(A6="E",-1,0)+IF(A6="O",0,0)+IF(A6="L",1,0)+S6*2</f>
        <v>-1</v>
      </c>
      <c r="Z6" s="1" t="n">
        <f aca="false">IF(B6="V",-2,0)+IF(B6="E",-1,0)+IF(B6="O",0,0)+IF(B6="L",1,0)</f>
        <v>-2</v>
      </c>
      <c r="AA6" s="1" t="n">
        <f aca="false">IF(B6="V",-2,0)+IF(B6="E",-1,0)+IF(B6="O",0,0)+IF(B6="L",1,0)+T6</f>
        <v>-2</v>
      </c>
      <c r="AB6" s="1" t="n">
        <f aca="false">IF(B6="V",-2,0)+IF(B6="E",-1,0)+IF(B6="O",0,0)+IF(B6="L",1,0)+T6*2</f>
        <v>-2</v>
      </c>
      <c r="AC6" s="1" t="n">
        <f aca="false">(ABS(IF(W6&lt;0,W6*Early,W6*Late))+ABS(IF(X6&lt;0,X6*Early,X6*Late))+ABS(IF(Y6&lt;0,Y6*Early,Y6*Late)))/3</f>
        <v>3</v>
      </c>
      <c r="AD6" s="1" t="n">
        <f aca="false">(ABS(IF(Z6&lt;0,Z6*Early,Z6*Late))+ABS(IF(AA6&lt;0,AA6*Early,AA6*Late))+ABS(IF(AB6&lt;0,AB6*Early,AB6*Late)))/3</f>
        <v>6</v>
      </c>
      <c r="AE6" s="0" t="n">
        <f aca="false">S6*Delay+AC6</f>
        <v>3</v>
      </c>
      <c r="AF6" s="0" t="n">
        <f aca="false">T6*Delay+AD6</f>
        <v>6</v>
      </c>
      <c r="AG6" s="1" t="str">
        <f aca="false">A6&amp;B6</f>
        <v>EV</v>
      </c>
      <c r="AH6" s="1" t="n">
        <f aca="false">AE6+AF6</f>
        <v>9</v>
      </c>
    </row>
    <row r="7" customFormat="false" ht="13" hidden="false" customHeight="false" outlineLevel="0" collapsed="false">
      <c r="A7" s="0" t="s">
        <v>2</v>
      </c>
      <c r="B7" s="0" t="s">
        <v>2</v>
      </c>
      <c r="C7" s="1" t="n">
        <f aca="false">(IF($A7="V",1,0))+IF($B7="V",1,0)</f>
        <v>0</v>
      </c>
      <c r="D7" s="1" t="n">
        <f aca="false">(IF($A7="E",1,0))+IF($B7="E",1,0)</f>
        <v>2</v>
      </c>
      <c r="E7" s="1" t="n">
        <f aca="false">(IF($A7="O",1,0))+IF($B7="O",1,0)</f>
        <v>0</v>
      </c>
      <c r="F7" s="1" t="n">
        <f aca="false">(IF($A7="L",1,0))+IF($B7="L",1,0)</f>
        <v>0</v>
      </c>
      <c r="G7" s="1" t="n">
        <f aca="false">(IF(A7="V",1,0))</f>
        <v>0</v>
      </c>
      <c r="H7" s="0" t="n">
        <f aca="false">(IF(A7="E",1,0))</f>
        <v>1</v>
      </c>
      <c r="I7" s="0" t="n">
        <f aca="false">(IF(A7="O",1,0))</f>
        <v>0</v>
      </c>
      <c r="J7" s="0" t="n">
        <f aca="false">(IF(A7="L",1,0))</f>
        <v>0</v>
      </c>
      <c r="K7" s="0" t="n">
        <f aca="false">(IF(B7="V",1,0))</f>
        <v>0</v>
      </c>
      <c r="L7" s="0" t="n">
        <f aca="false">(IF(B7="E",1,0))</f>
        <v>1</v>
      </c>
      <c r="M7" s="0" t="n">
        <f aca="false">(IF(B7="O",1,0))</f>
        <v>0</v>
      </c>
      <c r="N7" s="0" t="n">
        <f aca="false">(IF(B7="L",1,0))</f>
        <v>0</v>
      </c>
      <c r="O7" s="0" t="n">
        <f aca="false">MAX(C7-1,0)</f>
        <v>0</v>
      </c>
      <c r="P7" s="0" t="n">
        <f aca="false">MAX(O7-1+D7,0)</f>
        <v>1</v>
      </c>
      <c r="Q7" s="0" t="n">
        <f aca="false">MAX(P7-1+E7,0)</f>
        <v>0</v>
      </c>
      <c r="R7" s="0" t="n">
        <f aca="false">MAX(Q7-1+F7,0)</f>
        <v>0</v>
      </c>
      <c r="S7" s="0" t="n">
        <f aca="false">0.5*($O7*G7+$P7*H7+$Q7*I7+$R7*J7)</f>
        <v>0.5</v>
      </c>
      <c r="T7" s="0" t="n">
        <f aca="false">0.5*($O7*K7+$P7*L7+$Q7*M7+$R7*N7)</f>
        <v>0.5</v>
      </c>
      <c r="U7" s="0" t="n">
        <f aca="false">IF(A7="V",-2,0)+IF(A7="E",-1,0)+IF(A7="O",0,0)+IF(A7="L",1,0)+S7</f>
        <v>-0.5</v>
      </c>
      <c r="V7" s="0" t="n">
        <f aca="false">IF(B7="V",-2,0)+IF(B7="E",-1,0)+IF(B7="O",0,0)+IF(B7="L",1,0)+T7</f>
        <v>-0.5</v>
      </c>
      <c r="W7" s="1" t="n">
        <f aca="false">IF(A7="V",-2,0)+IF(A7="E",-1,0)+IF(A7="O",0,0)+IF(A7="L",1,0)</f>
        <v>-1</v>
      </c>
      <c r="X7" s="1" t="n">
        <f aca="false">IF(A7="V",-2,0)+IF(A7="E",-1,0)+IF(A7="O",0,0)+IF(A7="L",1,0)+S7</f>
        <v>-0.5</v>
      </c>
      <c r="Y7" s="1" t="n">
        <f aca="false">IF(A7="V",-2,0)+IF(A7="E",-1,0)+IF(A7="O",0,0)+IF(A7="L",1,0)+S7*2</f>
        <v>0</v>
      </c>
      <c r="Z7" s="1" t="n">
        <f aca="false">IF(B7="V",-2,0)+IF(B7="E",-1,0)+IF(B7="O",0,0)+IF(B7="L",1,0)</f>
        <v>-1</v>
      </c>
      <c r="AA7" s="1" t="n">
        <f aca="false">IF(B7="V",-2,0)+IF(B7="E",-1,0)+IF(B7="O",0,0)+IF(B7="L",1,0)+T7</f>
        <v>-0.5</v>
      </c>
      <c r="AB7" s="1" t="n">
        <f aca="false">IF(B7="V",-2,0)+IF(B7="E",-1,0)+IF(B7="O",0,0)+IF(B7="L",1,0)+T7*2</f>
        <v>0</v>
      </c>
      <c r="AC7" s="1" t="n">
        <f aca="false">(ABS(IF(W7&lt;0,W7*Early,W7*Late))+ABS(IF(X7&lt;0,X7*Early,X7*Late))+ABS(IF(Y7&lt;0,Y7*Early,Y7*Late)))/3</f>
        <v>1.5</v>
      </c>
      <c r="AD7" s="1" t="n">
        <f aca="false">(ABS(IF(Z7&lt;0,Z7*Early,Z7*Late))+ABS(IF(AA7&lt;0,AA7*Early,AA7*Late))+ABS(IF(AB7&lt;0,AB7*Early,AB7*Late)))/3</f>
        <v>1.5</v>
      </c>
      <c r="AE7" s="0" t="n">
        <f aca="false">S7*Delay+AC7</f>
        <v>2</v>
      </c>
      <c r="AF7" s="0" t="n">
        <f aca="false">T7*Delay+AD7</f>
        <v>2</v>
      </c>
      <c r="AG7" s="1" t="str">
        <f aca="false">A7&amp;B7</f>
        <v>EE</v>
      </c>
      <c r="AH7" s="1" t="n">
        <f aca="false">AE7+AF7</f>
        <v>4</v>
      </c>
    </row>
    <row r="8" customFormat="false" ht="13" hidden="false" customHeight="false" outlineLevel="0" collapsed="false">
      <c r="A8" s="0" t="s">
        <v>2</v>
      </c>
      <c r="B8" s="0" t="s">
        <v>3</v>
      </c>
      <c r="C8" s="1" t="n">
        <f aca="false">(IF($A8="V",1,0))+IF($B8="V",1,0)</f>
        <v>0</v>
      </c>
      <c r="D8" s="1" t="n">
        <f aca="false">(IF($A8="E",1,0))+IF($B8="E",1,0)</f>
        <v>1</v>
      </c>
      <c r="E8" s="1" t="n">
        <f aca="false">(IF($A8="O",1,0))+IF($B8="O",1,0)</f>
        <v>1</v>
      </c>
      <c r="F8" s="1" t="n">
        <f aca="false">(IF($A8="L",1,0))+IF($B8="L",1,0)</f>
        <v>0</v>
      </c>
      <c r="G8" s="1" t="n">
        <f aca="false">(IF(A8="V",1,0))</f>
        <v>0</v>
      </c>
      <c r="H8" s="0" t="n">
        <f aca="false">(IF(A8="E",1,0))</f>
        <v>1</v>
      </c>
      <c r="I8" s="0" t="n">
        <f aca="false">(IF(A8="O",1,0))</f>
        <v>0</v>
      </c>
      <c r="J8" s="0" t="n">
        <f aca="false">(IF(A8="L",1,0))</f>
        <v>0</v>
      </c>
      <c r="K8" s="0" t="n">
        <f aca="false">(IF(B8="V",1,0))</f>
        <v>0</v>
      </c>
      <c r="L8" s="0" t="n">
        <f aca="false">(IF(B8="E",1,0))</f>
        <v>0</v>
      </c>
      <c r="M8" s="0" t="n">
        <f aca="false">(IF(B8="O",1,0))</f>
        <v>1</v>
      </c>
      <c r="N8" s="0" t="n">
        <f aca="false">(IF(B8="L",1,0))</f>
        <v>0</v>
      </c>
      <c r="O8" s="0" t="n">
        <f aca="false">MAX(C8-1,0)</f>
        <v>0</v>
      </c>
      <c r="P8" s="0" t="n">
        <f aca="false">MAX(O8-1+D8,0)</f>
        <v>0</v>
      </c>
      <c r="Q8" s="0" t="n">
        <f aca="false">MAX(P8-1+E8,0)</f>
        <v>0</v>
      </c>
      <c r="R8" s="0" t="n">
        <f aca="false">MAX(Q8-1+F8,0)</f>
        <v>0</v>
      </c>
      <c r="S8" s="0" t="n">
        <f aca="false">0.5*($O8*G8+$P8*H8+$Q8*I8+$R8*J8)</f>
        <v>0</v>
      </c>
      <c r="T8" s="0" t="n">
        <f aca="false">0.5*($O8*K8+$P8*L8+$Q8*M8+$R8*N8)</f>
        <v>0</v>
      </c>
      <c r="U8" s="0" t="n">
        <f aca="false">IF(A8="V",-2,0)+IF(A8="E",-1,0)+IF(A8="O",0,0)+IF(A8="L",1,0)+S8</f>
        <v>-1</v>
      </c>
      <c r="V8" s="0" t="n">
        <f aca="false">IF(B8="V",-2,0)+IF(B8="E",-1,0)+IF(B8="O",0,0)+IF(B8="L",1,0)+T8</f>
        <v>0</v>
      </c>
      <c r="W8" s="1" t="n">
        <f aca="false">IF(A8="V",-2,0)+IF(A8="E",-1,0)+IF(A8="O",0,0)+IF(A8="L",1,0)</f>
        <v>-1</v>
      </c>
      <c r="X8" s="1" t="n">
        <f aca="false">IF(A8="V",-2,0)+IF(A8="E",-1,0)+IF(A8="O",0,0)+IF(A8="L",1,0)+S8</f>
        <v>-1</v>
      </c>
      <c r="Y8" s="1" t="n">
        <f aca="false">IF(A8="V",-2,0)+IF(A8="E",-1,0)+IF(A8="O",0,0)+IF(A8="L",1,0)+S8*2</f>
        <v>-1</v>
      </c>
      <c r="Z8" s="1" t="n">
        <f aca="false">IF(B8="V",-2,0)+IF(B8="E",-1,0)+IF(B8="O",0,0)+IF(B8="L",1,0)</f>
        <v>0</v>
      </c>
      <c r="AA8" s="1" t="n">
        <f aca="false">IF(B8="V",-2,0)+IF(B8="E",-1,0)+IF(B8="O",0,0)+IF(B8="L",1,0)+T8</f>
        <v>0</v>
      </c>
      <c r="AB8" s="1" t="n">
        <f aca="false">IF(B8="V",-2,0)+IF(B8="E",-1,0)+IF(B8="O",0,0)+IF(B8="L",1,0)+T8*2</f>
        <v>0</v>
      </c>
      <c r="AC8" s="1" t="n">
        <f aca="false">(ABS(IF(W8&lt;0,W8*Early,W8*Late))+ABS(IF(X8&lt;0,X8*Early,X8*Late))+ABS(IF(Y8&lt;0,Y8*Early,Y8*Late)))/3</f>
        <v>3</v>
      </c>
      <c r="AD8" s="1" t="n">
        <f aca="false">(ABS(IF(Z8&lt;0,Z8*Early,Z8*Late))+ABS(IF(AA8&lt;0,AA8*Early,AA8*Late))+ABS(IF(AB8&lt;0,AB8*Early,AB8*Late)))/3</f>
        <v>0</v>
      </c>
      <c r="AE8" s="0" t="n">
        <f aca="false">S8*Delay+AC8</f>
        <v>3</v>
      </c>
      <c r="AF8" s="0" t="n">
        <f aca="false">T8*Delay+AD8</f>
        <v>0</v>
      </c>
      <c r="AG8" s="1" t="str">
        <f aca="false">A8&amp;B8</f>
        <v>EO</v>
      </c>
      <c r="AH8" s="1" t="n">
        <f aca="false">AE8+AF8</f>
        <v>3</v>
      </c>
    </row>
    <row r="9" customFormat="false" ht="13" hidden="false" customHeight="false" outlineLevel="0" collapsed="false">
      <c r="A9" s="0" t="s">
        <v>2</v>
      </c>
      <c r="B9" s="0" t="s">
        <v>4</v>
      </c>
      <c r="C9" s="1" t="n">
        <f aca="false">(IF($A9="V",1,0))+IF($B9="V",1,0)</f>
        <v>0</v>
      </c>
      <c r="D9" s="1" t="n">
        <f aca="false">(IF($A9="E",1,0))+IF($B9="E",1,0)</f>
        <v>1</v>
      </c>
      <c r="E9" s="1" t="n">
        <f aca="false">(IF($A9="O",1,0))+IF($B9="O",1,0)</f>
        <v>0</v>
      </c>
      <c r="F9" s="1" t="n">
        <f aca="false">(IF($A9="L",1,0))+IF($B9="L",1,0)</f>
        <v>1</v>
      </c>
      <c r="G9" s="1" t="n">
        <f aca="false">(IF(A9="V",1,0))</f>
        <v>0</v>
      </c>
      <c r="H9" s="0" t="n">
        <f aca="false">(IF(A9="E",1,0))</f>
        <v>1</v>
      </c>
      <c r="I9" s="0" t="n">
        <f aca="false">(IF(A9="O",1,0))</f>
        <v>0</v>
      </c>
      <c r="J9" s="0" t="n">
        <f aca="false">(IF(A9="L",1,0))</f>
        <v>0</v>
      </c>
      <c r="K9" s="0" t="n">
        <f aca="false">(IF(B9="V",1,0))</f>
        <v>0</v>
      </c>
      <c r="L9" s="0" t="n">
        <f aca="false">(IF(B9="E",1,0))</f>
        <v>0</v>
      </c>
      <c r="M9" s="0" t="n">
        <f aca="false">(IF(B9="O",1,0))</f>
        <v>0</v>
      </c>
      <c r="N9" s="0" t="n">
        <f aca="false">(IF(B9="L",1,0))</f>
        <v>1</v>
      </c>
      <c r="O9" s="0" t="n">
        <f aca="false">MAX(C9-1,0)</f>
        <v>0</v>
      </c>
      <c r="P9" s="0" t="n">
        <f aca="false">MAX(O9-1+D9,0)</f>
        <v>0</v>
      </c>
      <c r="Q9" s="0" t="n">
        <f aca="false">MAX(P9-1+E9,0)</f>
        <v>0</v>
      </c>
      <c r="R9" s="0" t="n">
        <f aca="false">MAX(Q9-1+F9,0)</f>
        <v>0</v>
      </c>
      <c r="S9" s="0" t="n">
        <f aca="false">0.5*($O9*G9+$P9*H9+$Q9*I9+$R9*J9)</f>
        <v>0</v>
      </c>
      <c r="T9" s="0" t="n">
        <f aca="false">0.5*($O9*K9+$P9*L9+$Q9*M9+$R9*N9)</f>
        <v>0</v>
      </c>
      <c r="U9" s="0" t="n">
        <f aca="false">IF(A9="V",-2,0)+IF(A9="E",-1,0)+IF(A9="O",0,0)+IF(A9="L",1,0)+S9</f>
        <v>-1</v>
      </c>
      <c r="V9" s="0" t="n">
        <f aca="false">IF(B9="V",-2,0)+IF(B9="E",-1,0)+IF(B9="O",0,0)+IF(B9="L",1,0)+T9</f>
        <v>1</v>
      </c>
      <c r="W9" s="1" t="n">
        <f aca="false">IF(A9="V",-2,0)+IF(A9="E",-1,0)+IF(A9="O",0,0)+IF(A9="L",1,0)</f>
        <v>-1</v>
      </c>
      <c r="X9" s="1" t="n">
        <f aca="false">IF(A9="V",-2,0)+IF(A9="E",-1,0)+IF(A9="O",0,0)+IF(A9="L",1,0)+S9</f>
        <v>-1</v>
      </c>
      <c r="Y9" s="1" t="n">
        <f aca="false">IF(A9="V",-2,0)+IF(A9="E",-1,0)+IF(A9="O",0,0)+IF(A9="L",1,0)+S9*2</f>
        <v>-1</v>
      </c>
      <c r="Z9" s="1" t="n">
        <f aca="false">IF(B9="V",-2,0)+IF(B9="E",-1,0)+IF(B9="O",0,0)+IF(B9="L",1,0)</f>
        <v>1</v>
      </c>
      <c r="AA9" s="1" t="n">
        <f aca="false">IF(B9="V",-2,0)+IF(B9="E",-1,0)+IF(B9="O",0,0)+IF(B9="L",1,0)+T9</f>
        <v>1</v>
      </c>
      <c r="AB9" s="1" t="n">
        <f aca="false">IF(B9="V",-2,0)+IF(B9="E",-1,0)+IF(B9="O",0,0)+IF(B9="L",1,0)+T9*2</f>
        <v>1</v>
      </c>
      <c r="AC9" s="1" t="n">
        <f aca="false">(ABS(IF(W9&lt;0,W9*Early,W9*Late))+ABS(IF(X9&lt;0,X9*Early,X9*Late))+ABS(IF(Y9&lt;0,Y9*Early,Y9*Late)))/3</f>
        <v>3</v>
      </c>
      <c r="AD9" s="1" t="n">
        <f aca="false">(ABS(IF(Z9&lt;0,Z9*Early,Z9*Late))+ABS(IF(AA9&lt;0,AA9*Early,AA9*Late))+ABS(IF(AB9&lt;0,AB9*Early,AB9*Late)))/3</f>
        <v>4</v>
      </c>
      <c r="AE9" s="0" t="n">
        <f aca="false">S9*Delay+AC9</f>
        <v>3</v>
      </c>
      <c r="AF9" s="0" t="n">
        <f aca="false">T9*Delay+AD9</f>
        <v>4</v>
      </c>
      <c r="AG9" s="1" t="str">
        <f aca="false">A9&amp;B9</f>
        <v>EL</v>
      </c>
      <c r="AH9" s="1" t="n">
        <f aca="false">AE9+AF9</f>
        <v>7</v>
      </c>
    </row>
    <row r="10" customFormat="false" ht="13" hidden="false" customHeight="false" outlineLevel="0" collapsed="false">
      <c r="A10" s="0" t="s">
        <v>3</v>
      </c>
      <c r="B10" s="0" t="s">
        <v>1</v>
      </c>
      <c r="C10" s="1" t="n">
        <f aca="false">(IF($A10="V",1,0))+IF($B10="V",1,0)</f>
        <v>1</v>
      </c>
      <c r="D10" s="1" t="n">
        <f aca="false">(IF($A10="E",1,0))+IF($B10="E",1,0)</f>
        <v>0</v>
      </c>
      <c r="E10" s="1" t="n">
        <f aca="false">(IF($A10="O",1,0))+IF($B10="O",1,0)</f>
        <v>1</v>
      </c>
      <c r="F10" s="1" t="n">
        <f aca="false">(IF($A10="L",1,0))+IF($B10="L",1,0)</f>
        <v>0</v>
      </c>
      <c r="G10" s="1" t="n">
        <f aca="false">(IF(A10="V",1,0))</f>
        <v>0</v>
      </c>
      <c r="H10" s="0" t="n">
        <f aca="false">(IF(A10="E",1,0))</f>
        <v>0</v>
      </c>
      <c r="I10" s="0" t="n">
        <f aca="false">(IF(A10="O",1,0))</f>
        <v>1</v>
      </c>
      <c r="J10" s="0" t="n">
        <f aca="false">(IF(A10="L",1,0))</f>
        <v>0</v>
      </c>
      <c r="K10" s="0" t="n">
        <f aca="false">(IF(B10="V",1,0))</f>
        <v>1</v>
      </c>
      <c r="L10" s="0" t="n">
        <f aca="false">(IF(B10="E",1,0))</f>
        <v>0</v>
      </c>
      <c r="M10" s="0" t="n">
        <f aca="false">(IF(B10="O",1,0))</f>
        <v>0</v>
      </c>
      <c r="N10" s="0" t="n">
        <f aca="false">(IF(B10="L",1,0))</f>
        <v>0</v>
      </c>
      <c r="O10" s="0" t="n">
        <f aca="false">MAX(C10-1,0)</f>
        <v>0</v>
      </c>
      <c r="P10" s="0" t="n">
        <f aca="false">MAX(O10-1+D10,0)</f>
        <v>0</v>
      </c>
      <c r="Q10" s="0" t="n">
        <f aca="false">MAX(P10-1+E10,0)</f>
        <v>0</v>
      </c>
      <c r="R10" s="0" t="n">
        <f aca="false">MAX(Q10-1+F10,0)</f>
        <v>0</v>
      </c>
      <c r="S10" s="0" t="n">
        <f aca="false">0.5*($O10*G10+$P10*H10+$Q10*I10+$R10*J10)</f>
        <v>0</v>
      </c>
      <c r="T10" s="0" t="n">
        <f aca="false">0.5*($O10*K10+$P10*L10+$Q10*M10+$R10*N10)</f>
        <v>0</v>
      </c>
      <c r="U10" s="0" t="n">
        <f aca="false">IF(A10="V",-2,0)+IF(A10="E",-1,0)+IF(A10="O",0,0)+IF(A10="L",1,0)+S10</f>
        <v>0</v>
      </c>
      <c r="V10" s="0" t="n">
        <f aca="false">IF(B10="V",-2,0)+IF(B10="E",-1,0)+IF(B10="O",0,0)+IF(B10="L",1,0)+T10</f>
        <v>-2</v>
      </c>
      <c r="W10" s="1" t="n">
        <f aca="false">IF(A10="V",-2,0)+IF(A10="E",-1,0)+IF(A10="O",0,0)+IF(A10="L",1,0)</f>
        <v>0</v>
      </c>
      <c r="X10" s="1" t="n">
        <f aca="false">IF(A10="V",-2,0)+IF(A10="E",-1,0)+IF(A10="O",0,0)+IF(A10="L",1,0)+S10</f>
        <v>0</v>
      </c>
      <c r="Y10" s="1" t="n">
        <f aca="false">IF(A10="V",-2,0)+IF(A10="E",-1,0)+IF(A10="O",0,0)+IF(A10="L",1,0)+S10*2</f>
        <v>0</v>
      </c>
      <c r="Z10" s="1" t="n">
        <f aca="false">IF(B10="V",-2,0)+IF(B10="E",-1,0)+IF(B10="O",0,0)+IF(B10="L",1,0)</f>
        <v>-2</v>
      </c>
      <c r="AA10" s="1" t="n">
        <f aca="false">IF(B10="V",-2,0)+IF(B10="E",-1,0)+IF(B10="O",0,0)+IF(B10="L",1,0)+T10</f>
        <v>-2</v>
      </c>
      <c r="AB10" s="1" t="n">
        <f aca="false">IF(B10="V",-2,0)+IF(B10="E",-1,0)+IF(B10="O",0,0)+IF(B10="L",1,0)+T10*2</f>
        <v>-2</v>
      </c>
      <c r="AC10" s="1" t="n">
        <f aca="false">(ABS(IF(W10&lt;0,W10*Early,W10*Late))+ABS(IF(X10&lt;0,X10*Early,X10*Late))+ABS(IF(Y10&lt;0,Y10*Early,Y10*Late)))/3</f>
        <v>0</v>
      </c>
      <c r="AD10" s="1" t="n">
        <f aca="false">(ABS(IF(Z10&lt;0,Z10*Early,Z10*Late))+ABS(IF(AA10&lt;0,AA10*Early,AA10*Late))+ABS(IF(AB10&lt;0,AB10*Early,AB10*Late)))/3</f>
        <v>6</v>
      </c>
      <c r="AE10" s="0" t="n">
        <f aca="false">S10*Delay+AC10</f>
        <v>0</v>
      </c>
      <c r="AF10" s="0" t="n">
        <f aca="false">T10*Delay+AD10</f>
        <v>6</v>
      </c>
      <c r="AG10" s="1" t="str">
        <f aca="false">A10&amp;B10</f>
        <v>OV</v>
      </c>
      <c r="AH10" s="1" t="n">
        <f aca="false">AE10+AF10</f>
        <v>6</v>
      </c>
    </row>
    <row r="11" customFormat="false" ht="13" hidden="false" customHeight="false" outlineLevel="0" collapsed="false">
      <c r="A11" s="0" t="s">
        <v>3</v>
      </c>
      <c r="B11" s="0" t="s">
        <v>2</v>
      </c>
      <c r="C11" s="1" t="n">
        <f aca="false">(IF($A11="V",1,0))+IF($B11="V",1,0)</f>
        <v>0</v>
      </c>
      <c r="D11" s="1" t="n">
        <f aca="false">(IF($A11="E",1,0))+IF($B11="E",1,0)</f>
        <v>1</v>
      </c>
      <c r="E11" s="1" t="n">
        <f aca="false">(IF($A11="O",1,0))+IF($B11="O",1,0)</f>
        <v>1</v>
      </c>
      <c r="F11" s="1" t="n">
        <f aca="false">(IF($A11="L",1,0))+IF($B11="L",1,0)</f>
        <v>0</v>
      </c>
      <c r="G11" s="1" t="n">
        <f aca="false">(IF(A11="V",1,0))</f>
        <v>0</v>
      </c>
      <c r="H11" s="0" t="n">
        <f aca="false">(IF(A11="E",1,0))</f>
        <v>0</v>
      </c>
      <c r="I11" s="0" t="n">
        <f aca="false">(IF(A11="O",1,0))</f>
        <v>1</v>
      </c>
      <c r="J11" s="0" t="n">
        <f aca="false">(IF(A11="L",1,0))</f>
        <v>0</v>
      </c>
      <c r="K11" s="0" t="n">
        <f aca="false">(IF(B11="V",1,0))</f>
        <v>0</v>
      </c>
      <c r="L11" s="0" t="n">
        <f aca="false">(IF(B11="E",1,0))</f>
        <v>1</v>
      </c>
      <c r="M11" s="0" t="n">
        <f aca="false">(IF(B11="O",1,0))</f>
        <v>0</v>
      </c>
      <c r="N11" s="0" t="n">
        <f aca="false">(IF(B11="L",1,0))</f>
        <v>0</v>
      </c>
      <c r="O11" s="0" t="n">
        <f aca="false">MAX(C11-1,0)</f>
        <v>0</v>
      </c>
      <c r="P11" s="0" t="n">
        <f aca="false">MAX(O11-1+D11,0)</f>
        <v>0</v>
      </c>
      <c r="Q11" s="0" t="n">
        <f aca="false">MAX(P11-1+E11,0)</f>
        <v>0</v>
      </c>
      <c r="R11" s="0" t="n">
        <f aca="false">MAX(Q11-1+F11,0)</f>
        <v>0</v>
      </c>
      <c r="S11" s="0" t="n">
        <f aca="false">0.5*($O11*G11+$P11*H11+$Q11*I11+$R11*J11)</f>
        <v>0</v>
      </c>
      <c r="T11" s="0" t="n">
        <f aca="false">0.5*($O11*K11+$P11*L11+$Q11*M11+$R11*N11)</f>
        <v>0</v>
      </c>
      <c r="U11" s="0" t="n">
        <f aca="false">IF(A11="V",-2,0)+IF(A11="E",-1,0)+IF(A11="O",0,0)+IF(A11="L",1,0)+S11</f>
        <v>0</v>
      </c>
      <c r="V11" s="0" t="n">
        <f aca="false">IF(B11="V",-2,0)+IF(B11="E",-1,0)+IF(B11="O",0,0)+IF(B11="L",1,0)+T11</f>
        <v>-1</v>
      </c>
      <c r="W11" s="1" t="n">
        <f aca="false">IF(A11="V",-2,0)+IF(A11="E",-1,0)+IF(A11="O",0,0)+IF(A11="L",1,0)</f>
        <v>0</v>
      </c>
      <c r="X11" s="1" t="n">
        <f aca="false">IF(A11="V",-2,0)+IF(A11="E",-1,0)+IF(A11="O",0,0)+IF(A11="L",1,0)+S11</f>
        <v>0</v>
      </c>
      <c r="Y11" s="1" t="n">
        <f aca="false">IF(A11="V",-2,0)+IF(A11="E",-1,0)+IF(A11="O",0,0)+IF(A11="L",1,0)+S11*2</f>
        <v>0</v>
      </c>
      <c r="Z11" s="1" t="n">
        <f aca="false">IF(B11="V",-2,0)+IF(B11="E",-1,0)+IF(B11="O",0,0)+IF(B11="L",1,0)</f>
        <v>-1</v>
      </c>
      <c r="AA11" s="1" t="n">
        <f aca="false">IF(B11="V",-2,0)+IF(B11="E",-1,0)+IF(B11="O",0,0)+IF(B11="L",1,0)+T11</f>
        <v>-1</v>
      </c>
      <c r="AB11" s="1" t="n">
        <f aca="false">IF(B11="V",-2,0)+IF(B11="E",-1,0)+IF(B11="O",0,0)+IF(B11="L",1,0)+T11*2</f>
        <v>-1</v>
      </c>
      <c r="AC11" s="1" t="n">
        <f aca="false">(ABS(IF(W11&lt;0,W11*Early,W11*Late))+ABS(IF(X11&lt;0,X11*Early,X11*Late))+ABS(IF(Y11&lt;0,Y11*Early,Y11*Late)))/3</f>
        <v>0</v>
      </c>
      <c r="AD11" s="1" t="n">
        <f aca="false">(ABS(IF(Z11&lt;0,Z11*Early,Z11*Late))+ABS(IF(AA11&lt;0,AA11*Early,AA11*Late))+ABS(IF(AB11&lt;0,AB11*Early,AB11*Late)))/3</f>
        <v>3</v>
      </c>
      <c r="AE11" s="0" t="n">
        <f aca="false">S11*Delay+AC11</f>
        <v>0</v>
      </c>
      <c r="AF11" s="0" t="n">
        <f aca="false">T11*Delay+AD11</f>
        <v>3</v>
      </c>
      <c r="AG11" s="1" t="str">
        <f aca="false">A11&amp;B11</f>
        <v>OE</v>
      </c>
      <c r="AH11" s="1" t="n">
        <f aca="false">AE11+AF11</f>
        <v>3</v>
      </c>
    </row>
    <row r="12" customFormat="false" ht="13" hidden="false" customHeight="false" outlineLevel="0" collapsed="false">
      <c r="A12" s="0" t="s">
        <v>3</v>
      </c>
      <c r="B12" s="0" t="s">
        <v>3</v>
      </c>
      <c r="C12" s="1" t="n">
        <f aca="false">(IF($A12="V",1,0))+IF($B12="V",1,0)</f>
        <v>0</v>
      </c>
      <c r="D12" s="1" t="n">
        <f aca="false">(IF($A12="E",1,0))+IF($B12="E",1,0)</f>
        <v>0</v>
      </c>
      <c r="E12" s="1" t="n">
        <f aca="false">(IF($A12="O",1,0))+IF($B12="O",1,0)</f>
        <v>2</v>
      </c>
      <c r="F12" s="1" t="n">
        <f aca="false">(IF($A12="L",1,0))+IF($B12="L",1,0)</f>
        <v>0</v>
      </c>
      <c r="G12" s="1" t="n">
        <f aca="false">(IF(A12="V",1,0))</f>
        <v>0</v>
      </c>
      <c r="H12" s="0" t="n">
        <f aca="false">(IF(A12="E",1,0))</f>
        <v>0</v>
      </c>
      <c r="I12" s="0" t="n">
        <f aca="false">(IF(A12="O",1,0))</f>
        <v>1</v>
      </c>
      <c r="J12" s="0" t="n">
        <f aca="false">(IF(A12="L",1,0))</f>
        <v>0</v>
      </c>
      <c r="K12" s="0" t="n">
        <f aca="false">(IF(B12="V",1,0))</f>
        <v>0</v>
      </c>
      <c r="L12" s="0" t="n">
        <f aca="false">(IF(B12="E",1,0))</f>
        <v>0</v>
      </c>
      <c r="M12" s="0" t="n">
        <f aca="false">(IF(B12="O",1,0))</f>
        <v>1</v>
      </c>
      <c r="N12" s="0" t="n">
        <f aca="false">(IF(B12="L",1,0))</f>
        <v>0</v>
      </c>
      <c r="O12" s="0" t="n">
        <f aca="false">MAX(C12-1,0)</f>
        <v>0</v>
      </c>
      <c r="P12" s="0" t="n">
        <f aca="false">MAX(O12-1+D12,0)</f>
        <v>0</v>
      </c>
      <c r="Q12" s="0" t="n">
        <f aca="false">MAX(P12-1+E12,0)</f>
        <v>1</v>
      </c>
      <c r="R12" s="0" t="n">
        <f aca="false">MAX(Q12-1+F12,0)</f>
        <v>0</v>
      </c>
      <c r="S12" s="0" t="n">
        <f aca="false">0.5*($O12*G12+$P12*H12+$Q12*I12+$R12*J12)</f>
        <v>0.5</v>
      </c>
      <c r="T12" s="0" t="n">
        <f aca="false">0.5*($O12*K12+$P12*L12+$Q12*M12+$R12*N12)</f>
        <v>0.5</v>
      </c>
      <c r="U12" s="0" t="n">
        <f aca="false">IF(A12="V",-2,0)+IF(A12="E",-1,0)+IF(A12="O",0,0)+IF(A12="L",1,0)+S12</f>
        <v>0.5</v>
      </c>
      <c r="V12" s="0" t="n">
        <f aca="false">IF(B12="V",-2,0)+IF(B12="E",-1,0)+IF(B12="O",0,0)+IF(B12="L",1,0)+T12</f>
        <v>0.5</v>
      </c>
      <c r="W12" s="1" t="n">
        <f aca="false">IF(A12="V",-2,0)+IF(A12="E",-1,0)+IF(A12="O",0,0)+IF(A12="L",1,0)</f>
        <v>0</v>
      </c>
      <c r="X12" s="1" t="n">
        <f aca="false">IF(A12="V",-2,0)+IF(A12="E",-1,0)+IF(A12="O",0,0)+IF(A12="L",1,0)+S12</f>
        <v>0.5</v>
      </c>
      <c r="Y12" s="1" t="n">
        <f aca="false">IF(A12="V",-2,0)+IF(A12="E",-1,0)+IF(A12="O",0,0)+IF(A12="L",1,0)+S12*2</f>
        <v>1</v>
      </c>
      <c r="Z12" s="1" t="n">
        <f aca="false">IF(B12="V",-2,0)+IF(B12="E",-1,0)+IF(B12="O",0,0)+IF(B12="L",1,0)</f>
        <v>0</v>
      </c>
      <c r="AA12" s="1" t="n">
        <f aca="false">IF(B12="V",-2,0)+IF(B12="E",-1,0)+IF(B12="O",0,0)+IF(B12="L",1,0)+T12</f>
        <v>0.5</v>
      </c>
      <c r="AB12" s="1" t="n">
        <f aca="false">IF(B12="V",-2,0)+IF(B12="E",-1,0)+IF(B12="O",0,0)+IF(B12="L",1,0)+T12*2</f>
        <v>1</v>
      </c>
      <c r="AC12" s="1" t="n">
        <f aca="false">(ABS(IF(W12&lt;0,W12*Early,W12*Late))+ABS(IF(X12&lt;0,X12*Early,X12*Late))+ABS(IF(Y12&lt;0,Y12*Early,Y12*Late)))/3</f>
        <v>2</v>
      </c>
      <c r="AD12" s="1" t="n">
        <f aca="false">(ABS(IF(Z12&lt;0,Z12*Early,Z12*Late))+ABS(IF(AA12&lt;0,AA12*Early,AA12*Late))+ABS(IF(AB12&lt;0,AB12*Early,AB12*Late)))/3</f>
        <v>2</v>
      </c>
      <c r="AE12" s="0" t="n">
        <f aca="false">S12*Delay+AC12</f>
        <v>2.5</v>
      </c>
      <c r="AF12" s="0" t="n">
        <f aca="false">T12*Delay+AD12</f>
        <v>2.5</v>
      </c>
      <c r="AG12" s="1" t="str">
        <f aca="false">A12&amp;B12</f>
        <v>OO</v>
      </c>
      <c r="AH12" s="1" t="n">
        <f aca="false">AE12+AF12</f>
        <v>5</v>
      </c>
    </row>
    <row r="13" customFormat="false" ht="13" hidden="false" customHeight="false" outlineLevel="0" collapsed="false">
      <c r="A13" s="0" t="s">
        <v>3</v>
      </c>
      <c r="B13" s="0" t="s">
        <v>4</v>
      </c>
      <c r="C13" s="1" t="n">
        <f aca="false">(IF($A13="V",1,0))+IF($B13="V",1,0)</f>
        <v>0</v>
      </c>
      <c r="D13" s="1" t="n">
        <f aca="false">(IF($A13="E",1,0))+IF($B13="E",1,0)</f>
        <v>0</v>
      </c>
      <c r="E13" s="1" t="n">
        <f aca="false">(IF($A13="O",1,0))+IF($B13="O",1,0)</f>
        <v>1</v>
      </c>
      <c r="F13" s="1" t="n">
        <f aca="false">(IF($A13="L",1,0))+IF($B13="L",1,0)</f>
        <v>1</v>
      </c>
      <c r="G13" s="1" t="n">
        <f aca="false">(IF(A13="V",1,0))</f>
        <v>0</v>
      </c>
      <c r="H13" s="0" t="n">
        <f aca="false">(IF(A13="E",1,0))</f>
        <v>0</v>
      </c>
      <c r="I13" s="0" t="n">
        <f aca="false">(IF(A13="O",1,0))</f>
        <v>1</v>
      </c>
      <c r="J13" s="0" t="n">
        <f aca="false">(IF(A13="L",1,0))</f>
        <v>0</v>
      </c>
      <c r="K13" s="0" t="n">
        <f aca="false">(IF(B13="V",1,0))</f>
        <v>0</v>
      </c>
      <c r="L13" s="0" t="n">
        <f aca="false">(IF(B13="E",1,0))</f>
        <v>0</v>
      </c>
      <c r="M13" s="0" t="n">
        <f aca="false">(IF(B13="O",1,0))</f>
        <v>0</v>
      </c>
      <c r="N13" s="0" t="n">
        <f aca="false">(IF(B13="L",1,0))</f>
        <v>1</v>
      </c>
      <c r="O13" s="0" t="n">
        <f aca="false">MAX(C13-1,0)</f>
        <v>0</v>
      </c>
      <c r="P13" s="0" t="n">
        <f aca="false">MAX(O13-1+D13,0)</f>
        <v>0</v>
      </c>
      <c r="Q13" s="0" t="n">
        <f aca="false">MAX(P13-1+E13,0)</f>
        <v>0</v>
      </c>
      <c r="R13" s="0" t="n">
        <f aca="false">MAX(Q13-1+F13,0)</f>
        <v>0</v>
      </c>
      <c r="S13" s="0" t="n">
        <f aca="false">0.5*($O13*G13+$P13*H13+$Q13*I13+$R13*J13)</f>
        <v>0</v>
      </c>
      <c r="T13" s="0" t="n">
        <f aca="false">0.5*($O13*K13+$P13*L13+$Q13*M13+$R13*N13)</f>
        <v>0</v>
      </c>
      <c r="U13" s="0" t="n">
        <f aca="false">IF(A13="V",-2,0)+IF(A13="E",-1,0)+IF(A13="O",0,0)+IF(A13="L",1,0)+S13</f>
        <v>0</v>
      </c>
      <c r="V13" s="0" t="n">
        <f aca="false">IF(B13="V",-2,0)+IF(B13="E",-1,0)+IF(B13="O",0,0)+IF(B13="L",1,0)+T13</f>
        <v>1</v>
      </c>
      <c r="W13" s="1" t="n">
        <f aca="false">IF(A13="V",-2,0)+IF(A13="E",-1,0)+IF(A13="O",0,0)+IF(A13="L",1,0)</f>
        <v>0</v>
      </c>
      <c r="X13" s="1" t="n">
        <f aca="false">IF(A13="V",-2,0)+IF(A13="E",-1,0)+IF(A13="O",0,0)+IF(A13="L",1,0)+S13</f>
        <v>0</v>
      </c>
      <c r="Y13" s="1" t="n">
        <f aca="false">IF(A13="V",-2,0)+IF(A13="E",-1,0)+IF(A13="O",0,0)+IF(A13="L",1,0)+S13*2</f>
        <v>0</v>
      </c>
      <c r="Z13" s="1" t="n">
        <f aca="false">IF(B13="V",-2,0)+IF(B13="E",-1,0)+IF(B13="O",0,0)+IF(B13="L",1,0)</f>
        <v>1</v>
      </c>
      <c r="AA13" s="1" t="n">
        <f aca="false">IF(B13="V",-2,0)+IF(B13="E",-1,0)+IF(B13="O",0,0)+IF(B13="L",1,0)+T13</f>
        <v>1</v>
      </c>
      <c r="AB13" s="1" t="n">
        <f aca="false">IF(B13="V",-2,0)+IF(B13="E",-1,0)+IF(B13="O",0,0)+IF(B13="L",1,0)+T13*2</f>
        <v>1</v>
      </c>
      <c r="AC13" s="1" t="n">
        <f aca="false">(ABS(IF(W13&lt;0,W13*Early,W13*Late))+ABS(IF(X13&lt;0,X13*Early,X13*Late))+ABS(IF(Y13&lt;0,Y13*Early,Y13*Late)))/3</f>
        <v>0</v>
      </c>
      <c r="AD13" s="1" t="n">
        <f aca="false">(ABS(IF(Z13&lt;0,Z13*Early,Z13*Late))+ABS(IF(AA13&lt;0,AA13*Early,AA13*Late))+ABS(IF(AB13&lt;0,AB13*Early,AB13*Late)))/3</f>
        <v>4</v>
      </c>
      <c r="AE13" s="0" t="n">
        <f aca="false">S13*Delay+AC13</f>
        <v>0</v>
      </c>
      <c r="AF13" s="0" t="n">
        <f aca="false">T13*Delay+AD13</f>
        <v>4</v>
      </c>
      <c r="AG13" s="1" t="str">
        <f aca="false">A13&amp;B13</f>
        <v>OL</v>
      </c>
      <c r="AH13" s="1" t="n">
        <f aca="false">AE13+AF13</f>
        <v>4</v>
      </c>
    </row>
    <row r="14" customFormat="false" ht="13" hidden="false" customHeight="false" outlineLevel="0" collapsed="false">
      <c r="A14" s="0" t="s">
        <v>4</v>
      </c>
      <c r="B14" s="0" t="s">
        <v>1</v>
      </c>
      <c r="C14" s="1" t="n">
        <f aca="false">(IF($A14="V",1,0))+IF($B14="V",1,0)</f>
        <v>1</v>
      </c>
      <c r="D14" s="1" t="n">
        <f aca="false">(IF($A14="E",1,0))+IF($B14="E",1,0)</f>
        <v>0</v>
      </c>
      <c r="E14" s="1" t="n">
        <f aca="false">(IF($A14="O",1,0))+IF($B14="O",1,0)</f>
        <v>0</v>
      </c>
      <c r="F14" s="1" t="n">
        <f aca="false">(IF($A14="L",1,0))+IF($B14="L",1,0)</f>
        <v>1</v>
      </c>
      <c r="G14" s="1" t="n">
        <f aca="false">(IF(A14="V",1,0))</f>
        <v>0</v>
      </c>
      <c r="H14" s="0" t="n">
        <f aca="false">(IF(A14="E",1,0))</f>
        <v>0</v>
      </c>
      <c r="I14" s="0" t="n">
        <f aca="false">(IF(A14="O",1,0))</f>
        <v>0</v>
      </c>
      <c r="J14" s="0" t="n">
        <f aca="false">(IF(A14="L",1,0))</f>
        <v>1</v>
      </c>
      <c r="K14" s="0" t="n">
        <f aca="false">(IF(B14="V",1,0))</f>
        <v>1</v>
      </c>
      <c r="L14" s="0" t="n">
        <f aca="false">(IF(B14="E",1,0))</f>
        <v>0</v>
      </c>
      <c r="M14" s="0" t="n">
        <f aca="false">(IF(B14="O",1,0))</f>
        <v>0</v>
      </c>
      <c r="N14" s="0" t="n">
        <f aca="false">(IF(B14="L",1,0))</f>
        <v>0</v>
      </c>
      <c r="O14" s="0" t="n">
        <f aca="false">MAX(C14-1,0)</f>
        <v>0</v>
      </c>
      <c r="P14" s="0" t="n">
        <f aca="false">MAX(O14-1+D14,0)</f>
        <v>0</v>
      </c>
      <c r="Q14" s="0" t="n">
        <f aca="false">MAX(P14-1+E14,0)</f>
        <v>0</v>
      </c>
      <c r="R14" s="0" t="n">
        <f aca="false">MAX(Q14-1+F14,0)</f>
        <v>0</v>
      </c>
      <c r="S14" s="0" t="n">
        <f aca="false">0.5*($O14*G14+$P14*H14+$Q14*I14+$R14*J14)</f>
        <v>0</v>
      </c>
      <c r="T14" s="0" t="n">
        <f aca="false">0.5*($O14*K14+$P14*L14+$Q14*M14+$R14*N14)</f>
        <v>0</v>
      </c>
      <c r="U14" s="0" t="n">
        <f aca="false">IF(A14="V",-2,0)+IF(A14="E",-1,0)+IF(A14="O",0,0)+IF(A14="L",1,0)+S14</f>
        <v>1</v>
      </c>
      <c r="V14" s="0" t="n">
        <f aca="false">IF(B14="V",-2,0)+IF(B14="E",-1,0)+IF(B14="O",0,0)+IF(B14="L",1,0)+T14</f>
        <v>-2</v>
      </c>
      <c r="W14" s="1" t="n">
        <f aca="false">IF(A14="V",-2,0)+IF(A14="E",-1,0)+IF(A14="O",0,0)+IF(A14="L",1,0)</f>
        <v>1</v>
      </c>
      <c r="X14" s="1" t="n">
        <f aca="false">IF(A14="V",-2,0)+IF(A14="E",-1,0)+IF(A14="O",0,0)+IF(A14="L",1,0)+S14</f>
        <v>1</v>
      </c>
      <c r="Y14" s="1" t="n">
        <f aca="false">IF(A14="V",-2,0)+IF(A14="E",-1,0)+IF(A14="O",0,0)+IF(A14="L",1,0)+S14*2</f>
        <v>1</v>
      </c>
      <c r="Z14" s="1" t="n">
        <f aca="false">IF(B14="V",-2,0)+IF(B14="E",-1,0)+IF(B14="O",0,0)+IF(B14="L",1,0)</f>
        <v>-2</v>
      </c>
      <c r="AA14" s="1" t="n">
        <f aca="false">IF(B14="V",-2,0)+IF(B14="E",-1,0)+IF(B14="O",0,0)+IF(B14="L",1,0)+T14</f>
        <v>-2</v>
      </c>
      <c r="AB14" s="1" t="n">
        <f aca="false">IF(B14="V",-2,0)+IF(B14="E",-1,0)+IF(B14="O",0,0)+IF(B14="L",1,0)+T14*2</f>
        <v>-2</v>
      </c>
      <c r="AC14" s="1" t="n">
        <f aca="false">(ABS(IF(W14&lt;0,W14*Early,W14*Late))+ABS(IF(X14&lt;0,X14*Early,X14*Late))+ABS(IF(Y14&lt;0,Y14*Early,Y14*Late)))/3</f>
        <v>4</v>
      </c>
      <c r="AD14" s="1" t="n">
        <f aca="false">(ABS(IF(Z14&lt;0,Z14*Early,Z14*Late))+ABS(IF(AA14&lt;0,AA14*Early,AA14*Late))+ABS(IF(AB14&lt;0,AB14*Early,AB14*Late)))/3</f>
        <v>6</v>
      </c>
      <c r="AE14" s="0" t="n">
        <f aca="false">S14*Delay+AC14</f>
        <v>4</v>
      </c>
      <c r="AF14" s="0" t="n">
        <f aca="false">T14*Delay+AD14</f>
        <v>6</v>
      </c>
      <c r="AG14" s="1" t="str">
        <f aca="false">A14&amp;B14</f>
        <v>LV</v>
      </c>
      <c r="AH14" s="1" t="n">
        <f aca="false">AE14+AF14</f>
        <v>10</v>
      </c>
    </row>
    <row r="15" customFormat="false" ht="13" hidden="false" customHeight="false" outlineLevel="0" collapsed="false">
      <c r="A15" s="0" t="s">
        <v>4</v>
      </c>
      <c r="B15" s="0" t="s">
        <v>2</v>
      </c>
      <c r="C15" s="1" t="n">
        <f aca="false">(IF($A15="V",1,0))+IF($B15="V",1,0)</f>
        <v>0</v>
      </c>
      <c r="D15" s="1" t="n">
        <f aca="false">(IF($A15="E",1,0))+IF($B15="E",1,0)</f>
        <v>1</v>
      </c>
      <c r="E15" s="1" t="n">
        <f aca="false">(IF($A15="O",1,0))+IF($B15="O",1,0)</f>
        <v>0</v>
      </c>
      <c r="F15" s="1" t="n">
        <f aca="false">(IF($A15="L",1,0))+IF($B15="L",1,0)</f>
        <v>1</v>
      </c>
      <c r="G15" s="1" t="n">
        <f aca="false">(IF(A15="V",1,0))</f>
        <v>0</v>
      </c>
      <c r="H15" s="0" t="n">
        <f aca="false">(IF(A15="E",1,0))</f>
        <v>0</v>
      </c>
      <c r="I15" s="0" t="n">
        <f aca="false">(IF(A15="O",1,0))</f>
        <v>0</v>
      </c>
      <c r="J15" s="0" t="n">
        <f aca="false">(IF(A15="L",1,0))</f>
        <v>1</v>
      </c>
      <c r="K15" s="0" t="n">
        <f aca="false">(IF(B15="V",1,0))</f>
        <v>0</v>
      </c>
      <c r="L15" s="0" t="n">
        <f aca="false">(IF(B15="E",1,0))</f>
        <v>1</v>
      </c>
      <c r="M15" s="0" t="n">
        <f aca="false">(IF(B15="O",1,0))</f>
        <v>0</v>
      </c>
      <c r="N15" s="0" t="n">
        <f aca="false">(IF(B15="L",1,0))</f>
        <v>0</v>
      </c>
      <c r="O15" s="0" t="n">
        <f aca="false">MAX(C15-1,0)</f>
        <v>0</v>
      </c>
      <c r="P15" s="0" t="n">
        <f aca="false">MAX(O15-1+D15,0)</f>
        <v>0</v>
      </c>
      <c r="Q15" s="0" t="n">
        <f aca="false">MAX(P15-1+E15,0)</f>
        <v>0</v>
      </c>
      <c r="R15" s="0" t="n">
        <f aca="false">MAX(Q15-1+F15,0)</f>
        <v>0</v>
      </c>
      <c r="S15" s="0" t="n">
        <f aca="false">0.5*($O15*G15+$P15*H15+$Q15*I15+$R15*J15)</f>
        <v>0</v>
      </c>
      <c r="T15" s="0" t="n">
        <f aca="false">0.5*($O15*K15+$P15*L15+$Q15*M15+$R15*N15)</f>
        <v>0</v>
      </c>
      <c r="U15" s="0" t="n">
        <f aca="false">IF(A15="V",-2,0)+IF(A15="E",-1,0)+IF(A15="O",0,0)+IF(A15="L",1,0)+S15</f>
        <v>1</v>
      </c>
      <c r="V15" s="0" t="n">
        <f aca="false">IF(B15="V",-2,0)+IF(B15="E",-1,0)+IF(B15="O",0,0)+IF(B15="L",1,0)+T15</f>
        <v>-1</v>
      </c>
      <c r="W15" s="1" t="n">
        <f aca="false">IF(A15="V",-2,0)+IF(A15="E",-1,0)+IF(A15="O",0,0)+IF(A15="L",1,0)</f>
        <v>1</v>
      </c>
      <c r="X15" s="1" t="n">
        <f aca="false">IF(A15="V",-2,0)+IF(A15="E",-1,0)+IF(A15="O",0,0)+IF(A15="L",1,0)+S15</f>
        <v>1</v>
      </c>
      <c r="Y15" s="1" t="n">
        <f aca="false">IF(A15="V",-2,0)+IF(A15="E",-1,0)+IF(A15="O",0,0)+IF(A15="L",1,0)+S15*2</f>
        <v>1</v>
      </c>
      <c r="Z15" s="1" t="n">
        <f aca="false">IF(B15="V",-2,0)+IF(B15="E",-1,0)+IF(B15="O",0,0)+IF(B15="L",1,0)</f>
        <v>-1</v>
      </c>
      <c r="AA15" s="1" t="n">
        <f aca="false">IF(B15="V",-2,0)+IF(B15="E",-1,0)+IF(B15="O",0,0)+IF(B15="L",1,0)+T15</f>
        <v>-1</v>
      </c>
      <c r="AB15" s="1" t="n">
        <f aca="false">IF(B15="V",-2,0)+IF(B15="E",-1,0)+IF(B15="O",0,0)+IF(B15="L",1,0)+T15*2</f>
        <v>-1</v>
      </c>
      <c r="AC15" s="1" t="n">
        <f aca="false">(ABS(IF(W15&lt;0,W15*Early,W15*Late))+ABS(IF(X15&lt;0,X15*Early,X15*Late))+ABS(IF(Y15&lt;0,Y15*Early,Y15*Late)))/3</f>
        <v>4</v>
      </c>
      <c r="AD15" s="1" t="n">
        <f aca="false">(ABS(IF(Z15&lt;0,Z15*Early,Z15*Late))+ABS(IF(AA15&lt;0,AA15*Early,AA15*Late))+ABS(IF(AB15&lt;0,AB15*Early,AB15*Late)))/3</f>
        <v>3</v>
      </c>
      <c r="AE15" s="0" t="n">
        <f aca="false">S15*Delay+AC15</f>
        <v>4</v>
      </c>
      <c r="AF15" s="0" t="n">
        <f aca="false">T15*Delay+AD15</f>
        <v>3</v>
      </c>
      <c r="AG15" s="1" t="str">
        <f aca="false">A15&amp;B15</f>
        <v>LE</v>
      </c>
      <c r="AH15" s="1" t="n">
        <f aca="false">AE15+AF15</f>
        <v>7</v>
      </c>
    </row>
    <row r="16" customFormat="false" ht="13" hidden="false" customHeight="false" outlineLevel="0" collapsed="false">
      <c r="A16" s="0" t="s">
        <v>4</v>
      </c>
      <c r="B16" s="0" t="s">
        <v>3</v>
      </c>
      <c r="C16" s="1" t="n">
        <f aca="false">(IF($A16="V",1,0))+IF($B16="V",1,0)</f>
        <v>0</v>
      </c>
      <c r="D16" s="1" t="n">
        <f aca="false">(IF($A16="E",1,0))+IF($B16="E",1,0)</f>
        <v>0</v>
      </c>
      <c r="E16" s="1" t="n">
        <f aca="false">(IF($A16="O",1,0))+IF($B16="O",1,0)</f>
        <v>1</v>
      </c>
      <c r="F16" s="1" t="n">
        <f aca="false">(IF($A16="L",1,0))+IF($B16="L",1,0)</f>
        <v>1</v>
      </c>
      <c r="G16" s="1" t="n">
        <f aca="false">(IF(A16="V",1,0))</f>
        <v>0</v>
      </c>
      <c r="H16" s="0" t="n">
        <f aca="false">(IF(A16="E",1,0))</f>
        <v>0</v>
      </c>
      <c r="I16" s="0" t="n">
        <f aca="false">(IF(A16="O",1,0))</f>
        <v>0</v>
      </c>
      <c r="J16" s="0" t="n">
        <f aca="false">(IF(A16="L",1,0))</f>
        <v>1</v>
      </c>
      <c r="K16" s="0" t="n">
        <f aca="false">(IF(B16="V",1,0))</f>
        <v>0</v>
      </c>
      <c r="L16" s="0" t="n">
        <f aca="false">(IF(B16="E",1,0))</f>
        <v>0</v>
      </c>
      <c r="M16" s="0" t="n">
        <f aca="false">(IF(B16="O",1,0))</f>
        <v>1</v>
      </c>
      <c r="N16" s="0" t="n">
        <f aca="false">(IF(B16="L",1,0))</f>
        <v>0</v>
      </c>
      <c r="O16" s="0" t="n">
        <f aca="false">MAX(C16-1,0)</f>
        <v>0</v>
      </c>
      <c r="P16" s="0" t="n">
        <f aca="false">MAX(O16-1+D16,0)</f>
        <v>0</v>
      </c>
      <c r="Q16" s="0" t="n">
        <f aca="false">MAX(P16-1+E16,0)</f>
        <v>0</v>
      </c>
      <c r="R16" s="0" t="n">
        <f aca="false">MAX(Q16-1+F16,0)</f>
        <v>0</v>
      </c>
      <c r="S16" s="0" t="n">
        <f aca="false">0.5*($O16*G16+$P16*H16+$Q16*I16+$R16*J16)</f>
        <v>0</v>
      </c>
      <c r="T16" s="0" t="n">
        <f aca="false">0.5*($O16*K16+$P16*L16+$Q16*M16+$R16*N16)</f>
        <v>0</v>
      </c>
      <c r="U16" s="0" t="n">
        <f aca="false">IF(A16="V",-2,0)+IF(A16="E",-1,0)+IF(A16="O",0,0)+IF(A16="L",1,0)+S16</f>
        <v>1</v>
      </c>
      <c r="V16" s="0" t="n">
        <f aca="false">IF(B16="V",-2,0)+IF(B16="E",-1,0)+IF(B16="O",0,0)+IF(B16="L",1,0)+T16</f>
        <v>0</v>
      </c>
      <c r="W16" s="1" t="n">
        <f aca="false">IF(A16="V",-2,0)+IF(A16="E",-1,0)+IF(A16="O",0,0)+IF(A16="L",1,0)</f>
        <v>1</v>
      </c>
      <c r="X16" s="1" t="n">
        <f aca="false">IF(A16="V",-2,0)+IF(A16="E",-1,0)+IF(A16="O",0,0)+IF(A16="L",1,0)+S16</f>
        <v>1</v>
      </c>
      <c r="Y16" s="1" t="n">
        <f aca="false">IF(A16="V",-2,0)+IF(A16="E",-1,0)+IF(A16="O",0,0)+IF(A16="L",1,0)+S16*2</f>
        <v>1</v>
      </c>
      <c r="Z16" s="1" t="n">
        <f aca="false">IF(B16="V",-2,0)+IF(B16="E",-1,0)+IF(B16="O",0,0)+IF(B16="L",1,0)</f>
        <v>0</v>
      </c>
      <c r="AA16" s="1" t="n">
        <f aca="false">IF(B16="V",-2,0)+IF(B16="E",-1,0)+IF(B16="O",0,0)+IF(B16="L",1,0)+T16</f>
        <v>0</v>
      </c>
      <c r="AB16" s="1" t="n">
        <f aca="false">IF(B16="V",-2,0)+IF(B16="E",-1,0)+IF(B16="O",0,0)+IF(B16="L",1,0)+T16*2</f>
        <v>0</v>
      </c>
      <c r="AC16" s="1" t="n">
        <f aca="false">(ABS(IF(W16&lt;0,W16*Early,W16*Late))+ABS(IF(X16&lt;0,X16*Early,X16*Late))+ABS(IF(Y16&lt;0,Y16*Early,Y16*Late)))/3</f>
        <v>4</v>
      </c>
      <c r="AD16" s="1" t="n">
        <f aca="false">(ABS(IF(Z16&lt;0,Z16*Early,Z16*Late))+ABS(IF(AA16&lt;0,AA16*Early,AA16*Late))+ABS(IF(AB16&lt;0,AB16*Early,AB16*Late)))/3</f>
        <v>0</v>
      </c>
      <c r="AE16" s="0" t="n">
        <f aca="false">S16*Delay+AC16</f>
        <v>4</v>
      </c>
      <c r="AF16" s="0" t="n">
        <f aca="false">T16*Delay+AD16</f>
        <v>0</v>
      </c>
      <c r="AG16" s="1" t="str">
        <f aca="false">A16&amp;B16</f>
        <v>LO</v>
      </c>
      <c r="AH16" s="1" t="n">
        <f aca="false">AE16+AF16</f>
        <v>4</v>
      </c>
    </row>
    <row r="17" customFormat="false" ht="13" hidden="false" customHeight="false" outlineLevel="0" collapsed="false">
      <c r="A17" s="0" t="s">
        <v>4</v>
      </c>
      <c r="B17" s="0" t="s">
        <v>4</v>
      </c>
      <c r="C17" s="1" t="n">
        <f aca="false">(IF($A17="V",1,0))+IF($B17="V",1,0)</f>
        <v>0</v>
      </c>
      <c r="D17" s="1" t="n">
        <f aca="false">(IF($A17="E",1,0))+IF($B17="E",1,0)</f>
        <v>0</v>
      </c>
      <c r="E17" s="1" t="n">
        <f aca="false">(IF($A17="O",1,0))+IF($B17="O",1,0)</f>
        <v>0</v>
      </c>
      <c r="F17" s="1" t="n">
        <f aca="false">(IF($A17="L",1,0))+IF($B17="L",1,0)</f>
        <v>2</v>
      </c>
      <c r="G17" s="1" t="n">
        <f aca="false">(IF(A17="V",1,0))</f>
        <v>0</v>
      </c>
      <c r="H17" s="0" t="n">
        <f aca="false">(IF(A17="E",1,0))</f>
        <v>0</v>
      </c>
      <c r="I17" s="0" t="n">
        <f aca="false">(IF(A17="O",1,0))</f>
        <v>0</v>
      </c>
      <c r="J17" s="0" t="n">
        <f aca="false">(IF(A17="L",1,0))</f>
        <v>1</v>
      </c>
      <c r="K17" s="0" t="n">
        <f aca="false">(IF(B17="V",1,0))</f>
        <v>0</v>
      </c>
      <c r="L17" s="0" t="n">
        <f aca="false">(IF(B17="E",1,0))</f>
        <v>0</v>
      </c>
      <c r="M17" s="0" t="n">
        <f aca="false">(IF(B17="O",1,0))</f>
        <v>0</v>
      </c>
      <c r="N17" s="0" t="n">
        <f aca="false">(IF(B17="L",1,0))</f>
        <v>1</v>
      </c>
      <c r="O17" s="0" t="n">
        <f aca="false">MAX(C17-1,0)</f>
        <v>0</v>
      </c>
      <c r="P17" s="0" t="n">
        <f aca="false">MAX(O17-1+D17,0)</f>
        <v>0</v>
      </c>
      <c r="Q17" s="0" t="n">
        <f aca="false">MAX(P17-1+E17,0)</f>
        <v>0</v>
      </c>
      <c r="R17" s="0" t="n">
        <f aca="false">MAX(Q17-1+F17,0)</f>
        <v>1</v>
      </c>
      <c r="S17" s="0" t="n">
        <f aca="false">0.5*($O17*G17+$P17*H17+$Q17*I17+$R17*J17)</f>
        <v>0.5</v>
      </c>
      <c r="T17" s="0" t="n">
        <f aca="false">0.5*($O17*K17+$P17*L17+$Q17*M17+$R17*N17)</f>
        <v>0.5</v>
      </c>
      <c r="U17" s="0" t="n">
        <f aca="false">IF(A17="V",-2,0)+IF(A17="E",-1,0)+IF(A17="O",0,0)+IF(A17="L",1,0)+S17</f>
        <v>1.5</v>
      </c>
      <c r="V17" s="0" t="n">
        <f aca="false">IF(B17="V",-2,0)+IF(B17="E",-1,0)+IF(B17="O",0,0)+IF(B17="L",1,0)+T17</f>
        <v>1.5</v>
      </c>
      <c r="W17" s="1" t="n">
        <f aca="false">IF(A17="V",-2,0)+IF(A17="E",-1,0)+IF(A17="O",0,0)+IF(A17="L",1,0)</f>
        <v>1</v>
      </c>
      <c r="X17" s="1" t="n">
        <f aca="false">IF(A17="V",-2,0)+IF(A17="E",-1,0)+IF(A17="O",0,0)+IF(A17="L",1,0)+S17</f>
        <v>1.5</v>
      </c>
      <c r="Y17" s="1" t="n">
        <f aca="false">IF(A17="V",-2,0)+IF(A17="E",-1,0)+IF(A17="O",0,0)+IF(A17="L",1,0)+S17*2</f>
        <v>2</v>
      </c>
      <c r="Z17" s="1" t="n">
        <f aca="false">IF(B17="V",-2,0)+IF(B17="E",-1,0)+IF(B17="O",0,0)+IF(B17="L",1,0)</f>
        <v>1</v>
      </c>
      <c r="AA17" s="1" t="n">
        <f aca="false">IF(B17="V",-2,0)+IF(B17="E",-1,0)+IF(B17="O",0,0)+IF(B17="L",1,0)+T17</f>
        <v>1.5</v>
      </c>
      <c r="AB17" s="1" t="n">
        <f aca="false">IF(B17="V",-2,0)+IF(B17="E",-1,0)+IF(B17="O",0,0)+IF(B17="L",1,0)+T17*2</f>
        <v>2</v>
      </c>
      <c r="AC17" s="1" t="n">
        <f aca="false">(ABS(IF(W17&lt;0,W17*Early,W17*Late))+ABS(IF(X17&lt;0,X17*Early,X17*Late))+ABS(IF(Y17&lt;0,Y17*Early,Y17*Late)))/3</f>
        <v>6</v>
      </c>
      <c r="AD17" s="1" t="n">
        <f aca="false">(ABS(IF(Z17&lt;0,Z17*Early,Z17*Late))+ABS(IF(AA17&lt;0,AA17*Early,AA17*Late))+ABS(IF(AB17&lt;0,AB17*Early,AB17*Late)))/3</f>
        <v>6</v>
      </c>
      <c r="AE17" s="0" t="n">
        <f aca="false">S17*Delay+AC17</f>
        <v>6.5</v>
      </c>
      <c r="AF17" s="0" t="n">
        <f aca="false">T17*Delay+AD17</f>
        <v>6.5</v>
      </c>
      <c r="AG17" s="1" t="str">
        <f aca="false">A17&amp;B17</f>
        <v>LL</v>
      </c>
      <c r="AH17" s="1" t="n">
        <f aca="false">AE17+AF17</f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600" ySplit="560" topLeftCell="AS4" activePane="bottomRight" state="split"/>
      <selection pane="topLeft" activeCell="A1" activeCellId="0" sqref="A1"/>
      <selection pane="topRight" activeCell="AS1" activeCellId="0" sqref="AS1"/>
      <selection pane="bottomLeft" activeCell="A4" activeCellId="0" sqref="A4"/>
      <selection pane="bottomRight" activeCell="AY23" activeCellId="0" sqref="AY23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83" min="1" style="0" width="5.7"/>
  </cols>
  <sheetData>
    <row r="1" customFormat="false" ht="13" hidden="false" customHeight="false" outlineLevel="0" collapsed="false">
      <c r="A1" s="0" t="s">
        <v>162</v>
      </c>
      <c r="B1" s="0" t="s">
        <v>132</v>
      </c>
      <c r="C1" s="0" t="s">
        <v>133</v>
      </c>
      <c r="D1" s="0" t="s">
        <v>163</v>
      </c>
      <c r="E1" s="0" t="s">
        <v>1</v>
      </c>
      <c r="F1" s="0" t="s">
        <v>2</v>
      </c>
      <c r="G1" s="0" t="s">
        <v>3</v>
      </c>
      <c r="H1" s="0" t="s">
        <v>4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164</v>
      </c>
      <c r="R1" s="0" t="s">
        <v>165</v>
      </c>
      <c r="S1" s="0" t="s">
        <v>166</v>
      </c>
      <c r="T1" s="0" t="s">
        <v>167</v>
      </c>
      <c r="U1" s="0" t="s">
        <v>142</v>
      </c>
      <c r="V1" s="0" t="s">
        <v>143</v>
      </c>
      <c r="W1" s="0" t="s">
        <v>144</v>
      </c>
      <c r="X1" s="0" t="s">
        <v>145</v>
      </c>
      <c r="Y1" s="0" t="s">
        <v>146</v>
      </c>
      <c r="Z1" s="0" t="s">
        <v>147</v>
      </c>
      <c r="AA1" s="0" t="s">
        <v>168</v>
      </c>
      <c r="AB1" s="0" t="s">
        <v>148</v>
      </c>
      <c r="AC1" s="0" t="s">
        <v>149</v>
      </c>
      <c r="AD1" s="0" t="s">
        <v>169</v>
      </c>
      <c r="AE1" s="0" t="s">
        <v>150</v>
      </c>
      <c r="AF1" s="0" t="s">
        <v>151</v>
      </c>
      <c r="AG1" s="0" t="s">
        <v>152</v>
      </c>
      <c r="AH1" s="0" t="s">
        <v>153</v>
      </c>
      <c r="AI1" s="0" t="s">
        <v>154</v>
      </c>
      <c r="AJ1" s="0" t="s">
        <v>155</v>
      </c>
      <c r="AK1" s="0" t="s">
        <v>170</v>
      </c>
      <c r="AL1" s="0" t="s">
        <v>171</v>
      </c>
      <c r="AM1" s="0" t="s">
        <v>172</v>
      </c>
      <c r="AN1" s="0" t="s">
        <v>156</v>
      </c>
      <c r="AO1" s="0" t="s">
        <v>157</v>
      </c>
      <c r="AP1" s="0" t="s">
        <v>173</v>
      </c>
      <c r="AQ1" s="0" t="s">
        <v>158</v>
      </c>
      <c r="AR1" s="0" t="s">
        <v>159</v>
      </c>
      <c r="AS1" s="0" t="s">
        <v>174</v>
      </c>
      <c r="AT1" s="0" t="s">
        <v>175</v>
      </c>
      <c r="AU1" s="0" t="s">
        <v>176</v>
      </c>
      <c r="AV1" s="0" t="s">
        <v>177</v>
      </c>
      <c r="AW1" s="0" t="s">
        <v>178</v>
      </c>
      <c r="AX1" s="0" t="s">
        <v>179</v>
      </c>
      <c r="AY1" s="0" t="s">
        <v>161</v>
      </c>
      <c r="AZ1" s="0" t="s">
        <v>180</v>
      </c>
      <c r="BA1" s="0" t="s">
        <v>181</v>
      </c>
      <c r="BB1" s="0" t="s">
        <v>182</v>
      </c>
      <c r="BC1" s="0" t="s">
        <v>183</v>
      </c>
      <c r="BD1" s="0" t="s">
        <v>184</v>
      </c>
      <c r="BE1" s="0" t="s">
        <v>185</v>
      </c>
      <c r="BF1" s="0" t="s">
        <v>186</v>
      </c>
      <c r="BG1" s="0" t="s">
        <v>187</v>
      </c>
      <c r="BH1" s="0" t="s">
        <v>188</v>
      </c>
      <c r="BI1" s="0" t="str">
        <f aca="false">AX1</f>
        <v>ARRIVAL</v>
      </c>
      <c r="BJ1" s="0" t="s">
        <v>175</v>
      </c>
      <c r="BK1" s="0" t="s">
        <v>176</v>
      </c>
      <c r="BL1" s="0" t="s">
        <v>177</v>
      </c>
      <c r="BM1" s="0" t="s">
        <v>178</v>
      </c>
    </row>
    <row r="2" customFormat="false" ht="13" hidden="false" customHeight="false" outlineLevel="0" collapsed="false">
      <c r="A2" s="1" t="n">
        <v>1</v>
      </c>
      <c r="B2" s="1" t="s">
        <v>1</v>
      </c>
      <c r="C2" s="1" t="s">
        <v>1</v>
      </c>
      <c r="D2" s="1" t="s">
        <v>1</v>
      </c>
      <c r="E2" s="1" t="n">
        <f aca="false">(IF($B2="V",1,0))+IF($C2="V",1,0)+IF($D2="V",1,0)</f>
        <v>3</v>
      </c>
      <c r="F2" s="1" t="n">
        <f aca="false">(IF($B2="E",1,0))+IF($C2="E",1,0)+IF($D2="E",1,0)</f>
        <v>0</v>
      </c>
      <c r="G2" s="1" t="n">
        <f aca="false">(IF($B2="O",1,0))+IF($C2="O",1,0)+IF($D2="O",1,0)</f>
        <v>0</v>
      </c>
      <c r="H2" s="1" t="n">
        <f aca="false">(IF($B2="L",1,0))+IF($C2="L",1,0)+IF($D2="L",1,0)</f>
        <v>0</v>
      </c>
      <c r="I2" s="1" t="n">
        <f aca="false">(IF(B2="V",1,0))</f>
        <v>1</v>
      </c>
      <c r="J2" s="1" t="n">
        <f aca="false">(IF(B2="E",1,0))</f>
        <v>0</v>
      </c>
      <c r="K2" s="1" t="n">
        <f aca="false">(IF(B2="O",1,0))</f>
        <v>0</v>
      </c>
      <c r="L2" s="1" t="n">
        <f aca="false">(IF(B2="L",1,0))</f>
        <v>0</v>
      </c>
      <c r="M2" s="1" t="n">
        <f aca="false">(IF(C2="V",1,0))</f>
        <v>1</v>
      </c>
      <c r="N2" s="1" t="n">
        <f aca="false">(IF(C2="E",1,0))</f>
        <v>0</v>
      </c>
      <c r="O2" s="1" t="n">
        <f aca="false">(IF(C2="O",1,0))</f>
        <v>0</v>
      </c>
      <c r="P2" s="1" t="n">
        <f aca="false">(IF(C2="L",1,0))</f>
        <v>0</v>
      </c>
      <c r="Q2" s="1" t="n">
        <f aca="false">(IF(D2="V",1,0))</f>
        <v>1</v>
      </c>
      <c r="R2" s="1" t="n">
        <f aca="false">(IF(D2="E",1,0))</f>
        <v>0</v>
      </c>
      <c r="S2" s="1" t="n">
        <f aca="false">(IF(D2="O",1,0))</f>
        <v>0</v>
      </c>
      <c r="T2" s="1" t="n">
        <f aca="false">(IF(D2="L",1,0))</f>
        <v>0</v>
      </c>
      <c r="U2" s="1" t="n">
        <f aca="false">MAX(E2-1,0)</f>
        <v>2</v>
      </c>
      <c r="V2" s="1" t="n">
        <f aca="false">MAX(U2-1+F2,0)</f>
        <v>1</v>
      </c>
      <c r="W2" s="1" t="n">
        <f aca="false">MAX(V2-1+G2,0)</f>
        <v>0</v>
      </c>
      <c r="X2" s="1" t="n">
        <f aca="false">MAX(W2-1+H2,0)</f>
        <v>0</v>
      </c>
      <c r="Y2" s="1" t="n">
        <f aca="false">0.5*(E2*I2+F2*J2+G2*K2+H2*L2-1)+(0+$U2*J2+$V2*K2+$W2*L2)</f>
        <v>1</v>
      </c>
      <c r="Z2" s="1" t="n">
        <f aca="false">0.5*(E2*M2+F2*N2+G2*O2+H2*P2-1)+(0+$U2*N2+$V2*O2+$W2*P2)</f>
        <v>1</v>
      </c>
      <c r="AA2" s="1" t="n">
        <f aca="false">0.5*(E2*Q2+F2*R2+G2*S2+H2*T2-1)+(0+$U2*R2+$V2*S2+$W2*T2)</f>
        <v>1</v>
      </c>
      <c r="AB2" s="1" t="n">
        <f aca="false">IF(B2="V",-2,0)+IF(B2="E",-1,0)+IF(B2="O",0,0)+IF(B2="L",1,0)+Y2</f>
        <v>-1</v>
      </c>
      <c r="AC2" s="1" t="n">
        <f aca="false">IF(C2="V",-2,0)+IF(C2="E",-1,0)+IF(C2="O",0,0)+IF(C2="L",1,0)+Z2</f>
        <v>-1</v>
      </c>
      <c r="AD2" s="1" t="n">
        <f aca="false">IF(D2="V",-2,0)+IF(D2="E",-1,0)+IF(D2="O",0,0)+IF(D2="L",1,0)+AA2</f>
        <v>-1</v>
      </c>
      <c r="AE2" s="1" t="n">
        <f aca="false">IF(B2="V",-2,0)+IF(B2="E",-1,0)+IF(B2="O",0,0)+IF(B2="L",1,0)</f>
        <v>-2</v>
      </c>
      <c r="AF2" s="1" t="n">
        <f aca="false">IF(B2="V",-2,0)+IF(B2="E",-1,0)+IF(B2="O",0,0)+IF(B2="L",1,0)+Y2</f>
        <v>-1</v>
      </c>
      <c r="AG2" s="1" t="n">
        <f aca="false">IF(B2="V",-2,0)+IF(B2="E",-1,0)+IF(B2="O",0,0)+IF(B2="L",1,0)+Y2*2</f>
        <v>0</v>
      </c>
      <c r="AH2" s="1" t="n">
        <f aca="false">IF(C2="V",-2,0)+IF(C2="E",-1,0)+IF(C2="O",0,0)+IF(C2="L",1,0)</f>
        <v>-2</v>
      </c>
      <c r="AI2" s="1" t="n">
        <f aca="false">IF(C2="V",-2,0)+IF(C2="E",-1,0)+IF(C2="O",0,0)+IF(C2="L",1,0)+Z2</f>
        <v>-1</v>
      </c>
      <c r="AJ2" s="1" t="n">
        <f aca="false">IF(C2="V",-2,0)+IF(C2="E",-1,0)+IF(C2="O",0,0)+IF(C2="L",1,0)+Z2*2</f>
        <v>0</v>
      </c>
      <c r="AK2" s="1" t="n">
        <f aca="false">IF(D2="V",-2,0)+IF(D2="E",-1,0)+IF(D2="O",0,0)+IF(D2="L",1,0)</f>
        <v>-2</v>
      </c>
      <c r="AL2" s="1" t="n">
        <f aca="false">IF(D2="V",-2,0)+IF(D2="E",-1,0)+IF(D2="O",0,0)+IF(D2="L",1,0)+AA2</f>
        <v>-1</v>
      </c>
      <c r="AM2" s="1" t="n">
        <f aca="false">IF(D2="V",-2,0)+IF(D2="E",-1,0)+IF(D2="O",0,0)+IF(D2="L",1,0)+AA2*2</f>
        <v>0</v>
      </c>
      <c r="AN2" s="1" t="n">
        <f aca="false">(ABS(IF(AE2&lt;0,AE2*Early,AE2*Late))+ABS(IF(AF2&lt;0,AF2*Early,AF2*Late))+ABS(IF(AG2&lt;0,AG2*Early,AG2*Late)))/3</f>
        <v>3</v>
      </c>
      <c r="AO2" s="1" t="n">
        <f aca="false">(ABS(IF(AH2&lt;0,AH2*Early,AH2*Late))+ABS(IF(AI2&lt;0,AI2*Early,AI2*Late))+ABS(IF(AJ2&lt;0,AJ2*Early,AJ2*Late)))/3</f>
        <v>3</v>
      </c>
      <c r="AP2" s="1" t="n">
        <f aca="false">(ABS(IF(AK2&lt;0,AK2*Early,AK2*Late))+ABS(IF(AL2&lt;0,AL2*Early,AL2*Late))+ABS(IF(AM2&lt;0,AM2*Early,AM2*Late)))/3</f>
        <v>3</v>
      </c>
      <c r="AQ2" s="1" t="n">
        <f aca="false">Y2*Delay+AN2</f>
        <v>4</v>
      </c>
      <c r="AR2" s="1" t="n">
        <f aca="false">Z2*Delay+AO2</f>
        <v>4</v>
      </c>
      <c r="AS2" s="1" t="n">
        <f aca="false">AA2*Delay+AP2</f>
        <v>4</v>
      </c>
      <c r="AT2" s="1" t="n">
        <f aca="false">VLOOKUP(A2,SortA!$A$1:$AT$65,46,FALSE())</f>
        <v>0</v>
      </c>
      <c r="AU2" s="1" t="n">
        <f aca="false">VLOOKUP(A2,SortB!$A$1:$AT$65,46,FALSE())</f>
        <v>0</v>
      </c>
      <c r="AV2" s="1" t="n">
        <f aca="false">VLOOKUP(A2,SortC!$A$1:$AT$65,46,FALSE())</f>
        <v>0</v>
      </c>
      <c r="AW2" s="1" t="n">
        <f aca="false">IF(SUM(AT2:AV2)=3,1,0)</f>
        <v>0</v>
      </c>
      <c r="AX2" s="1" t="str">
        <f aca="false">B2&amp;C2&amp;D2</f>
        <v>VVV</v>
      </c>
      <c r="AY2" s="1" t="n">
        <f aca="false">AQ2+AR2+AS2</f>
        <v>12</v>
      </c>
      <c r="AZ2" s="1" t="str">
        <f aca="false">RIGHT(AX2,2)</f>
        <v>VV</v>
      </c>
      <c r="BA2" s="1" t="str">
        <f aca="false">LEFT(AX2,1)&amp;RIGHT(AX2,1)</f>
        <v>VV</v>
      </c>
      <c r="BB2" s="1" t="str">
        <f aca="false">LEFT(AX2,2)</f>
        <v>VV</v>
      </c>
      <c r="BC2" s="1" t="n">
        <f aca="false">VLOOKUP(AZ2,TwoPlayers!$AG$1:$AH$17,2,FALSE())</f>
        <v>10</v>
      </c>
      <c r="BD2" s="1" t="n">
        <f aca="false">VLOOKUP(BA2,TwoPlayers!$AG$1:$AH$17,2,FALSE())</f>
        <v>10</v>
      </c>
      <c r="BE2" s="1" t="n">
        <f aca="false">VLOOKUP(BB2,TwoPlayers!$AG$1:$AH$17,2,FALSE())</f>
        <v>10</v>
      </c>
      <c r="BF2" s="1" t="n">
        <f aca="false">$AY2-BC2</f>
        <v>2</v>
      </c>
      <c r="BG2" s="1" t="n">
        <f aca="false">$AY2-BD2</f>
        <v>2</v>
      </c>
      <c r="BH2" s="1" t="n">
        <f aca="false">$AY2-BE2</f>
        <v>2</v>
      </c>
      <c r="BI2" s="0" t="str">
        <f aca="false">AX2</f>
        <v>VVV</v>
      </c>
      <c r="BJ2" s="1" t="n">
        <f aca="false">VLOOKUP(A2,SortA!$A$1:$BM$65,65,FALSE())</f>
        <v>0</v>
      </c>
      <c r="BK2" s="1" t="n">
        <f aca="false">VLOOKUP(A2,SortB!$A$1:$BM$65,65,FALSE())</f>
        <v>0</v>
      </c>
      <c r="BL2" s="1" t="n">
        <f aca="false">VLOOKUP(A2,SortC!$A$1:$BM$65,65,FALSE())</f>
        <v>0</v>
      </c>
      <c r="BM2" s="1" t="n">
        <f aca="false">IF(SUM(BJ2:BL2)=3,1,0)</f>
        <v>0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customFormat="false" ht="13" hidden="false" customHeight="false" outlineLevel="0" collapsed="false">
      <c r="A3" s="0" t="n">
        <f aca="false">A2+1</f>
        <v>2</v>
      </c>
      <c r="B3" s="0" t="s">
        <v>1</v>
      </c>
      <c r="C3" s="0" t="s">
        <v>1</v>
      </c>
      <c r="D3" s="0" t="s">
        <v>2</v>
      </c>
      <c r="E3" s="0" t="n">
        <f aca="false">(IF($B3="V",1,0))+IF($C3="V",1,0)+IF($D3="V",1,0)</f>
        <v>2</v>
      </c>
      <c r="F3" s="0" t="n">
        <f aca="false">(IF($B3="E",1,0))+IF($C3="E",1,0)+IF($D3="E",1,0)</f>
        <v>1</v>
      </c>
      <c r="G3" s="0" t="n">
        <f aca="false">(IF($B3="O",1,0))+IF($C3="O",1,0)+IF($D3="O",1,0)</f>
        <v>0</v>
      </c>
      <c r="H3" s="0" t="n">
        <f aca="false">(IF($B3="L",1,0))+IF($C3="L",1,0)+IF($D3="L",1,0)</f>
        <v>0</v>
      </c>
      <c r="I3" s="0" t="n">
        <f aca="false">(IF(B3="V",1,0))</f>
        <v>1</v>
      </c>
      <c r="J3" s="0" t="n">
        <f aca="false">(IF(B3="E",1,0))</f>
        <v>0</v>
      </c>
      <c r="K3" s="0" t="n">
        <f aca="false">(IF(B3="O",1,0))</f>
        <v>0</v>
      </c>
      <c r="L3" s="0" t="n">
        <f aca="false">(IF(B3="L",1,0))</f>
        <v>0</v>
      </c>
      <c r="M3" s="0" t="n">
        <f aca="false">(IF(C3="V",1,0))</f>
        <v>1</v>
      </c>
      <c r="N3" s="0" t="n">
        <f aca="false">(IF(C3="E",1,0))</f>
        <v>0</v>
      </c>
      <c r="O3" s="0" t="n">
        <f aca="false">(IF(C3="O",1,0))</f>
        <v>0</v>
      </c>
      <c r="P3" s="0" t="n">
        <f aca="false">(IF(C3="L",1,0))</f>
        <v>0</v>
      </c>
      <c r="Q3" s="0" t="n">
        <f aca="false">(IF(D3="V",1,0))</f>
        <v>0</v>
      </c>
      <c r="R3" s="0" t="n">
        <f aca="false">(IF(D3="E",1,0))</f>
        <v>1</v>
      </c>
      <c r="S3" s="0" t="n">
        <f aca="false">(IF(D3="O",1,0))</f>
        <v>0</v>
      </c>
      <c r="T3" s="0" t="n">
        <f aca="false">(IF(D3="L",1,0))</f>
        <v>0</v>
      </c>
      <c r="U3" s="0" t="n">
        <f aca="false">MAX(E3-1,0)</f>
        <v>1</v>
      </c>
      <c r="V3" s="0" t="n">
        <f aca="false">MAX(U3-1+F3,0)</f>
        <v>1</v>
      </c>
      <c r="W3" s="0" t="n">
        <f aca="false">MAX(V3-1+G3,0)</f>
        <v>0</v>
      </c>
      <c r="X3" s="0" t="n">
        <f aca="false">MAX(W3-1+H3,0)</f>
        <v>0</v>
      </c>
      <c r="Y3" s="1" t="n">
        <f aca="false">0.5*(E3*I3+F3*J3+G3*K3+H3*L3-1)+(0+$U3*J3+$V3*K3+$W3*L3)</f>
        <v>0.5</v>
      </c>
      <c r="Z3" s="1" t="n">
        <f aca="false">0.5*(E3*M3+F3*N3+G3*O3+H3*P3-1)+(0+$U3*N3+$V3*O3+$W3*P3)</f>
        <v>0.5</v>
      </c>
      <c r="AA3" s="1" t="n">
        <f aca="false">0.5*(E3*Q3+F3*R3+G3*S3+H3*T3-1)+(0+$U3*R3+$V3*S3+$W3*T3)</f>
        <v>1</v>
      </c>
      <c r="AB3" s="0" t="n">
        <f aca="false">IF(B3="V",-2,0)+IF(B3="E",-1,0)+IF(B3="O",0,0)+IF(B3="L",1,0)+Y3</f>
        <v>-1.5</v>
      </c>
      <c r="AC3" s="0" t="n">
        <f aca="false">IF(C3="V",-2,0)+IF(C3="E",-1,0)+IF(C3="O",0,0)+IF(C3="L",1,0)+Z3</f>
        <v>-1.5</v>
      </c>
      <c r="AD3" s="0" t="n">
        <f aca="false">IF(D3="V",-2,0)+IF(D3="E",-1,0)+IF(D3="O",0,0)+IF(D3="L",1,0)+AA3</f>
        <v>0</v>
      </c>
      <c r="AE3" s="1" t="n">
        <f aca="false">IF(B3="V",-2,0)+IF(B3="E",-1,0)+IF(B3="O",0,0)+IF(B3="L",1,0)</f>
        <v>-2</v>
      </c>
      <c r="AF3" s="1" t="n">
        <f aca="false">IF(B3="V",-2,0)+IF(B3="E",-1,0)+IF(B3="O",0,0)+IF(B3="L",1,0)+Y3</f>
        <v>-1.5</v>
      </c>
      <c r="AG3" s="1" t="n">
        <f aca="false">IF(B3="V",-2,0)+IF(B3="E",-1,0)+IF(B3="O",0,0)+IF(B3="L",1,0)+Y3*2</f>
        <v>-1</v>
      </c>
      <c r="AH3" s="1" t="n">
        <f aca="false">IF(C3="V",-2,0)+IF(C3="E",-1,0)+IF(C3="O",0,0)+IF(C3="L",1,0)</f>
        <v>-2</v>
      </c>
      <c r="AI3" s="1" t="n">
        <f aca="false">IF(C3="V",-2,0)+IF(C3="E",-1,0)+IF(C3="O",0,0)+IF(C3="L",1,0)+Z3</f>
        <v>-1.5</v>
      </c>
      <c r="AJ3" s="1" t="n">
        <f aca="false">IF(C3="V",-2,0)+IF(C3="E",-1,0)+IF(C3="O",0,0)+IF(C3="L",1,0)+Z3*2</f>
        <v>-1</v>
      </c>
      <c r="AK3" s="1" t="n">
        <f aca="false">IF(D3="V",-2,0)+IF(D3="E",-1,0)+IF(D3="O",0,0)+IF(D3="L",1,0)</f>
        <v>-1</v>
      </c>
      <c r="AL3" s="1" t="n">
        <f aca="false">IF(D3="V",-2,0)+IF(D3="E",-1,0)+IF(D3="O",0,0)+IF(D3="L",1,0)+AA3</f>
        <v>0</v>
      </c>
      <c r="AM3" s="1" t="n">
        <f aca="false">IF(D3="V",-2,0)+IF(D3="E",-1,0)+IF(D3="O",0,0)+IF(D3="L",1,0)+AA3*2</f>
        <v>1</v>
      </c>
      <c r="AN3" s="1" t="n">
        <f aca="false">(ABS(IF(AE3&lt;0,AE3*Early,AE3*Late))+ABS(IF(AF3&lt;0,AF3*Early,AF3*Late))+ABS(IF(AG3&lt;0,AG3*Early,AG3*Late)))/3</f>
        <v>4.5</v>
      </c>
      <c r="AO3" s="1" t="n">
        <f aca="false">(ABS(IF(AH3&lt;0,AH3*Early,AH3*Late))+ABS(IF(AI3&lt;0,AI3*Early,AI3*Late))+ABS(IF(AJ3&lt;0,AJ3*Early,AJ3*Late)))/3</f>
        <v>4.5</v>
      </c>
      <c r="AP3" s="1" t="n">
        <f aca="false">(ABS(IF(AK3&lt;0,AK3*Early,AK3*Late))+ABS(IF(AL3&lt;0,AL3*Early,AL3*Late))+ABS(IF(AM3&lt;0,AM3*Early,AM3*Late)))/3</f>
        <v>2.33333333333333</v>
      </c>
      <c r="AQ3" s="0" t="n">
        <f aca="false">Y3*Delay+AN3</f>
        <v>5</v>
      </c>
      <c r="AR3" s="0" t="n">
        <f aca="false">Z3*Delay+AO3</f>
        <v>5</v>
      </c>
      <c r="AS3" s="0" t="n">
        <f aca="false">AA3*Delay+AP3</f>
        <v>3.33333333333333</v>
      </c>
      <c r="AT3" s="1" t="n">
        <f aca="false">VLOOKUP(A3,SortA!$A$1:$AT$65,46,FALSE())</f>
        <v>0</v>
      </c>
      <c r="AU3" s="1" t="n">
        <f aca="false">VLOOKUP(A3,SortB!$A$1:$AT$65,46,FALSE())</f>
        <v>0</v>
      </c>
      <c r="AV3" s="1" t="n">
        <f aca="false">VLOOKUP(A3,SortC!$A$1:$AT$65,46,FALSE())</f>
        <v>0</v>
      </c>
      <c r="AW3" s="0" t="n">
        <f aca="false">IF(SUM(AT3:AV3)=3,1,0)</f>
        <v>0</v>
      </c>
      <c r="AX3" s="0" t="str">
        <f aca="false">B3&amp;C3&amp;D3</f>
        <v>VVE</v>
      </c>
      <c r="AY3" s="1" t="n">
        <f aca="false">AQ3+AR3+AS3</f>
        <v>13.3333333333333</v>
      </c>
      <c r="AZ3" s="1" t="str">
        <f aca="false">RIGHT(AX3,2)</f>
        <v>VE</v>
      </c>
      <c r="BA3" s="1" t="str">
        <f aca="false">LEFT(AX3,1)&amp;RIGHT(AX3,1)</f>
        <v>VE</v>
      </c>
      <c r="BB3" s="1" t="str">
        <f aca="false">LEFT(AX3,2)</f>
        <v>VV</v>
      </c>
      <c r="BC3" s="1" t="n">
        <f aca="false">VLOOKUP(AZ3,TwoPlayers!$AG$1:$AH$17,2,FALSE())</f>
        <v>9</v>
      </c>
      <c r="BD3" s="1" t="n">
        <f aca="false">VLOOKUP(BA3,TwoPlayers!$AG$1:$AH$17,2,FALSE())</f>
        <v>9</v>
      </c>
      <c r="BE3" s="1" t="n">
        <f aca="false">VLOOKUP(BB3,TwoPlayers!$AG$1:$AH$17,2,FALSE())</f>
        <v>10</v>
      </c>
      <c r="BF3" s="1" t="n">
        <f aca="false">$AY3-BC3</f>
        <v>4.33333333333333</v>
      </c>
      <c r="BG3" s="1" t="n">
        <f aca="false">$AY3-BD3</f>
        <v>4.33333333333333</v>
      </c>
      <c r="BH3" s="1" t="n">
        <f aca="false">$AY3-BE3</f>
        <v>3.33333333333333</v>
      </c>
      <c r="BI3" s="0" t="str">
        <f aca="false">AX3</f>
        <v>VVE</v>
      </c>
      <c r="BJ3" s="1" t="n">
        <f aca="false">VLOOKUP(A3,SortA!$A$1:$BM$65,65,FALSE())</f>
        <v>0</v>
      </c>
      <c r="BK3" s="1" t="n">
        <f aca="false">VLOOKUP(A3,SortB!$A$1:$BM$65,65,FALSE())</f>
        <v>0</v>
      </c>
      <c r="BL3" s="1" t="n">
        <f aca="false">VLOOKUP(A3,SortC!$A$1:$BM$65,65,FALSE())</f>
        <v>0</v>
      </c>
      <c r="BM3" s="1" t="n">
        <f aca="false">IF(SUM(BJ3:BL3)=3,1,0)</f>
        <v>0</v>
      </c>
    </row>
    <row r="4" customFormat="false" ht="13" hidden="false" customHeight="false" outlineLevel="0" collapsed="false">
      <c r="A4" s="0" t="n">
        <f aca="false">A3+1</f>
        <v>3</v>
      </c>
      <c r="B4" s="0" t="s">
        <v>1</v>
      </c>
      <c r="C4" s="0" t="s">
        <v>1</v>
      </c>
      <c r="D4" s="0" t="s">
        <v>3</v>
      </c>
      <c r="E4" s="0" t="n">
        <f aca="false">(IF($B4="V",1,0))+IF($C4="V",1,0)+IF($D4="V",1,0)</f>
        <v>2</v>
      </c>
      <c r="F4" s="0" t="n">
        <f aca="false">(IF($B4="E",1,0))+IF($C4="E",1,0)+IF($D4="E",1,0)</f>
        <v>0</v>
      </c>
      <c r="G4" s="0" t="n">
        <f aca="false">(IF($B4="O",1,0))+IF($C4="O",1,0)+IF($D4="O",1,0)</f>
        <v>1</v>
      </c>
      <c r="H4" s="0" t="n">
        <f aca="false">(IF($B4="L",1,0))+IF($C4="L",1,0)+IF($D4="L",1,0)</f>
        <v>0</v>
      </c>
      <c r="I4" s="0" t="n">
        <f aca="false">(IF(B4="V",1,0))</f>
        <v>1</v>
      </c>
      <c r="J4" s="0" t="n">
        <f aca="false">(IF(B4="E",1,0))</f>
        <v>0</v>
      </c>
      <c r="K4" s="0" t="n">
        <f aca="false">(IF(B4="O",1,0))</f>
        <v>0</v>
      </c>
      <c r="L4" s="0" t="n">
        <f aca="false">(IF(B4="L",1,0))</f>
        <v>0</v>
      </c>
      <c r="M4" s="0" t="n">
        <f aca="false">(IF(C4="V",1,0))</f>
        <v>1</v>
      </c>
      <c r="N4" s="0" t="n">
        <f aca="false">(IF(C4="E",1,0))</f>
        <v>0</v>
      </c>
      <c r="O4" s="0" t="n">
        <f aca="false">(IF(C4="O",1,0))</f>
        <v>0</v>
      </c>
      <c r="P4" s="0" t="n">
        <f aca="false">(IF(C4="L",1,0))</f>
        <v>0</v>
      </c>
      <c r="Q4" s="0" t="n">
        <f aca="false">(IF(D4="V",1,0))</f>
        <v>0</v>
      </c>
      <c r="R4" s="0" t="n">
        <f aca="false">(IF(D4="E",1,0))</f>
        <v>0</v>
      </c>
      <c r="S4" s="0" t="n">
        <f aca="false">(IF(D4="O",1,0))</f>
        <v>1</v>
      </c>
      <c r="T4" s="0" t="n">
        <f aca="false">(IF(D4="L",1,0))</f>
        <v>0</v>
      </c>
      <c r="U4" s="0" t="n">
        <f aca="false">MAX(E4-1,0)</f>
        <v>1</v>
      </c>
      <c r="V4" s="0" t="n">
        <f aca="false">MAX(U4-1+F4,0)</f>
        <v>0</v>
      </c>
      <c r="W4" s="0" t="n">
        <f aca="false">MAX(V4-1+G4,0)</f>
        <v>0</v>
      </c>
      <c r="X4" s="0" t="n">
        <f aca="false">MAX(W4-1+H4,0)</f>
        <v>0</v>
      </c>
      <c r="Y4" s="1" t="n">
        <f aca="false">0.5*(E4*I4+F4*J4+G4*K4+H4*L4-1)+(0+$U4*J4+$V4*K4+$W4*L4)</f>
        <v>0.5</v>
      </c>
      <c r="Z4" s="1" t="n">
        <f aca="false">0.5*(E4*M4+F4*N4+G4*O4+H4*P4-1)+(0+$U4*N4+$V4*O4+$W4*P4)</f>
        <v>0.5</v>
      </c>
      <c r="AA4" s="1" t="n">
        <f aca="false">0.5*(E4*Q4+F4*R4+G4*S4+H4*T4-1)+(0+$U4*R4+$V4*S4+$W4*T4)</f>
        <v>0</v>
      </c>
      <c r="AB4" s="0" t="n">
        <f aca="false">IF(B4="V",-2,0)+IF(B4="E",-1,0)+IF(B4="O",0,0)+IF(B4="L",1,0)+Y4</f>
        <v>-1.5</v>
      </c>
      <c r="AC4" s="0" t="n">
        <f aca="false">IF(C4="V",-2,0)+IF(C4="E",-1,0)+IF(C4="O",0,0)+IF(C4="L",1,0)+Z4</f>
        <v>-1.5</v>
      </c>
      <c r="AD4" s="0" t="n">
        <f aca="false">IF(D4="V",-2,0)+IF(D4="E",-1,0)+IF(D4="O",0,0)+IF(D4="L",1,0)+AA4</f>
        <v>0</v>
      </c>
      <c r="AE4" s="1" t="n">
        <f aca="false">IF(B4="V",-2,0)+IF(B4="E",-1,0)+IF(B4="O",0,0)+IF(B4="L",1,0)</f>
        <v>-2</v>
      </c>
      <c r="AF4" s="1" t="n">
        <f aca="false">IF(B4="V",-2,0)+IF(B4="E",-1,0)+IF(B4="O",0,0)+IF(B4="L",1,0)+Y4</f>
        <v>-1.5</v>
      </c>
      <c r="AG4" s="1" t="n">
        <f aca="false">IF(B4="V",-2,0)+IF(B4="E",-1,0)+IF(B4="O",0,0)+IF(B4="L",1,0)+Y4*2</f>
        <v>-1</v>
      </c>
      <c r="AH4" s="1" t="n">
        <f aca="false">IF(C4="V",-2,0)+IF(C4="E",-1,0)+IF(C4="O",0,0)+IF(C4="L",1,0)</f>
        <v>-2</v>
      </c>
      <c r="AI4" s="1" t="n">
        <f aca="false">IF(C4="V",-2,0)+IF(C4="E",-1,0)+IF(C4="O",0,0)+IF(C4="L",1,0)+Z4</f>
        <v>-1.5</v>
      </c>
      <c r="AJ4" s="1" t="n">
        <f aca="false">IF(C4="V",-2,0)+IF(C4="E",-1,0)+IF(C4="O",0,0)+IF(C4="L",1,0)+Z4*2</f>
        <v>-1</v>
      </c>
      <c r="AK4" s="1" t="n">
        <f aca="false">IF(D4="V",-2,0)+IF(D4="E",-1,0)+IF(D4="O",0,0)+IF(D4="L",1,0)</f>
        <v>0</v>
      </c>
      <c r="AL4" s="1" t="n">
        <f aca="false">IF(D4="V",-2,0)+IF(D4="E",-1,0)+IF(D4="O",0,0)+IF(D4="L",1,0)+AA4</f>
        <v>0</v>
      </c>
      <c r="AM4" s="1" t="n">
        <f aca="false">IF(D4="V",-2,0)+IF(D4="E",-1,0)+IF(D4="O",0,0)+IF(D4="L",1,0)+AA4*2</f>
        <v>0</v>
      </c>
      <c r="AN4" s="1" t="n">
        <f aca="false">(ABS(IF(AE4&lt;0,AE4*Early,AE4*Late))+ABS(IF(AF4&lt;0,AF4*Early,AF4*Late))+ABS(IF(AG4&lt;0,AG4*Early,AG4*Late)))/3</f>
        <v>4.5</v>
      </c>
      <c r="AO4" s="1" t="n">
        <f aca="false">(ABS(IF(AH4&lt;0,AH4*Early,AH4*Late))+ABS(IF(AI4&lt;0,AI4*Early,AI4*Late))+ABS(IF(AJ4&lt;0,AJ4*Early,AJ4*Late)))/3</f>
        <v>4.5</v>
      </c>
      <c r="AP4" s="1" t="n">
        <f aca="false">(ABS(IF(AK4&lt;0,AK4*Early,AK4*Late))+ABS(IF(AL4&lt;0,AL4*Early,AL4*Late))+ABS(IF(AM4&lt;0,AM4*Early,AM4*Late)))/3</f>
        <v>0</v>
      </c>
      <c r="AQ4" s="0" t="n">
        <f aca="false">Y4*Delay+AN4</f>
        <v>5</v>
      </c>
      <c r="AR4" s="0" t="n">
        <f aca="false">Z4*Delay+AO4</f>
        <v>5</v>
      </c>
      <c r="AS4" s="0" t="n">
        <f aca="false">AA4*Delay+AP4</f>
        <v>0</v>
      </c>
      <c r="AT4" s="1" t="n">
        <f aca="false">VLOOKUP(A4,SortA!$A$1:$AT$65,46,FALSE())</f>
        <v>0</v>
      </c>
      <c r="AU4" s="1" t="n">
        <f aca="false">VLOOKUP(A4,SortB!$A$1:$AT$65,46,FALSE())</f>
        <v>0</v>
      </c>
      <c r="AV4" s="1" t="n">
        <f aca="false">VLOOKUP(A4,SortC!$A$1:$AT$65,46,FALSE())</f>
        <v>1</v>
      </c>
      <c r="AW4" s="0" t="n">
        <f aca="false">IF(SUM(AT4:AV4)=3,1,0)</f>
        <v>0</v>
      </c>
      <c r="AX4" s="0" t="str">
        <f aca="false">B4&amp;C4&amp;D4</f>
        <v>VVO</v>
      </c>
      <c r="AY4" s="1" t="n">
        <f aca="false">AQ4+AR4+AS4</f>
        <v>10</v>
      </c>
      <c r="AZ4" s="1" t="str">
        <f aca="false">RIGHT(AX4,2)</f>
        <v>VO</v>
      </c>
      <c r="BA4" s="1" t="str">
        <f aca="false">LEFT(AX4,1)&amp;RIGHT(AX4,1)</f>
        <v>VO</v>
      </c>
      <c r="BB4" s="1" t="str">
        <f aca="false">LEFT(AX4,2)</f>
        <v>VV</v>
      </c>
      <c r="BC4" s="1" t="n">
        <f aca="false">VLOOKUP(AZ4,TwoPlayers!$AG$1:$AH$17,2,FALSE())</f>
        <v>6</v>
      </c>
      <c r="BD4" s="1" t="n">
        <f aca="false">VLOOKUP(BA4,TwoPlayers!$AG$1:$AH$17,2,FALSE())</f>
        <v>6</v>
      </c>
      <c r="BE4" s="1" t="n">
        <f aca="false">VLOOKUP(BB4,TwoPlayers!$AG$1:$AH$17,2,FALSE())</f>
        <v>10</v>
      </c>
      <c r="BF4" s="1" t="n">
        <f aca="false">$AY4-BC4</f>
        <v>4</v>
      </c>
      <c r="BG4" s="1" t="n">
        <f aca="false">$AY4-BD4</f>
        <v>4</v>
      </c>
      <c r="BH4" s="1" t="n">
        <f aca="false">$AY4-BE4</f>
        <v>0</v>
      </c>
      <c r="BI4" s="0" t="str">
        <f aca="false">AX4</f>
        <v>VVO</v>
      </c>
      <c r="BJ4" s="1" t="n">
        <f aca="false">VLOOKUP(A4,SortA!$A$1:$BM$65,65,FALSE())</f>
        <v>0</v>
      </c>
      <c r="BK4" s="1" t="n">
        <f aca="false">VLOOKUP(A4,SortB!$A$1:$BM$65,65,FALSE())</f>
        <v>0</v>
      </c>
      <c r="BL4" s="1" t="n">
        <f aca="false">VLOOKUP(A4,SortC!$A$1:$BM$65,65,FALSE())</f>
        <v>1</v>
      </c>
      <c r="BM4" s="1" t="n">
        <f aca="false">IF(SUM(BJ4:BL4)=3,1,0)</f>
        <v>0</v>
      </c>
    </row>
    <row r="5" customFormat="false" ht="13" hidden="false" customHeight="false" outlineLevel="0" collapsed="false">
      <c r="A5" s="0" t="n">
        <f aca="false">A4+1</f>
        <v>4</v>
      </c>
      <c r="B5" s="0" t="s">
        <v>1</v>
      </c>
      <c r="C5" s="0" t="s">
        <v>1</v>
      </c>
      <c r="D5" s="0" t="s">
        <v>4</v>
      </c>
      <c r="E5" s="0" t="n">
        <f aca="false">(IF($B5="V",1,0))+IF($C5="V",1,0)+IF($D5="V",1,0)</f>
        <v>2</v>
      </c>
      <c r="F5" s="0" t="n">
        <f aca="false">(IF($B5="E",1,0))+IF($C5="E",1,0)+IF($D5="E",1,0)</f>
        <v>0</v>
      </c>
      <c r="G5" s="0" t="n">
        <f aca="false">(IF($B5="O",1,0))+IF($C5="O",1,0)+IF($D5="O",1,0)</f>
        <v>0</v>
      </c>
      <c r="H5" s="0" t="n">
        <f aca="false">(IF($B5="L",1,0))+IF($C5="L",1,0)+IF($D5="L",1,0)</f>
        <v>1</v>
      </c>
      <c r="I5" s="0" t="n">
        <f aca="false">(IF(B5="V",1,0))</f>
        <v>1</v>
      </c>
      <c r="J5" s="0" t="n">
        <f aca="false">(IF(B5="E",1,0))</f>
        <v>0</v>
      </c>
      <c r="K5" s="0" t="n">
        <f aca="false">(IF(B5="O",1,0))</f>
        <v>0</v>
      </c>
      <c r="L5" s="0" t="n">
        <f aca="false">(IF(B5="L",1,0))</f>
        <v>0</v>
      </c>
      <c r="M5" s="0" t="n">
        <f aca="false">(IF(C5="V",1,0))</f>
        <v>1</v>
      </c>
      <c r="N5" s="0" t="n">
        <f aca="false">(IF(C5="E",1,0))</f>
        <v>0</v>
      </c>
      <c r="O5" s="0" t="n">
        <f aca="false">(IF(C5="O",1,0))</f>
        <v>0</v>
      </c>
      <c r="P5" s="0" t="n">
        <f aca="false">(IF(C5="L",1,0))</f>
        <v>0</v>
      </c>
      <c r="Q5" s="0" t="n">
        <f aca="false">(IF(D5="V",1,0))</f>
        <v>0</v>
      </c>
      <c r="R5" s="0" t="n">
        <f aca="false">(IF(D5="E",1,0))</f>
        <v>0</v>
      </c>
      <c r="S5" s="0" t="n">
        <f aca="false">(IF(D5="O",1,0))</f>
        <v>0</v>
      </c>
      <c r="T5" s="0" t="n">
        <f aca="false">(IF(D5="L",1,0))</f>
        <v>1</v>
      </c>
      <c r="U5" s="0" t="n">
        <f aca="false">MAX(E5-1,0)</f>
        <v>1</v>
      </c>
      <c r="V5" s="0" t="n">
        <f aca="false">MAX(U5-1+F5,0)</f>
        <v>0</v>
      </c>
      <c r="W5" s="0" t="n">
        <f aca="false">MAX(V5-1+G5,0)</f>
        <v>0</v>
      </c>
      <c r="X5" s="0" t="n">
        <f aca="false">MAX(W5-1+H5,0)</f>
        <v>0</v>
      </c>
      <c r="Y5" s="1" t="n">
        <f aca="false">0.5*(E5*I5+F5*J5+G5*K5+H5*L5-1)+(0+$U5*J5+$V5*K5+$W5*L5)</f>
        <v>0.5</v>
      </c>
      <c r="Z5" s="1" t="n">
        <f aca="false">0.5*(E5*M5+F5*N5+G5*O5+H5*P5-1)+(0+$U5*N5+$V5*O5+$W5*P5)</f>
        <v>0.5</v>
      </c>
      <c r="AA5" s="1" t="n">
        <f aca="false">0.5*(E5*Q5+F5*R5+G5*S5+H5*T5-1)+(0+$U5*R5+$V5*S5+$W5*T5)</f>
        <v>0</v>
      </c>
      <c r="AB5" s="0" t="n">
        <f aca="false">IF(B5="V",-2,0)+IF(B5="E",-1,0)+IF(B5="O",0,0)+IF(B5="L",1,0)+Y5</f>
        <v>-1.5</v>
      </c>
      <c r="AC5" s="0" t="n">
        <f aca="false">IF(C5="V",-2,0)+IF(C5="E",-1,0)+IF(C5="O",0,0)+IF(C5="L",1,0)+Z5</f>
        <v>-1.5</v>
      </c>
      <c r="AD5" s="0" t="n">
        <f aca="false">IF(D5="V",-2,0)+IF(D5="E",-1,0)+IF(D5="O",0,0)+IF(D5="L",1,0)+AA5</f>
        <v>1</v>
      </c>
      <c r="AE5" s="1" t="n">
        <f aca="false">IF(B5="V",-2,0)+IF(B5="E",-1,0)+IF(B5="O",0,0)+IF(B5="L",1,0)</f>
        <v>-2</v>
      </c>
      <c r="AF5" s="1" t="n">
        <f aca="false">IF(B5="V",-2,0)+IF(B5="E",-1,0)+IF(B5="O",0,0)+IF(B5="L",1,0)+Y5</f>
        <v>-1.5</v>
      </c>
      <c r="AG5" s="1" t="n">
        <f aca="false">IF(B5="V",-2,0)+IF(B5="E",-1,0)+IF(B5="O",0,0)+IF(B5="L",1,0)+Y5*2</f>
        <v>-1</v>
      </c>
      <c r="AH5" s="1" t="n">
        <f aca="false">IF(C5="V",-2,0)+IF(C5="E",-1,0)+IF(C5="O",0,0)+IF(C5="L",1,0)</f>
        <v>-2</v>
      </c>
      <c r="AI5" s="1" t="n">
        <f aca="false">IF(C5="V",-2,0)+IF(C5="E",-1,0)+IF(C5="O",0,0)+IF(C5="L",1,0)+Z5</f>
        <v>-1.5</v>
      </c>
      <c r="AJ5" s="1" t="n">
        <f aca="false">IF(C5="V",-2,0)+IF(C5="E",-1,0)+IF(C5="O",0,0)+IF(C5="L",1,0)+Z5*2</f>
        <v>-1</v>
      </c>
      <c r="AK5" s="1" t="n">
        <f aca="false">IF(D5="V",-2,0)+IF(D5="E",-1,0)+IF(D5="O",0,0)+IF(D5="L",1,0)</f>
        <v>1</v>
      </c>
      <c r="AL5" s="1" t="n">
        <f aca="false">IF(D5="V",-2,0)+IF(D5="E",-1,0)+IF(D5="O",0,0)+IF(D5="L",1,0)+AA5</f>
        <v>1</v>
      </c>
      <c r="AM5" s="1" t="n">
        <f aca="false">IF(D5="V",-2,0)+IF(D5="E",-1,0)+IF(D5="O",0,0)+IF(D5="L",1,0)+AA5*2</f>
        <v>1</v>
      </c>
      <c r="AN5" s="1" t="n">
        <f aca="false">(ABS(IF(AE5&lt;0,AE5*Early,AE5*Late))+ABS(IF(AF5&lt;0,AF5*Early,AF5*Late))+ABS(IF(AG5&lt;0,AG5*Early,AG5*Late)))/3</f>
        <v>4.5</v>
      </c>
      <c r="AO5" s="1" t="n">
        <f aca="false">(ABS(IF(AH5&lt;0,AH5*Early,AH5*Late))+ABS(IF(AI5&lt;0,AI5*Early,AI5*Late))+ABS(IF(AJ5&lt;0,AJ5*Early,AJ5*Late)))/3</f>
        <v>4.5</v>
      </c>
      <c r="AP5" s="1" t="n">
        <f aca="false">(ABS(IF(AK5&lt;0,AK5*Early,AK5*Late))+ABS(IF(AL5&lt;0,AL5*Early,AL5*Late))+ABS(IF(AM5&lt;0,AM5*Early,AM5*Late)))/3</f>
        <v>4</v>
      </c>
      <c r="AQ5" s="0" t="n">
        <f aca="false">Y5*Delay+AN5</f>
        <v>5</v>
      </c>
      <c r="AR5" s="0" t="n">
        <f aca="false">Z5*Delay+AO5</f>
        <v>5</v>
      </c>
      <c r="AS5" s="0" t="n">
        <f aca="false">AA5*Delay+AP5</f>
        <v>4</v>
      </c>
      <c r="AT5" s="1" t="n">
        <f aca="false">VLOOKUP(A5,SortA!$A$1:$AT$65,46,FALSE())</f>
        <v>0</v>
      </c>
      <c r="AU5" s="1" t="n">
        <f aca="false">VLOOKUP(A5,SortB!$A$1:$AT$65,46,FALSE())</f>
        <v>0</v>
      </c>
      <c r="AV5" s="1" t="n">
        <f aca="false">VLOOKUP(A5,SortC!$A$1:$AT$65,46,FALSE())</f>
        <v>0</v>
      </c>
      <c r="AW5" s="0" t="n">
        <f aca="false">IF(SUM(AT5:AV5)=3,1,0)</f>
        <v>0</v>
      </c>
      <c r="AX5" s="0" t="str">
        <f aca="false">B5&amp;C5&amp;D5</f>
        <v>VVL</v>
      </c>
      <c r="AY5" s="1" t="n">
        <f aca="false">AQ5+AR5+AS5</f>
        <v>14</v>
      </c>
      <c r="AZ5" s="1" t="str">
        <f aca="false">RIGHT(AX5,2)</f>
        <v>VL</v>
      </c>
      <c r="BA5" s="1" t="str">
        <f aca="false">LEFT(AX5,1)&amp;RIGHT(AX5,1)</f>
        <v>VL</v>
      </c>
      <c r="BB5" s="1" t="str">
        <f aca="false">LEFT(AX5,2)</f>
        <v>VV</v>
      </c>
      <c r="BC5" s="1" t="n">
        <f aca="false">VLOOKUP(AZ5,TwoPlayers!$AG$1:$AH$17,2,FALSE())</f>
        <v>10</v>
      </c>
      <c r="BD5" s="1" t="n">
        <f aca="false">VLOOKUP(BA5,TwoPlayers!$AG$1:$AH$17,2,FALSE())</f>
        <v>10</v>
      </c>
      <c r="BE5" s="1" t="n">
        <f aca="false">VLOOKUP(BB5,TwoPlayers!$AG$1:$AH$17,2,FALSE())</f>
        <v>10</v>
      </c>
      <c r="BF5" s="1" t="n">
        <f aca="false">$AY5-BC5</f>
        <v>4</v>
      </c>
      <c r="BG5" s="1" t="n">
        <f aca="false">$AY5-BD5</f>
        <v>4</v>
      </c>
      <c r="BH5" s="1" t="n">
        <f aca="false">$AY5-BE5</f>
        <v>4</v>
      </c>
      <c r="BI5" s="0" t="str">
        <f aca="false">AX5</f>
        <v>VVL</v>
      </c>
      <c r="BJ5" s="1" t="n">
        <f aca="false">VLOOKUP(A5,SortA!$A$1:$BM$65,65,FALSE())</f>
        <v>0</v>
      </c>
      <c r="BK5" s="1" t="n">
        <f aca="false">VLOOKUP(A5,SortB!$A$1:$BM$65,65,FALSE())</f>
        <v>0</v>
      </c>
      <c r="BL5" s="1" t="n">
        <f aca="false">VLOOKUP(A5,SortC!$A$1:$BM$65,65,FALSE())</f>
        <v>0</v>
      </c>
      <c r="BM5" s="1" t="n">
        <f aca="false">IF(SUM(BJ5:BL5)=3,1,0)</f>
        <v>0</v>
      </c>
    </row>
    <row r="6" customFormat="false" ht="13" hidden="false" customHeight="false" outlineLevel="0" collapsed="false">
      <c r="A6" s="0" t="n">
        <f aca="false">A5+1</f>
        <v>5</v>
      </c>
      <c r="B6" s="0" t="s">
        <v>1</v>
      </c>
      <c r="C6" s="0" t="s">
        <v>2</v>
      </c>
      <c r="D6" s="0" t="s">
        <v>1</v>
      </c>
      <c r="E6" s="0" t="n">
        <f aca="false">(IF($B6="V",1,0))+IF($C6="V",1,0)+IF($D6="V",1,0)</f>
        <v>2</v>
      </c>
      <c r="F6" s="0" t="n">
        <f aca="false">(IF($B6="E",1,0))+IF($C6="E",1,0)+IF($D6="E",1,0)</f>
        <v>1</v>
      </c>
      <c r="G6" s="0" t="n">
        <f aca="false">(IF($B6="O",1,0))+IF($C6="O",1,0)+IF($D6="O",1,0)</f>
        <v>0</v>
      </c>
      <c r="H6" s="0" t="n">
        <f aca="false">(IF($B6="L",1,0))+IF($C6="L",1,0)+IF($D6="L",1,0)</f>
        <v>0</v>
      </c>
      <c r="I6" s="0" t="n">
        <f aca="false">(IF(B6="V",1,0))</f>
        <v>1</v>
      </c>
      <c r="J6" s="0" t="n">
        <f aca="false">(IF(B6="E",1,0))</f>
        <v>0</v>
      </c>
      <c r="K6" s="0" t="n">
        <f aca="false">(IF(B6="O",1,0))</f>
        <v>0</v>
      </c>
      <c r="L6" s="0" t="n">
        <f aca="false">(IF(B6="L",1,0))</f>
        <v>0</v>
      </c>
      <c r="M6" s="0" t="n">
        <f aca="false">(IF(C6="V",1,0))</f>
        <v>0</v>
      </c>
      <c r="N6" s="0" t="n">
        <f aca="false">(IF(C6="E",1,0))</f>
        <v>1</v>
      </c>
      <c r="O6" s="0" t="n">
        <f aca="false">(IF(C6="O",1,0))</f>
        <v>0</v>
      </c>
      <c r="P6" s="0" t="n">
        <f aca="false">(IF(C6="L",1,0))</f>
        <v>0</v>
      </c>
      <c r="Q6" s="0" t="n">
        <f aca="false">(IF(D6="V",1,0))</f>
        <v>1</v>
      </c>
      <c r="R6" s="0" t="n">
        <f aca="false">(IF(D6="E",1,0))</f>
        <v>0</v>
      </c>
      <c r="S6" s="0" t="n">
        <f aca="false">(IF(D6="O",1,0))</f>
        <v>0</v>
      </c>
      <c r="T6" s="0" t="n">
        <f aca="false">(IF(D6="L",1,0))</f>
        <v>0</v>
      </c>
      <c r="U6" s="0" t="n">
        <f aca="false">MAX(E6-1,0)</f>
        <v>1</v>
      </c>
      <c r="V6" s="0" t="n">
        <f aca="false">MAX(U6-1+F6,0)</f>
        <v>1</v>
      </c>
      <c r="W6" s="0" t="n">
        <f aca="false">MAX(V6-1+G6,0)</f>
        <v>0</v>
      </c>
      <c r="X6" s="0" t="n">
        <f aca="false">MAX(W6-1+H6,0)</f>
        <v>0</v>
      </c>
      <c r="Y6" s="1" t="n">
        <f aca="false">0.5*(E6*I6+F6*J6+G6*K6+H6*L6-1)+(0+$U6*J6+$V6*K6+$W6*L6)</f>
        <v>0.5</v>
      </c>
      <c r="Z6" s="1" t="n">
        <f aca="false">0.5*(E6*M6+F6*N6+G6*O6+H6*P6-1)+(0+$U6*N6+$V6*O6+$W6*P6)</f>
        <v>1</v>
      </c>
      <c r="AA6" s="1" t="n">
        <f aca="false">0.5*(E6*Q6+F6*R6+G6*S6+H6*T6-1)+(0+$U6*R6+$V6*S6+$W6*T6)</f>
        <v>0.5</v>
      </c>
      <c r="AB6" s="0" t="n">
        <f aca="false">IF(B6="V",-2,0)+IF(B6="E",-1,0)+IF(B6="O",0,0)+IF(B6="L",1,0)+Y6</f>
        <v>-1.5</v>
      </c>
      <c r="AC6" s="0" t="n">
        <f aca="false">IF(C6="V",-2,0)+IF(C6="E",-1,0)+IF(C6="O",0,0)+IF(C6="L",1,0)+Z6</f>
        <v>0</v>
      </c>
      <c r="AD6" s="0" t="n">
        <f aca="false">IF(D6="V",-2,0)+IF(D6="E",-1,0)+IF(D6="O",0,0)+IF(D6="L",1,0)+AA6</f>
        <v>-1.5</v>
      </c>
      <c r="AE6" s="1" t="n">
        <f aca="false">IF(B6="V",-2,0)+IF(B6="E",-1,0)+IF(B6="O",0,0)+IF(B6="L",1,0)</f>
        <v>-2</v>
      </c>
      <c r="AF6" s="1" t="n">
        <f aca="false">IF(B6="V",-2,0)+IF(B6="E",-1,0)+IF(B6="O",0,0)+IF(B6="L",1,0)+Y6</f>
        <v>-1.5</v>
      </c>
      <c r="AG6" s="1" t="n">
        <f aca="false">IF(B6="V",-2,0)+IF(B6="E",-1,0)+IF(B6="O",0,0)+IF(B6="L",1,0)+Y6*2</f>
        <v>-1</v>
      </c>
      <c r="AH6" s="1" t="n">
        <f aca="false">IF(C6="V",-2,0)+IF(C6="E",-1,0)+IF(C6="O",0,0)+IF(C6="L",1,0)</f>
        <v>-1</v>
      </c>
      <c r="AI6" s="1" t="n">
        <f aca="false">IF(C6="V",-2,0)+IF(C6="E",-1,0)+IF(C6="O",0,0)+IF(C6="L",1,0)+Z6</f>
        <v>0</v>
      </c>
      <c r="AJ6" s="1" t="n">
        <f aca="false">IF(C6="V",-2,0)+IF(C6="E",-1,0)+IF(C6="O",0,0)+IF(C6="L",1,0)+Z6*2</f>
        <v>1</v>
      </c>
      <c r="AK6" s="1" t="n">
        <f aca="false">IF(D6="V",-2,0)+IF(D6="E",-1,0)+IF(D6="O",0,0)+IF(D6="L",1,0)</f>
        <v>-2</v>
      </c>
      <c r="AL6" s="1" t="n">
        <f aca="false">IF(D6="V",-2,0)+IF(D6="E",-1,0)+IF(D6="O",0,0)+IF(D6="L",1,0)+AA6</f>
        <v>-1.5</v>
      </c>
      <c r="AM6" s="1" t="n">
        <f aca="false">IF(D6="V",-2,0)+IF(D6="E",-1,0)+IF(D6="O",0,0)+IF(D6="L",1,0)+AA6*2</f>
        <v>-1</v>
      </c>
      <c r="AN6" s="1" t="n">
        <f aca="false">(ABS(IF(AE6&lt;0,AE6*Early,AE6*Late))+ABS(IF(AF6&lt;0,AF6*Early,AF6*Late))+ABS(IF(AG6&lt;0,AG6*Early,AG6*Late)))/3</f>
        <v>4.5</v>
      </c>
      <c r="AO6" s="1" t="n">
        <f aca="false">(ABS(IF(AH6&lt;0,AH6*Early,AH6*Late))+ABS(IF(AI6&lt;0,AI6*Early,AI6*Late))+ABS(IF(AJ6&lt;0,AJ6*Early,AJ6*Late)))/3</f>
        <v>2.33333333333333</v>
      </c>
      <c r="AP6" s="1" t="n">
        <f aca="false">(ABS(IF(AK6&lt;0,AK6*Early,AK6*Late))+ABS(IF(AL6&lt;0,AL6*Early,AL6*Late))+ABS(IF(AM6&lt;0,AM6*Early,AM6*Late)))/3</f>
        <v>4.5</v>
      </c>
      <c r="AQ6" s="0" t="n">
        <f aca="false">Y6*Delay+AN6</f>
        <v>5</v>
      </c>
      <c r="AR6" s="0" t="n">
        <f aca="false">Z6*Delay+AO6</f>
        <v>3.33333333333333</v>
      </c>
      <c r="AS6" s="0" t="n">
        <f aca="false">AA6*Delay+AP6</f>
        <v>5</v>
      </c>
      <c r="AT6" s="1" t="n">
        <f aca="false">VLOOKUP(A6,SortA!$A$1:$AT$65,46,FALSE())</f>
        <v>0</v>
      </c>
      <c r="AU6" s="1" t="n">
        <f aca="false">VLOOKUP(A6,SortB!$A$1:$AT$65,46,FALSE())</f>
        <v>0</v>
      </c>
      <c r="AV6" s="1" t="n">
        <f aca="false">VLOOKUP(A6,SortC!$A$1:$AT$65,46,FALSE())</f>
        <v>0</v>
      </c>
      <c r="AW6" s="0" t="n">
        <f aca="false">IF(SUM(AT6:AV6)=3,1,0)</f>
        <v>0</v>
      </c>
      <c r="AX6" s="0" t="str">
        <f aca="false">B6&amp;C6&amp;D6</f>
        <v>VEV</v>
      </c>
      <c r="AY6" s="1" t="n">
        <f aca="false">AQ6+AR6+AS6</f>
        <v>13.3333333333333</v>
      </c>
      <c r="AZ6" s="1" t="str">
        <f aca="false">RIGHT(AX6,2)</f>
        <v>EV</v>
      </c>
      <c r="BA6" s="1" t="str">
        <f aca="false">LEFT(AX6,1)&amp;RIGHT(AX6,1)</f>
        <v>VV</v>
      </c>
      <c r="BB6" s="1" t="str">
        <f aca="false">LEFT(AX6,2)</f>
        <v>VE</v>
      </c>
      <c r="BC6" s="1" t="n">
        <f aca="false">VLOOKUP(AZ6,TwoPlayers!$AG$1:$AH$17,2,FALSE())</f>
        <v>9</v>
      </c>
      <c r="BD6" s="1" t="n">
        <f aca="false">VLOOKUP(BA6,TwoPlayers!$AG$1:$AH$17,2,FALSE())</f>
        <v>10</v>
      </c>
      <c r="BE6" s="1" t="n">
        <f aca="false">VLOOKUP(BB6,TwoPlayers!$AG$1:$AH$17,2,FALSE())</f>
        <v>9</v>
      </c>
      <c r="BF6" s="1" t="n">
        <f aca="false">$AY6-BC6</f>
        <v>4.33333333333333</v>
      </c>
      <c r="BG6" s="1" t="n">
        <f aca="false">$AY6-BD6</f>
        <v>3.33333333333333</v>
      </c>
      <c r="BH6" s="1" t="n">
        <f aca="false">$AY6-BE6</f>
        <v>4.33333333333333</v>
      </c>
      <c r="BI6" s="0" t="str">
        <f aca="false">AX6</f>
        <v>VEV</v>
      </c>
      <c r="BJ6" s="1" t="n">
        <f aca="false">VLOOKUP(A6,SortA!$A$1:$BM$65,65,FALSE())</f>
        <v>0</v>
      </c>
      <c r="BK6" s="1" t="n">
        <f aca="false">VLOOKUP(A6,SortB!$A$1:$BM$65,65,FALSE())</f>
        <v>0</v>
      </c>
      <c r="BL6" s="1" t="n">
        <f aca="false">VLOOKUP(A6,SortC!$A$1:$BM$65,65,FALSE())</f>
        <v>0</v>
      </c>
      <c r="BM6" s="1" t="n">
        <f aca="false">IF(SUM(BJ6:BL6)=3,1,0)</f>
        <v>0</v>
      </c>
    </row>
    <row r="7" customFormat="false" ht="13" hidden="false" customHeight="false" outlineLevel="0" collapsed="false">
      <c r="A7" s="0" t="n">
        <f aca="false">A6+1</f>
        <v>6</v>
      </c>
      <c r="B7" s="0" t="s">
        <v>1</v>
      </c>
      <c r="C7" s="0" t="s">
        <v>2</v>
      </c>
      <c r="D7" s="0" t="s">
        <v>2</v>
      </c>
      <c r="E7" s="0" t="n">
        <f aca="false">(IF($B7="V",1,0))+IF($C7="V",1,0)+IF($D7="V",1,0)</f>
        <v>1</v>
      </c>
      <c r="F7" s="0" t="n">
        <f aca="false">(IF($B7="E",1,0))+IF($C7="E",1,0)+IF($D7="E",1,0)</f>
        <v>2</v>
      </c>
      <c r="G7" s="0" t="n">
        <f aca="false">(IF($B7="O",1,0))+IF($C7="O",1,0)+IF($D7="O",1,0)</f>
        <v>0</v>
      </c>
      <c r="H7" s="0" t="n">
        <f aca="false">(IF($B7="L",1,0))+IF($C7="L",1,0)+IF($D7="L",1,0)</f>
        <v>0</v>
      </c>
      <c r="I7" s="0" t="n">
        <f aca="false">(IF(B7="V",1,0))</f>
        <v>1</v>
      </c>
      <c r="J7" s="0" t="n">
        <f aca="false">(IF(B7="E",1,0))</f>
        <v>0</v>
      </c>
      <c r="K7" s="0" t="n">
        <f aca="false">(IF(B7="O",1,0))</f>
        <v>0</v>
      </c>
      <c r="L7" s="0" t="n">
        <f aca="false">(IF(B7="L",1,0))</f>
        <v>0</v>
      </c>
      <c r="M7" s="0" t="n">
        <f aca="false">(IF(C7="V",1,0))</f>
        <v>0</v>
      </c>
      <c r="N7" s="0" t="n">
        <f aca="false">(IF(C7="E",1,0))</f>
        <v>1</v>
      </c>
      <c r="O7" s="0" t="n">
        <f aca="false">(IF(C7="O",1,0))</f>
        <v>0</v>
      </c>
      <c r="P7" s="0" t="n">
        <f aca="false">(IF(C7="L",1,0))</f>
        <v>0</v>
      </c>
      <c r="Q7" s="0" t="n">
        <f aca="false">(IF(D7="V",1,0))</f>
        <v>0</v>
      </c>
      <c r="R7" s="0" t="n">
        <f aca="false">(IF(D7="E",1,0))</f>
        <v>1</v>
      </c>
      <c r="S7" s="0" t="n">
        <f aca="false">(IF(D7="O",1,0))</f>
        <v>0</v>
      </c>
      <c r="T7" s="0" t="n">
        <f aca="false">(IF(D7="L",1,0))</f>
        <v>0</v>
      </c>
      <c r="U7" s="0" t="n">
        <f aca="false">MAX(E7-1,0)</f>
        <v>0</v>
      </c>
      <c r="V7" s="0" t="n">
        <f aca="false">MAX(U7-1+F7,0)</f>
        <v>1</v>
      </c>
      <c r="W7" s="0" t="n">
        <f aca="false">MAX(V7-1+G7,0)</f>
        <v>0</v>
      </c>
      <c r="X7" s="0" t="n">
        <f aca="false">MAX(W7-1+H7,0)</f>
        <v>0</v>
      </c>
      <c r="Y7" s="1" t="n">
        <f aca="false">0.5*(E7*I7+F7*J7+G7*K7+H7*L7-1)+(0+$U7*J7+$V7*K7+$W7*L7)</f>
        <v>0</v>
      </c>
      <c r="Z7" s="1" t="n">
        <f aca="false">0.5*(E7*M7+F7*N7+G7*O7+H7*P7-1)+(0+$U7*N7+$V7*O7+$W7*P7)</f>
        <v>0.5</v>
      </c>
      <c r="AA7" s="1" t="n">
        <f aca="false">0.5*(E7*Q7+F7*R7+G7*S7+H7*T7-1)+(0+$U7*R7+$V7*S7+$W7*T7)</f>
        <v>0.5</v>
      </c>
      <c r="AB7" s="0" t="n">
        <f aca="false">IF(B7="V",-2,0)+IF(B7="E",-1,0)+IF(B7="O",0,0)+IF(B7="L",1,0)+Y7</f>
        <v>-2</v>
      </c>
      <c r="AC7" s="0" t="n">
        <f aca="false">IF(C7="V",-2,0)+IF(C7="E",-1,0)+IF(C7="O",0,0)+IF(C7="L",1,0)+Z7</f>
        <v>-0.5</v>
      </c>
      <c r="AD7" s="0" t="n">
        <f aca="false">IF(D7="V",-2,0)+IF(D7="E",-1,0)+IF(D7="O",0,0)+IF(D7="L",1,0)+AA7</f>
        <v>-0.5</v>
      </c>
      <c r="AE7" s="1" t="n">
        <f aca="false">IF(B7="V",-2,0)+IF(B7="E",-1,0)+IF(B7="O",0,0)+IF(B7="L",1,0)</f>
        <v>-2</v>
      </c>
      <c r="AF7" s="1" t="n">
        <f aca="false">IF(B7="V",-2,0)+IF(B7="E",-1,0)+IF(B7="O",0,0)+IF(B7="L",1,0)+Y7</f>
        <v>-2</v>
      </c>
      <c r="AG7" s="1" t="n">
        <f aca="false">IF(B7="V",-2,0)+IF(B7="E",-1,0)+IF(B7="O",0,0)+IF(B7="L",1,0)+Y7*2</f>
        <v>-2</v>
      </c>
      <c r="AH7" s="1" t="n">
        <f aca="false">IF(C7="V",-2,0)+IF(C7="E",-1,0)+IF(C7="O",0,0)+IF(C7="L",1,0)</f>
        <v>-1</v>
      </c>
      <c r="AI7" s="1" t="n">
        <f aca="false">IF(C7="V",-2,0)+IF(C7="E",-1,0)+IF(C7="O",0,0)+IF(C7="L",1,0)+Z7</f>
        <v>-0.5</v>
      </c>
      <c r="AJ7" s="1" t="n">
        <f aca="false">IF(C7="V",-2,0)+IF(C7="E",-1,0)+IF(C7="O",0,0)+IF(C7="L",1,0)+Z7*2</f>
        <v>0</v>
      </c>
      <c r="AK7" s="1" t="n">
        <f aca="false">IF(D7="V",-2,0)+IF(D7="E",-1,0)+IF(D7="O",0,0)+IF(D7="L",1,0)</f>
        <v>-1</v>
      </c>
      <c r="AL7" s="1" t="n">
        <f aca="false">IF(D7="V",-2,0)+IF(D7="E",-1,0)+IF(D7="O",0,0)+IF(D7="L",1,0)+AA7</f>
        <v>-0.5</v>
      </c>
      <c r="AM7" s="1" t="n">
        <f aca="false">IF(D7="V",-2,0)+IF(D7="E",-1,0)+IF(D7="O",0,0)+IF(D7="L",1,0)+AA7*2</f>
        <v>0</v>
      </c>
      <c r="AN7" s="1" t="n">
        <f aca="false">(ABS(IF(AE7&lt;0,AE7*Early,AE7*Late))+ABS(IF(AF7&lt;0,AF7*Early,AF7*Late))+ABS(IF(AG7&lt;0,AG7*Early,AG7*Late)))/3</f>
        <v>6</v>
      </c>
      <c r="AO7" s="1" t="n">
        <f aca="false">(ABS(IF(AH7&lt;0,AH7*Early,AH7*Late))+ABS(IF(AI7&lt;0,AI7*Early,AI7*Late))+ABS(IF(AJ7&lt;0,AJ7*Early,AJ7*Late)))/3</f>
        <v>1.5</v>
      </c>
      <c r="AP7" s="1" t="n">
        <f aca="false">(ABS(IF(AK7&lt;0,AK7*Early,AK7*Late))+ABS(IF(AL7&lt;0,AL7*Early,AL7*Late))+ABS(IF(AM7&lt;0,AM7*Early,AM7*Late)))/3</f>
        <v>1.5</v>
      </c>
      <c r="AQ7" s="0" t="n">
        <f aca="false">Y7*Delay+AN7</f>
        <v>6</v>
      </c>
      <c r="AR7" s="0" t="n">
        <f aca="false">Z7*Delay+AO7</f>
        <v>2</v>
      </c>
      <c r="AS7" s="0" t="n">
        <f aca="false">AA7*Delay+AP7</f>
        <v>2</v>
      </c>
      <c r="AT7" s="1" t="n">
        <f aca="false">VLOOKUP(A7,SortA!$A$1:$AT$65,46,FALSE())</f>
        <v>0</v>
      </c>
      <c r="AU7" s="1" t="n">
        <f aca="false">VLOOKUP(A7,SortB!$A$1:$AT$65,46,FALSE())</f>
        <v>0</v>
      </c>
      <c r="AV7" s="1" t="n">
        <f aca="false">VLOOKUP(A7,SortC!$A$1:$AT$65,46,FALSE())</f>
        <v>0</v>
      </c>
      <c r="AW7" s="0" t="n">
        <f aca="false">IF(SUM(AT7:AV7)=3,1,0)</f>
        <v>0</v>
      </c>
      <c r="AX7" s="0" t="str">
        <f aca="false">B7&amp;C7&amp;D7</f>
        <v>VEE</v>
      </c>
      <c r="AY7" s="1" t="n">
        <f aca="false">AQ7+AR7+AS7</f>
        <v>10</v>
      </c>
      <c r="AZ7" s="1" t="str">
        <f aca="false">RIGHT(AX7,2)</f>
        <v>EE</v>
      </c>
      <c r="BA7" s="1" t="str">
        <f aca="false">LEFT(AX7,1)&amp;RIGHT(AX7,1)</f>
        <v>VE</v>
      </c>
      <c r="BB7" s="1" t="str">
        <f aca="false">LEFT(AX7,2)</f>
        <v>VE</v>
      </c>
      <c r="BC7" s="1" t="n">
        <f aca="false">VLOOKUP(AZ7,TwoPlayers!$AG$1:$AH$17,2,FALSE())</f>
        <v>4</v>
      </c>
      <c r="BD7" s="1" t="n">
        <f aca="false">VLOOKUP(BA7,TwoPlayers!$AG$1:$AH$17,2,FALSE())</f>
        <v>9</v>
      </c>
      <c r="BE7" s="1" t="n">
        <f aca="false">VLOOKUP(BB7,TwoPlayers!$AG$1:$AH$17,2,FALSE())</f>
        <v>9</v>
      </c>
      <c r="BF7" s="1" t="n">
        <f aca="false">$AY7-BC7</f>
        <v>6</v>
      </c>
      <c r="BG7" s="1" t="n">
        <f aca="false">$AY7-BD7</f>
        <v>1</v>
      </c>
      <c r="BH7" s="1" t="n">
        <f aca="false">$AY7-BE7</f>
        <v>1</v>
      </c>
      <c r="BI7" s="0" t="str">
        <f aca="false">AX7</f>
        <v>VEE</v>
      </c>
      <c r="BJ7" s="1" t="n">
        <f aca="false">VLOOKUP(A7,SortA!$A$1:$BM$65,65,FALSE())</f>
        <v>0</v>
      </c>
      <c r="BK7" s="1" t="n">
        <f aca="false">VLOOKUP(A7,SortB!$A$1:$BM$65,65,FALSE())</f>
        <v>0</v>
      </c>
      <c r="BL7" s="1" t="n">
        <f aca="false">VLOOKUP(A7,SortC!$A$1:$BM$65,65,FALSE())</f>
        <v>0</v>
      </c>
      <c r="BM7" s="1" t="n">
        <f aca="false">IF(SUM(BJ7:BL7)=3,1,0)</f>
        <v>0</v>
      </c>
    </row>
    <row r="8" customFormat="false" ht="13" hidden="false" customHeight="false" outlineLevel="0" collapsed="false">
      <c r="A8" s="0" t="n">
        <f aca="false">A7+1</f>
        <v>7</v>
      </c>
      <c r="B8" s="0" t="s">
        <v>1</v>
      </c>
      <c r="C8" s="0" t="s">
        <v>2</v>
      </c>
      <c r="D8" s="0" t="s">
        <v>3</v>
      </c>
      <c r="E8" s="0" t="n">
        <f aca="false">(IF($B8="V",1,0))+IF($C8="V",1,0)+IF($D8="V",1,0)</f>
        <v>1</v>
      </c>
      <c r="F8" s="0" t="n">
        <f aca="false">(IF($B8="E",1,0))+IF($C8="E",1,0)+IF($D8="E",1,0)</f>
        <v>1</v>
      </c>
      <c r="G8" s="0" t="n">
        <f aca="false">(IF($B8="O",1,0))+IF($C8="O",1,0)+IF($D8="O",1,0)</f>
        <v>1</v>
      </c>
      <c r="H8" s="0" t="n">
        <f aca="false">(IF($B8="L",1,0))+IF($C8="L",1,0)+IF($D8="L",1,0)</f>
        <v>0</v>
      </c>
      <c r="I8" s="0" t="n">
        <f aca="false">(IF(B8="V",1,0))</f>
        <v>1</v>
      </c>
      <c r="J8" s="0" t="n">
        <f aca="false">(IF(B8="E",1,0))</f>
        <v>0</v>
      </c>
      <c r="K8" s="0" t="n">
        <f aca="false">(IF(B8="O",1,0))</f>
        <v>0</v>
      </c>
      <c r="L8" s="0" t="n">
        <f aca="false">(IF(B8="L",1,0))</f>
        <v>0</v>
      </c>
      <c r="M8" s="0" t="n">
        <f aca="false">(IF(C8="V",1,0))</f>
        <v>0</v>
      </c>
      <c r="N8" s="0" t="n">
        <f aca="false">(IF(C8="E",1,0))</f>
        <v>1</v>
      </c>
      <c r="O8" s="0" t="n">
        <f aca="false">(IF(C8="O",1,0))</f>
        <v>0</v>
      </c>
      <c r="P8" s="0" t="n">
        <f aca="false">(IF(C8="L",1,0))</f>
        <v>0</v>
      </c>
      <c r="Q8" s="0" t="n">
        <f aca="false">(IF(D8="V",1,0))</f>
        <v>0</v>
      </c>
      <c r="R8" s="0" t="n">
        <f aca="false">(IF(D8="E",1,0))</f>
        <v>0</v>
      </c>
      <c r="S8" s="0" t="n">
        <f aca="false">(IF(D8="O",1,0))</f>
        <v>1</v>
      </c>
      <c r="T8" s="0" t="n">
        <f aca="false">(IF(D8="L",1,0))</f>
        <v>0</v>
      </c>
      <c r="U8" s="0" t="n">
        <f aca="false">MAX(E8-1,0)</f>
        <v>0</v>
      </c>
      <c r="V8" s="0" t="n">
        <f aca="false">MAX(U8-1+F8,0)</f>
        <v>0</v>
      </c>
      <c r="W8" s="0" t="n">
        <f aca="false">MAX(V8-1+G8,0)</f>
        <v>0</v>
      </c>
      <c r="X8" s="0" t="n">
        <f aca="false">MAX(W8-1+H8,0)</f>
        <v>0</v>
      </c>
      <c r="Y8" s="1" t="n">
        <f aca="false">0.5*(E8*I8+F8*J8+G8*K8+H8*L8-1)+(0+$U8*J8+$V8*K8+$W8*L8)</f>
        <v>0</v>
      </c>
      <c r="Z8" s="1" t="n">
        <f aca="false">0.5*(E8*M8+F8*N8+G8*O8+H8*P8-1)+(0+$U8*N8+$V8*O8+$W8*P8)</f>
        <v>0</v>
      </c>
      <c r="AA8" s="1" t="n">
        <f aca="false">0.5*(E8*Q8+F8*R8+G8*S8+H8*T8-1)+(0+$U8*R8+$V8*S8+$W8*T8)</f>
        <v>0</v>
      </c>
      <c r="AB8" s="0" t="n">
        <f aca="false">IF(B8="V",-2,0)+IF(B8="E",-1,0)+IF(B8="O",0,0)+IF(B8="L",1,0)+Y8</f>
        <v>-2</v>
      </c>
      <c r="AC8" s="0" t="n">
        <f aca="false">IF(C8="V",-2,0)+IF(C8="E",-1,0)+IF(C8="O",0,0)+IF(C8="L",1,0)+Z8</f>
        <v>-1</v>
      </c>
      <c r="AD8" s="0" t="n">
        <f aca="false">IF(D8="V",-2,0)+IF(D8="E",-1,0)+IF(D8="O",0,0)+IF(D8="L",1,0)+AA8</f>
        <v>0</v>
      </c>
      <c r="AE8" s="1" t="n">
        <f aca="false">IF(B8="V",-2,0)+IF(B8="E",-1,0)+IF(B8="O",0,0)+IF(B8="L",1,0)</f>
        <v>-2</v>
      </c>
      <c r="AF8" s="1" t="n">
        <f aca="false">IF(B8="V",-2,0)+IF(B8="E",-1,0)+IF(B8="O",0,0)+IF(B8="L",1,0)+Y8</f>
        <v>-2</v>
      </c>
      <c r="AG8" s="1" t="n">
        <f aca="false">IF(B8="V",-2,0)+IF(B8="E",-1,0)+IF(B8="O",0,0)+IF(B8="L",1,0)+Y8*2</f>
        <v>-2</v>
      </c>
      <c r="AH8" s="1" t="n">
        <f aca="false">IF(C8="V",-2,0)+IF(C8="E",-1,0)+IF(C8="O",0,0)+IF(C8="L",1,0)</f>
        <v>-1</v>
      </c>
      <c r="AI8" s="1" t="n">
        <f aca="false">IF(C8="V",-2,0)+IF(C8="E",-1,0)+IF(C8="O",0,0)+IF(C8="L",1,0)+Z8</f>
        <v>-1</v>
      </c>
      <c r="AJ8" s="1" t="n">
        <f aca="false">IF(C8="V",-2,0)+IF(C8="E",-1,0)+IF(C8="O",0,0)+IF(C8="L",1,0)+Z8*2</f>
        <v>-1</v>
      </c>
      <c r="AK8" s="1" t="n">
        <f aca="false">IF(D8="V",-2,0)+IF(D8="E",-1,0)+IF(D8="O",0,0)+IF(D8="L",1,0)</f>
        <v>0</v>
      </c>
      <c r="AL8" s="1" t="n">
        <f aca="false">IF(D8="V",-2,0)+IF(D8="E",-1,0)+IF(D8="O",0,0)+IF(D8="L",1,0)+AA8</f>
        <v>0</v>
      </c>
      <c r="AM8" s="1" t="n">
        <f aca="false">IF(D8="V",-2,0)+IF(D8="E",-1,0)+IF(D8="O",0,0)+IF(D8="L",1,0)+AA8*2</f>
        <v>0</v>
      </c>
      <c r="AN8" s="1" t="n">
        <f aca="false">(ABS(IF(AE8&lt;0,AE8*Early,AE8*Late))+ABS(IF(AF8&lt;0,AF8*Early,AF8*Late))+ABS(IF(AG8&lt;0,AG8*Early,AG8*Late)))/3</f>
        <v>6</v>
      </c>
      <c r="AO8" s="1" t="n">
        <f aca="false">(ABS(IF(AH8&lt;0,AH8*Early,AH8*Late))+ABS(IF(AI8&lt;0,AI8*Early,AI8*Late))+ABS(IF(AJ8&lt;0,AJ8*Early,AJ8*Late)))/3</f>
        <v>3</v>
      </c>
      <c r="AP8" s="1" t="n">
        <f aca="false">(ABS(IF(AK8&lt;0,AK8*Early,AK8*Late))+ABS(IF(AL8&lt;0,AL8*Early,AL8*Late))+ABS(IF(AM8&lt;0,AM8*Early,AM8*Late)))/3</f>
        <v>0</v>
      </c>
      <c r="AQ8" s="0" t="n">
        <f aca="false">Y8*Delay+AN8</f>
        <v>6</v>
      </c>
      <c r="AR8" s="0" t="n">
        <f aca="false">Z8*Delay+AO8</f>
        <v>3</v>
      </c>
      <c r="AS8" s="0" t="n">
        <f aca="false">AA8*Delay+AP8</f>
        <v>0</v>
      </c>
      <c r="AT8" s="1" t="n">
        <f aca="false">VLOOKUP(A8,SortA!$A$1:$AT$65,46,FALSE())</f>
        <v>0</v>
      </c>
      <c r="AU8" s="1" t="n">
        <f aca="false">VLOOKUP(A8,SortB!$A$1:$AT$65,46,FALSE())</f>
        <v>0</v>
      </c>
      <c r="AV8" s="1" t="n">
        <f aca="false">VLOOKUP(A8,SortC!$A$1:$AT$65,46,FALSE())</f>
        <v>1</v>
      </c>
      <c r="AW8" s="0" t="n">
        <f aca="false">IF(SUM(AT8:AV8)=3,1,0)</f>
        <v>0</v>
      </c>
      <c r="AX8" s="0" t="str">
        <f aca="false">B8&amp;C8&amp;D8</f>
        <v>VEO</v>
      </c>
      <c r="AY8" s="1" t="n">
        <f aca="false">AQ8+AR8+AS8</f>
        <v>9</v>
      </c>
      <c r="AZ8" s="1" t="str">
        <f aca="false">RIGHT(AX8,2)</f>
        <v>EO</v>
      </c>
      <c r="BA8" s="1" t="str">
        <f aca="false">LEFT(AX8,1)&amp;RIGHT(AX8,1)</f>
        <v>VO</v>
      </c>
      <c r="BB8" s="1" t="str">
        <f aca="false">LEFT(AX8,2)</f>
        <v>VE</v>
      </c>
      <c r="BC8" s="1" t="n">
        <f aca="false">VLOOKUP(AZ8,TwoPlayers!$AG$1:$AH$17,2,FALSE())</f>
        <v>3</v>
      </c>
      <c r="BD8" s="1" t="n">
        <f aca="false">VLOOKUP(BA8,TwoPlayers!$AG$1:$AH$17,2,FALSE())</f>
        <v>6</v>
      </c>
      <c r="BE8" s="1" t="n">
        <f aca="false">VLOOKUP(BB8,TwoPlayers!$AG$1:$AH$17,2,FALSE())</f>
        <v>9</v>
      </c>
      <c r="BF8" s="1" t="n">
        <f aca="false">$AY8-BC8</f>
        <v>6</v>
      </c>
      <c r="BG8" s="1" t="n">
        <f aca="false">$AY8-BD8</f>
        <v>3</v>
      </c>
      <c r="BH8" s="1" t="n">
        <f aca="false">$AY8-BE8</f>
        <v>0</v>
      </c>
      <c r="BI8" s="0" t="str">
        <f aca="false">AX8</f>
        <v>VEO</v>
      </c>
      <c r="BJ8" s="1" t="n">
        <f aca="false">VLOOKUP(A8,SortA!$A$1:$BM$65,65,FALSE())</f>
        <v>0</v>
      </c>
      <c r="BK8" s="1" t="n">
        <f aca="false">VLOOKUP(A8,SortB!$A$1:$BM$65,65,FALSE())</f>
        <v>1</v>
      </c>
      <c r="BL8" s="1" t="n">
        <f aca="false">VLOOKUP(A8,SortC!$A$1:$BM$65,65,FALSE())</f>
        <v>1</v>
      </c>
      <c r="BM8" s="1" t="n">
        <f aca="false">IF(SUM(BJ8:BL8)=3,1,0)</f>
        <v>0</v>
      </c>
    </row>
    <row r="9" customFormat="false" ht="13" hidden="false" customHeight="false" outlineLevel="0" collapsed="false">
      <c r="A9" s="0" t="n">
        <f aca="false">A8+1</f>
        <v>8</v>
      </c>
      <c r="B9" s="0" t="s">
        <v>1</v>
      </c>
      <c r="C9" s="0" t="s">
        <v>2</v>
      </c>
      <c r="D9" s="0" t="s">
        <v>4</v>
      </c>
      <c r="E9" s="0" t="n">
        <f aca="false">(IF($B9="V",1,0))+IF($C9="V",1,0)+IF($D9="V",1,0)</f>
        <v>1</v>
      </c>
      <c r="F9" s="0" t="n">
        <f aca="false">(IF($B9="E",1,0))+IF($C9="E",1,0)+IF($D9="E",1,0)</f>
        <v>1</v>
      </c>
      <c r="G9" s="0" t="n">
        <f aca="false">(IF($B9="O",1,0))+IF($C9="O",1,0)+IF($D9="O",1,0)</f>
        <v>0</v>
      </c>
      <c r="H9" s="0" t="n">
        <f aca="false">(IF($B9="L",1,0))+IF($C9="L",1,0)+IF($D9="L",1,0)</f>
        <v>1</v>
      </c>
      <c r="I9" s="0" t="n">
        <f aca="false">(IF(B9="V",1,0))</f>
        <v>1</v>
      </c>
      <c r="J9" s="0" t="n">
        <f aca="false">(IF(B9="E",1,0))</f>
        <v>0</v>
      </c>
      <c r="K9" s="0" t="n">
        <f aca="false">(IF(B9="O",1,0))</f>
        <v>0</v>
      </c>
      <c r="L9" s="0" t="n">
        <f aca="false">(IF(B9="L",1,0))</f>
        <v>0</v>
      </c>
      <c r="M9" s="0" t="n">
        <f aca="false">(IF(C9="V",1,0))</f>
        <v>0</v>
      </c>
      <c r="N9" s="0" t="n">
        <f aca="false">(IF(C9="E",1,0))</f>
        <v>1</v>
      </c>
      <c r="O9" s="0" t="n">
        <f aca="false">(IF(C9="O",1,0))</f>
        <v>0</v>
      </c>
      <c r="P9" s="0" t="n">
        <f aca="false">(IF(C9="L",1,0))</f>
        <v>0</v>
      </c>
      <c r="Q9" s="0" t="n">
        <f aca="false">(IF(D9="V",1,0))</f>
        <v>0</v>
      </c>
      <c r="R9" s="0" t="n">
        <f aca="false">(IF(D9="E",1,0))</f>
        <v>0</v>
      </c>
      <c r="S9" s="0" t="n">
        <f aca="false">(IF(D9="O",1,0))</f>
        <v>0</v>
      </c>
      <c r="T9" s="0" t="n">
        <f aca="false">(IF(D9="L",1,0))</f>
        <v>1</v>
      </c>
      <c r="U9" s="0" t="n">
        <f aca="false">MAX(E9-1,0)</f>
        <v>0</v>
      </c>
      <c r="V9" s="0" t="n">
        <f aca="false">MAX(U9-1+F9,0)</f>
        <v>0</v>
      </c>
      <c r="W9" s="0" t="n">
        <f aca="false">MAX(V9-1+G9,0)</f>
        <v>0</v>
      </c>
      <c r="X9" s="0" t="n">
        <f aca="false">MAX(W9-1+H9,0)</f>
        <v>0</v>
      </c>
      <c r="Y9" s="1" t="n">
        <f aca="false">0.5*(E9*I9+F9*J9+G9*K9+H9*L9-1)+(0+$U9*J9+$V9*K9+$W9*L9)</f>
        <v>0</v>
      </c>
      <c r="Z9" s="1" t="n">
        <f aca="false">0.5*(E9*M9+F9*N9+G9*O9+H9*P9-1)+(0+$U9*N9+$V9*O9+$W9*P9)</f>
        <v>0</v>
      </c>
      <c r="AA9" s="1" t="n">
        <f aca="false">0.5*(E9*Q9+F9*R9+G9*S9+H9*T9-1)+(0+$U9*R9+$V9*S9+$W9*T9)</f>
        <v>0</v>
      </c>
      <c r="AB9" s="0" t="n">
        <f aca="false">IF(B9="V",-2,0)+IF(B9="E",-1,0)+IF(B9="O",0,0)+IF(B9="L",1,0)+Y9</f>
        <v>-2</v>
      </c>
      <c r="AC9" s="0" t="n">
        <f aca="false">IF(C9="V",-2,0)+IF(C9="E",-1,0)+IF(C9="O",0,0)+IF(C9="L",1,0)+Z9</f>
        <v>-1</v>
      </c>
      <c r="AD9" s="0" t="n">
        <f aca="false">IF(D9="V",-2,0)+IF(D9="E",-1,0)+IF(D9="O",0,0)+IF(D9="L",1,0)+AA9</f>
        <v>1</v>
      </c>
      <c r="AE9" s="1" t="n">
        <f aca="false">IF(B9="V",-2,0)+IF(B9="E",-1,0)+IF(B9="O",0,0)+IF(B9="L",1,0)</f>
        <v>-2</v>
      </c>
      <c r="AF9" s="1" t="n">
        <f aca="false">IF(B9="V",-2,0)+IF(B9="E",-1,0)+IF(B9="O",0,0)+IF(B9="L",1,0)+Y9</f>
        <v>-2</v>
      </c>
      <c r="AG9" s="1" t="n">
        <f aca="false">IF(B9="V",-2,0)+IF(B9="E",-1,0)+IF(B9="O",0,0)+IF(B9="L",1,0)+Y9*2</f>
        <v>-2</v>
      </c>
      <c r="AH9" s="1" t="n">
        <f aca="false">IF(C9="V",-2,0)+IF(C9="E",-1,0)+IF(C9="O",0,0)+IF(C9="L",1,0)</f>
        <v>-1</v>
      </c>
      <c r="AI9" s="1" t="n">
        <f aca="false">IF(C9="V",-2,0)+IF(C9="E",-1,0)+IF(C9="O",0,0)+IF(C9="L",1,0)+Z9</f>
        <v>-1</v>
      </c>
      <c r="AJ9" s="1" t="n">
        <f aca="false">IF(C9="V",-2,0)+IF(C9="E",-1,0)+IF(C9="O",0,0)+IF(C9="L",1,0)+Z9*2</f>
        <v>-1</v>
      </c>
      <c r="AK9" s="1" t="n">
        <f aca="false">IF(D9="V",-2,0)+IF(D9="E",-1,0)+IF(D9="O",0,0)+IF(D9="L",1,0)</f>
        <v>1</v>
      </c>
      <c r="AL9" s="1" t="n">
        <f aca="false">IF(D9="V",-2,0)+IF(D9="E",-1,0)+IF(D9="O",0,0)+IF(D9="L",1,0)+AA9</f>
        <v>1</v>
      </c>
      <c r="AM9" s="1" t="n">
        <f aca="false">IF(D9="V",-2,0)+IF(D9="E",-1,0)+IF(D9="O",0,0)+IF(D9="L",1,0)+AA9*2</f>
        <v>1</v>
      </c>
      <c r="AN9" s="1" t="n">
        <f aca="false">(ABS(IF(AE9&lt;0,AE9*Early,AE9*Late))+ABS(IF(AF9&lt;0,AF9*Early,AF9*Late))+ABS(IF(AG9&lt;0,AG9*Early,AG9*Late)))/3</f>
        <v>6</v>
      </c>
      <c r="AO9" s="1" t="n">
        <f aca="false">(ABS(IF(AH9&lt;0,AH9*Early,AH9*Late))+ABS(IF(AI9&lt;0,AI9*Early,AI9*Late))+ABS(IF(AJ9&lt;0,AJ9*Early,AJ9*Late)))/3</f>
        <v>3</v>
      </c>
      <c r="AP9" s="1" t="n">
        <f aca="false">(ABS(IF(AK9&lt;0,AK9*Early,AK9*Late))+ABS(IF(AL9&lt;0,AL9*Early,AL9*Late))+ABS(IF(AM9&lt;0,AM9*Early,AM9*Late)))/3</f>
        <v>4</v>
      </c>
      <c r="AQ9" s="0" t="n">
        <f aca="false">Y9*Delay+AN9</f>
        <v>6</v>
      </c>
      <c r="AR9" s="0" t="n">
        <f aca="false">Z9*Delay+AO9</f>
        <v>3</v>
      </c>
      <c r="AS9" s="0" t="n">
        <f aca="false">AA9*Delay+AP9</f>
        <v>4</v>
      </c>
      <c r="AT9" s="1" t="n">
        <f aca="false">VLOOKUP(A9,SortA!$A$1:$AT$65,46,FALSE())</f>
        <v>0</v>
      </c>
      <c r="AU9" s="1" t="n">
        <f aca="false">VLOOKUP(A9,SortB!$A$1:$AT$65,46,FALSE())</f>
        <v>0</v>
      </c>
      <c r="AV9" s="1" t="n">
        <f aca="false">VLOOKUP(A9,SortC!$A$1:$AT$65,46,FALSE())</f>
        <v>0</v>
      </c>
      <c r="AW9" s="0" t="n">
        <f aca="false">IF(SUM(AT9:AV9)=3,1,0)</f>
        <v>0</v>
      </c>
      <c r="AX9" s="0" t="str">
        <f aca="false">B9&amp;C9&amp;D9</f>
        <v>VEL</v>
      </c>
      <c r="AY9" s="1" t="n">
        <f aca="false">AQ9+AR9+AS9</f>
        <v>13</v>
      </c>
      <c r="AZ9" s="1" t="str">
        <f aca="false">RIGHT(AX9,2)</f>
        <v>EL</v>
      </c>
      <c r="BA9" s="1" t="str">
        <f aca="false">LEFT(AX9,1)&amp;RIGHT(AX9,1)</f>
        <v>VL</v>
      </c>
      <c r="BB9" s="1" t="str">
        <f aca="false">LEFT(AX9,2)</f>
        <v>VE</v>
      </c>
      <c r="BC9" s="1" t="n">
        <f aca="false">VLOOKUP(AZ9,TwoPlayers!$AG$1:$AH$17,2,FALSE())</f>
        <v>7</v>
      </c>
      <c r="BD9" s="1" t="n">
        <f aca="false">VLOOKUP(BA9,TwoPlayers!$AG$1:$AH$17,2,FALSE())</f>
        <v>10</v>
      </c>
      <c r="BE9" s="1" t="n">
        <f aca="false">VLOOKUP(BB9,TwoPlayers!$AG$1:$AH$17,2,FALSE())</f>
        <v>9</v>
      </c>
      <c r="BF9" s="1" t="n">
        <f aca="false">$AY9-BC9</f>
        <v>6</v>
      </c>
      <c r="BG9" s="1" t="n">
        <f aca="false">$AY9-BD9</f>
        <v>3</v>
      </c>
      <c r="BH9" s="1" t="n">
        <f aca="false">$AY9-BE9</f>
        <v>4</v>
      </c>
      <c r="BI9" s="0" t="str">
        <f aca="false">AX9</f>
        <v>VEL</v>
      </c>
      <c r="BJ9" s="1" t="n">
        <f aca="false">VLOOKUP(A9,SortA!$A$1:$BM$65,65,FALSE())</f>
        <v>0</v>
      </c>
      <c r="BK9" s="1" t="n">
        <f aca="false">VLOOKUP(A9,SortB!$A$1:$BM$65,65,FALSE())</f>
        <v>0</v>
      </c>
      <c r="BL9" s="1" t="n">
        <f aca="false">VLOOKUP(A9,SortC!$A$1:$BM$65,65,FALSE())</f>
        <v>0</v>
      </c>
      <c r="BM9" s="1" t="n">
        <f aca="false">IF(SUM(BJ9:BL9)=3,1,0)</f>
        <v>0</v>
      </c>
    </row>
    <row r="10" customFormat="false" ht="13" hidden="false" customHeight="false" outlineLevel="0" collapsed="false">
      <c r="A10" s="0" t="n">
        <f aca="false">A9+1</f>
        <v>9</v>
      </c>
      <c r="B10" s="0" t="s">
        <v>1</v>
      </c>
      <c r="C10" s="0" t="s">
        <v>3</v>
      </c>
      <c r="D10" s="0" t="s">
        <v>1</v>
      </c>
      <c r="E10" s="0" t="n">
        <f aca="false">(IF($B10="V",1,0))+IF($C10="V",1,0)+IF($D10="V",1,0)</f>
        <v>2</v>
      </c>
      <c r="F10" s="0" t="n">
        <f aca="false">(IF($B10="E",1,0))+IF($C10="E",1,0)+IF($D10="E",1,0)</f>
        <v>0</v>
      </c>
      <c r="G10" s="0" t="n">
        <f aca="false">(IF($B10="O",1,0))+IF($C10="O",1,0)+IF($D10="O",1,0)</f>
        <v>1</v>
      </c>
      <c r="H10" s="0" t="n">
        <f aca="false">(IF($B10="L",1,0))+IF($C10="L",1,0)+IF($D10="L",1,0)</f>
        <v>0</v>
      </c>
      <c r="I10" s="0" t="n">
        <f aca="false">(IF(B10="V",1,0))</f>
        <v>1</v>
      </c>
      <c r="J10" s="0" t="n">
        <f aca="false">(IF(B10="E",1,0))</f>
        <v>0</v>
      </c>
      <c r="K10" s="0" t="n">
        <f aca="false">(IF(B10="O",1,0))</f>
        <v>0</v>
      </c>
      <c r="L10" s="0" t="n">
        <f aca="false">(IF(B10="L",1,0))</f>
        <v>0</v>
      </c>
      <c r="M10" s="0" t="n">
        <f aca="false">(IF(C10="V",1,0))</f>
        <v>0</v>
      </c>
      <c r="N10" s="0" t="n">
        <f aca="false">(IF(C10="E",1,0))</f>
        <v>0</v>
      </c>
      <c r="O10" s="0" t="n">
        <f aca="false">(IF(C10="O",1,0))</f>
        <v>1</v>
      </c>
      <c r="P10" s="0" t="n">
        <f aca="false">(IF(C10="L",1,0))</f>
        <v>0</v>
      </c>
      <c r="Q10" s="0" t="n">
        <f aca="false">(IF(D10="V",1,0))</f>
        <v>1</v>
      </c>
      <c r="R10" s="0" t="n">
        <f aca="false">(IF(D10="E",1,0))</f>
        <v>0</v>
      </c>
      <c r="S10" s="0" t="n">
        <f aca="false">(IF(D10="O",1,0))</f>
        <v>0</v>
      </c>
      <c r="T10" s="0" t="n">
        <f aca="false">(IF(D10="L",1,0))</f>
        <v>0</v>
      </c>
      <c r="U10" s="0" t="n">
        <f aca="false">MAX(E10-1,0)</f>
        <v>1</v>
      </c>
      <c r="V10" s="0" t="n">
        <f aca="false">MAX(U10-1+F10,0)</f>
        <v>0</v>
      </c>
      <c r="W10" s="0" t="n">
        <f aca="false">MAX(V10-1+G10,0)</f>
        <v>0</v>
      </c>
      <c r="X10" s="0" t="n">
        <f aca="false">MAX(W10-1+H10,0)</f>
        <v>0</v>
      </c>
      <c r="Y10" s="1" t="n">
        <f aca="false">0.5*(E10*I10+F10*J10+G10*K10+H10*L10-1)+(0+$U10*J10+$V10*K10+$W10*L10)</f>
        <v>0.5</v>
      </c>
      <c r="Z10" s="1" t="n">
        <f aca="false">0.5*(E10*M10+F10*N10+G10*O10+H10*P10-1)+(0+$U10*N10+$V10*O10+$W10*P10)</f>
        <v>0</v>
      </c>
      <c r="AA10" s="1" t="n">
        <f aca="false">0.5*(E10*Q10+F10*R10+G10*S10+H10*T10-1)+(0+$U10*R10+$V10*S10+$W10*T10)</f>
        <v>0.5</v>
      </c>
      <c r="AB10" s="0" t="n">
        <f aca="false">IF(B10="V",-2,0)+IF(B10="E",-1,0)+IF(B10="O",0,0)+IF(B10="L",1,0)+Y10</f>
        <v>-1.5</v>
      </c>
      <c r="AC10" s="0" t="n">
        <f aca="false">IF(C10="V",-2,0)+IF(C10="E",-1,0)+IF(C10="O",0,0)+IF(C10="L",1,0)+Z10</f>
        <v>0</v>
      </c>
      <c r="AD10" s="0" t="n">
        <f aca="false">IF(D10="V",-2,0)+IF(D10="E",-1,0)+IF(D10="O",0,0)+IF(D10="L",1,0)+AA10</f>
        <v>-1.5</v>
      </c>
      <c r="AE10" s="1" t="n">
        <f aca="false">IF(B10="V",-2,0)+IF(B10="E",-1,0)+IF(B10="O",0,0)+IF(B10="L",1,0)</f>
        <v>-2</v>
      </c>
      <c r="AF10" s="1" t="n">
        <f aca="false">IF(B10="V",-2,0)+IF(B10="E",-1,0)+IF(B10="O",0,0)+IF(B10="L",1,0)+Y10</f>
        <v>-1.5</v>
      </c>
      <c r="AG10" s="1" t="n">
        <f aca="false">IF(B10="V",-2,0)+IF(B10="E",-1,0)+IF(B10="O",0,0)+IF(B10="L",1,0)+Y10*2</f>
        <v>-1</v>
      </c>
      <c r="AH10" s="1" t="n">
        <f aca="false">IF(C10="V",-2,0)+IF(C10="E",-1,0)+IF(C10="O",0,0)+IF(C10="L",1,0)</f>
        <v>0</v>
      </c>
      <c r="AI10" s="1" t="n">
        <f aca="false">IF(C10="V",-2,0)+IF(C10="E",-1,0)+IF(C10="O",0,0)+IF(C10="L",1,0)+Z10</f>
        <v>0</v>
      </c>
      <c r="AJ10" s="1" t="n">
        <f aca="false">IF(C10="V",-2,0)+IF(C10="E",-1,0)+IF(C10="O",0,0)+IF(C10="L",1,0)+Z10*2</f>
        <v>0</v>
      </c>
      <c r="AK10" s="1" t="n">
        <f aca="false">IF(D10="V",-2,0)+IF(D10="E",-1,0)+IF(D10="O",0,0)+IF(D10="L",1,0)</f>
        <v>-2</v>
      </c>
      <c r="AL10" s="1" t="n">
        <f aca="false">IF(D10="V",-2,0)+IF(D10="E",-1,0)+IF(D10="O",0,0)+IF(D10="L",1,0)+AA10</f>
        <v>-1.5</v>
      </c>
      <c r="AM10" s="1" t="n">
        <f aca="false">IF(D10="V",-2,0)+IF(D10="E",-1,0)+IF(D10="O",0,0)+IF(D10="L",1,0)+AA10*2</f>
        <v>-1</v>
      </c>
      <c r="AN10" s="1" t="n">
        <f aca="false">(ABS(IF(AE10&lt;0,AE10*Early,AE10*Late))+ABS(IF(AF10&lt;0,AF10*Early,AF10*Late))+ABS(IF(AG10&lt;0,AG10*Early,AG10*Late)))/3</f>
        <v>4.5</v>
      </c>
      <c r="AO10" s="1" t="n">
        <f aca="false">(ABS(IF(AH10&lt;0,AH10*Early,AH10*Late))+ABS(IF(AI10&lt;0,AI10*Early,AI10*Late))+ABS(IF(AJ10&lt;0,AJ10*Early,AJ10*Late)))/3</f>
        <v>0</v>
      </c>
      <c r="AP10" s="1" t="n">
        <f aca="false">(ABS(IF(AK10&lt;0,AK10*Early,AK10*Late))+ABS(IF(AL10&lt;0,AL10*Early,AL10*Late))+ABS(IF(AM10&lt;0,AM10*Early,AM10*Late)))/3</f>
        <v>4.5</v>
      </c>
      <c r="AQ10" s="0" t="n">
        <f aca="false">Y10*Delay+AN10</f>
        <v>5</v>
      </c>
      <c r="AR10" s="0" t="n">
        <f aca="false">Z10*Delay+AO10</f>
        <v>0</v>
      </c>
      <c r="AS10" s="0" t="n">
        <f aca="false">AA10*Delay+AP10</f>
        <v>5</v>
      </c>
      <c r="AT10" s="1" t="n">
        <f aca="false">VLOOKUP(A10,SortA!$A$1:$AT$65,46,FALSE())</f>
        <v>0</v>
      </c>
      <c r="AU10" s="1" t="n">
        <f aca="false">VLOOKUP(A10,SortB!$A$1:$AT$65,46,FALSE())</f>
        <v>1</v>
      </c>
      <c r="AV10" s="1" t="n">
        <f aca="false">VLOOKUP(A10,SortC!$A$1:$AT$65,46,FALSE())</f>
        <v>0</v>
      </c>
      <c r="AW10" s="0" t="n">
        <f aca="false">IF(SUM(AT10:AV10)=3,1,0)</f>
        <v>0</v>
      </c>
      <c r="AX10" s="0" t="str">
        <f aca="false">B10&amp;C10&amp;D10</f>
        <v>VOV</v>
      </c>
      <c r="AY10" s="1" t="n">
        <f aca="false">AQ10+AR10+AS10</f>
        <v>10</v>
      </c>
      <c r="AZ10" s="1" t="str">
        <f aca="false">RIGHT(AX10,2)</f>
        <v>OV</v>
      </c>
      <c r="BA10" s="1" t="str">
        <f aca="false">LEFT(AX10,1)&amp;RIGHT(AX10,1)</f>
        <v>VV</v>
      </c>
      <c r="BB10" s="1" t="str">
        <f aca="false">LEFT(AX10,2)</f>
        <v>VO</v>
      </c>
      <c r="BC10" s="1" t="n">
        <f aca="false">VLOOKUP(AZ10,TwoPlayers!$AG$1:$AH$17,2,FALSE())</f>
        <v>6</v>
      </c>
      <c r="BD10" s="1" t="n">
        <f aca="false">VLOOKUP(BA10,TwoPlayers!$AG$1:$AH$17,2,FALSE())</f>
        <v>10</v>
      </c>
      <c r="BE10" s="1" t="n">
        <f aca="false">VLOOKUP(BB10,TwoPlayers!$AG$1:$AH$17,2,FALSE())</f>
        <v>6</v>
      </c>
      <c r="BF10" s="1" t="n">
        <f aca="false">$AY10-BC10</f>
        <v>4</v>
      </c>
      <c r="BG10" s="1" t="n">
        <f aca="false">$AY10-BD10</f>
        <v>0</v>
      </c>
      <c r="BH10" s="1" t="n">
        <f aca="false">$AY10-BE10</f>
        <v>4</v>
      </c>
      <c r="BI10" s="0" t="str">
        <f aca="false">AX10</f>
        <v>VOV</v>
      </c>
      <c r="BJ10" s="1" t="n">
        <f aca="false">VLOOKUP(A10,SortA!$A$1:$BM$65,65,FALSE())</f>
        <v>0</v>
      </c>
      <c r="BK10" s="1" t="n">
        <f aca="false">VLOOKUP(A10,SortB!$A$1:$BM$65,65,FALSE())</f>
        <v>1</v>
      </c>
      <c r="BL10" s="1" t="n">
        <f aca="false">VLOOKUP(A10,SortC!$A$1:$BM$65,65,FALSE())</f>
        <v>0</v>
      </c>
      <c r="BM10" s="1" t="n">
        <f aca="false">IF(SUM(BJ10:BL10)=3,1,0)</f>
        <v>0</v>
      </c>
    </row>
    <row r="11" customFormat="false" ht="13" hidden="false" customHeight="false" outlineLevel="0" collapsed="false">
      <c r="A11" s="0" t="n">
        <f aca="false">A10+1</f>
        <v>10</v>
      </c>
      <c r="B11" s="0" t="s">
        <v>1</v>
      </c>
      <c r="C11" s="0" t="s">
        <v>3</v>
      </c>
      <c r="D11" s="0" t="s">
        <v>2</v>
      </c>
      <c r="E11" s="0" t="n">
        <f aca="false">(IF($B11="V",1,0))+IF($C11="V",1,0)+IF($D11="V",1,0)</f>
        <v>1</v>
      </c>
      <c r="F11" s="0" t="n">
        <f aca="false">(IF($B11="E",1,0))+IF($C11="E",1,0)+IF($D11="E",1,0)</f>
        <v>1</v>
      </c>
      <c r="G11" s="0" t="n">
        <f aca="false">(IF($B11="O",1,0))+IF($C11="O",1,0)+IF($D11="O",1,0)</f>
        <v>1</v>
      </c>
      <c r="H11" s="0" t="n">
        <f aca="false">(IF($B11="L",1,0))+IF($C11="L",1,0)+IF($D11="L",1,0)</f>
        <v>0</v>
      </c>
      <c r="I11" s="0" t="n">
        <f aca="false">(IF(B11="V",1,0))</f>
        <v>1</v>
      </c>
      <c r="J11" s="0" t="n">
        <f aca="false">(IF(B11="E",1,0))</f>
        <v>0</v>
      </c>
      <c r="K11" s="0" t="n">
        <f aca="false">(IF(B11="O",1,0))</f>
        <v>0</v>
      </c>
      <c r="L11" s="0" t="n">
        <f aca="false">(IF(B11="L",1,0))</f>
        <v>0</v>
      </c>
      <c r="M11" s="0" t="n">
        <f aca="false">(IF(C11="V",1,0))</f>
        <v>0</v>
      </c>
      <c r="N11" s="0" t="n">
        <f aca="false">(IF(C11="E",1,0))</f>
        <v>0</v>
      </c>
      <c r="O11" s="0" t="n">
        <f aca="false">(IF(C11="O",1,0))</f>
        <v>1</v>
      </c>
      <c r="P11" s="0" t="n">
        <f aca="false">(IF(C11="L",1,0))</f>
        <v>0</v>
      </c>
      <c r="Q11" s="0" t="n">
        <f aca="false">(IF(D11="V",1,0))</f>
        <v>0</v>
      </c>
      <c r="R11" s="0" t="n">
        <f aca="false">(IF(D11="E",1,0))</f>
        <v>1</v>
      </c>
      <c r="S11" s="0" t="n">
        <f aca="false">(IF(D11="O",1,0))</f>
        <v>0</v>
      </c>
      <c r="T11" s="0" t="n">
        <f aca="false">(IF(D11="L",1,0))</f>
        <v>0</v>
      </c>
      <c r="U11" s="0" t="n">
        <f aca="false">MAX(E11-1,0)</f>
        <v>0</v>
      </c>
      <c r="V11" s="0" t="n">
        <f aca="false">MAX(U11-1+F11,0)</f>
        <v>0</v>
      </c>
      <c r="W11" s="0" t="n">
        <f aca="false">MAX(V11-1+G11,0)</f>
        <v>0</v>
      </c>
      <c r="X11" s="0" t="n">
        <f aca="false">MAX(W11-1+H11,0)</f>
        <v>0</v>
      </c>
      <c r="Y11" s="1" t="n">
        <f aca="false">0.5*(E11*I11+F11*J11+G11*K11+H11*L11-1)+(0+$U11*J11+$V11*K11+$W11*L11)</f>
        <v>0</v>
      </c>
      <c r="Z11" s="1" t="n">
        <f aca="false">0.5*(E11*M11+F11*N11+G11*O11+H11*P11-1)+(0+$U11*N11+$V11*O11+$W11*P11)</f>
        <v>0</v>
      </c>
      <c r="AA11" s="1" t="n">
        <f aca="false">0.5*(E11*Q11+F11*R11+G11*S11+H11*T11-1)+(0+$U11*R11+$V11*S11+$W11*T11)</f>
        <v>0</v>
      </c>
      <c r="AB11" s="0" t="n">
        <f aca="false">IF(B11="V",-2,0)+IF(B11="E",-1,0)+IF(B11="O",0,0)+IF(B11="L",1,0)+Y11</f>
        <v>-2</v>
      </c>
      <c r="AC11" s="0" t="n">
        <f aca="false">IF(C11="V",-2,0)+IF(C11="E",-1,0)+IF(C11="O",0,0)+IF(C11="L",1,0)+Z11</f>
        <v>0</v>
      </c>
      <c r="AD11" s="0" t="n">
        <f aca="false">IF(D11="V",-2,0)+IF(D11="E",-1,0)+IF(D11="O",0,0)+IF(D11="L",1,0)+AA11</f>
        <v>-1</v>
      </c>
      <c r="AE11" s="1" t="n">
        <f aca="false">IF(B11="V",-2,0)+IF(B11="E",-1,0)+IF(B11="O",0,0)+IF(B11="L",1,0)</f>
        <v>-2</v>
      </c>
      <c r="AF11" s="1" t="n">
        <f aca="false">IF(B11="V",-2,0)+IF(B11="E",-1,0)+IF(B11="O",0,0)+IF(B11="L",1,0)+Y11</f>
        <v>-2</v>
      </c>
      <c r="AG11" s="1" t="n">
        <f aca="false">IF(B11="V",-2,0)+IF(B11="E",-1,0)+IF(B11="O",0,0)+IF(B11="L",1,0)+Y11*2</f>
        <v>-2</v>
      </c>
      <c r="AH11" s="1" t="n">
        <f aca="false">IF(C11="V",-2,0)+IF(C11="E",-1,0)+IF(C11="O",0,0)+IF(C11="L",1,0)</f>
        <v>0</v>
      </c>
      <c r="AI11" s="1" t="n">
        <f aca="false">IF(C11="V",-2,0)+IF(C11="E",-1,0)+IF(C11="O",0,0)+IF(C11="L",1,0)+Z11</f>
        <v>0</v>
      </c>
      <c r="AJ11" s="1" t="n">
        <f aca="false">IF(C11="V",-2,0)+IF(C11="E",-1,0)+IF(C11="O",0,0)+IF(C11="L",1,0)+Z11*2</f>
        <v>0</v>
      </c>
      <c r="AK11" s="1" t="n">
        <f aca="false">IF(D11="V",-2,0)+IF(D11="E",-1,0)+IF(D11="O",0,0)+IF(D11="L",1,0)</f>
        <v>-1</v>
      </c>
      <c r="AL11" s="1" t="n">
        <f aca="false">IF(D11="V",-2,0)+IF(D11="E",-1,0)+IF(D11="O",0,0)+IF(D11="L",1,0)+AA11</f>
        <v>-1</v>
      </c>
      <c r="AM11" s="1" t="n">
        <f aca="false">IF(D11="V",-2,0)+IF(D11="E",-1,0)+IF(D11="O",0,0)+IF(D11="L",1,0)+AA11*2</f>
        <v>-1</v>
      </c>
      <c r="AN11" s="1" t="n">
        <f aca="false">(ABS(IF(AE11&lt;0,AE11*Early,AE11*Late))+ABS(IF(AF11&lt;0,AF11*Early,AF11*Late))+ABS(IF(AG11&lt;0,AG11*Early,AG11*Late)))/3</f>
        <v>6</v>
      </c>
      <c r="AO11" s="1" t="n">
        <f aca="false">(ABS(IF(AH11&lt;0,AH11*Early,AH11*Late))+ABS(IF(AI11&lt;0,AI11*Early,AI11*Late))+ABS(IF(AJ11&lt;0,AJ11*Early,AJ11*Late)))/3</f>
        <v>0</v>
      </c>
      <c r="AP11" s="1" t="n">
        <f aca="false">(ABS(IF(AK11&lt;0,AK11*Early,AK11*Late))+ABS(IF(AL11&lt;0,AL11*Early,AL11*Late))+ABS(IF(AM11&lt;0,AM11*Early,AM11*Late)))/3</f>
        <v>3</v>
      </c>
      <c r="AQ11" s="0" t="n">
        <f aca="false">Y11*Delay+AN11</f>
        <v>6</v>
      </c>
      <c r="AR11" s="0" t="n">
        <f aca="false">Z11*Delay+AO11</f>
        <v>0</v>
      </c>
      <c r="AS11" s="0" t="n">
        <f aca="false">AA11*Delay+AP11</f>
        <v>3</v>
      </c>
      <c r="AT11" s="1" t="n">
        <f aca="false">VLOOKUP(A11,SortA!$A$1:$AT$65,46,FALSE())</f>
        <v>0</v>
      </c>
      <c r="AU11" s="1" t="n">
        <f aca="false">VLOOKUP(A11,SortB!$A$1:$AT$65,46,FALSE())</f>
        <v>1</v>
      </c>
      <c r="AV11" s="1" t="n">
        <f aca="false">VLOOKUP(A11,SortC!$A$1:$AT$65,46,FALSE())</f>
        <v>0</v>
      </c>
      <c r="AW11" s="0" t="n">
        <f aca="false">IF(SUM(AT11:AV11)=3,1,0)</f>
        <v>0</v>
      </c>
      <c r="AX11" s="0" t="str">
        <f aca="false">B11&amp;C11&amp;D11</f>
        <v>VOE</v>
      </c>
      <c r="AY11" s="1" t="n">
        <f aca="false">AQ11+AR11+AS11</f>
        <v>9</v>
      </c>
      <c r="AZ11" s="1" t="str">
        <f aca="false">RIGHT(AX11,2)</f>
        <v>OE</v>
      </c>
      <c r="BA11" s="1" t="str">
        <f aca="false">LEFT(AX11,1)&amp;RIGHT(AX11,1)</f>
        <v>VE</v>
      </c>
      <c r="BB11" s="1" t="str">
        <f aca="false">LEFT(AX11,2)</f>
        <v>VO</v>
      </c>
      <c r="BC11" s="1" t="n">
        <f aca="false">VLOOKUP(AZ11,TwoPlayers!$AG$1:$AH$17,2,FALSE())</f>
        <v>3</v>
      </c>
      <c r="BD11" s="1" t="n">
        <f aca="false">VLOOKUP(BA11,TwoPlayers!$AG$1:$AH$17,2,FALSE())</f>
        <v>9</v>
      </c>
      <c r="BE11" s="1" t="n">
        <f aca="false">VLOOKUP(BB11,TwoPlayers!$AG$1:$AH$17,2,FALSE())</f>
        <v>6</v>
      </c>
      <c r="BF11" s="1" t="n">
        <f aca="false">$AY11-BC11</f>
        <v>6</v>
      </c>
      <c r="BG11" s="1" t="n">
        <f aca="false">$AY11-BD11</f>
        <v>0</v>
      </c>
      <c r="BH11" s="1" t="n">
        <f aca="false">$AY11-BE11</f>
        <v>3</v>
      </c>
      <c r="BI11" s="0" t="str">
        <f aca="false">AX11</f>
        <v>VOE</v>
      </c>
      <c r="BJ11" s="1" t="n">
        <f aca="false">VLOOKUP(A11,SortA!$A$1:$BM$65,65,FALSE())</f>
        <v>0</v>
      </c>
      <c r="BK11" s="1" t="n">
        <f aca="false">VLOOKUP(A11,SortB!$A$1:$BM$65,65,FALSE())</f>
        <v>1</v>
      </c>
      <c r="BL11" s="1" t="n">
        <f aca="false">VLOOKUP(A11,SortC!$A$1:$BM$65,65,FALSE())</f>
        <v>1</v>
      </c>
      <c r="BM11" s="1" t="n">
        <f aca="false">IF(SUM(BJ11:BL11)=3,1,0)</f>
        <v>0</v>
      </c>
    </row>
    <row r="12" customFormat="false" ht="13" hidden="false" customHeight="false" outlineLevel="0" collapsed="false">
      <c r="A12" s="0" t="n">
        <f aca="false">A11+1</f>
        <v>11</v>
      </c>
      <c r="B12" s="0" t="s">
        <v>1</v>
      </c>
      <c r="C12" s="0" t="s">
        <v>3</v>
      </c>
      <c r="D12" s="0" t="s">
        <v>3</v>
      </c>
      <c r="E12" s="0" t="n">
        <f aca="false">(IF($B12="V",1,0))+IF($C12="V",1,0)+IF($D12="V",1,0)</f>
        <v>1</v>
      </c>
      <c r="F12" s="0" t="n">
        <f aca="false">(IF($B12="E",1,0))+IF($C12="E",1,0)+IF($D12="E",1,0)</f>
        <v>0</v>
      </c>
      <c r="G12" s="0" t="n">
        <f aca="false">(IF($B12="O",1,0))+IF($C12="O",1,0)+IF($D12="O",1,0)</f>
        <v>2</v>
      </c>
      <c r="H12" s="0" t="n">
        <f aca="false">(IF($B12="L",1,0))+IF($C12="L",1,0)+IF($D12="L",1,0)</f>
        <v>0</v>
      </c>
      <c r="I12" s="0" t="n">
        <f aca="false">(IF(B12="V",1,0))</f>
        <v>1</v>
      </c>
      <c r="J12" s="0" t="n">
        <f aca="false">(IF(B12="E",1,0))</f>
        <v>0</v>
      </c>
      <c r="K12" s="0" t="n">
        <f aca="false">(IF(B12="O",1,0))</f>
        <v>0</v>
      </c>
      <c r="L12" s="0" t="n">
        <f aca="false">(IF(B12="L",1,0))</f>
        <v>0</v>
      </c>
      <c r="M12" s="0" t="n">
        <f aca="false">(IF(C12="V",1,0))</f>
        <v>0</v>
      </c>
      <c r="N12" s="0" t="n">
        <f aca="false">(IF(C12="E",1,0))</f>
        <v>0</v>
      </c>
      <c r="O12" s="0" t="n">
        <f aca="false">(IF(C12="O",1,0))</f>
        <v>1</v>
      </c>
      <c r="P12" s="0" t="n">
        <f aca="false">(IF(C12="L",1,0))</f>
        <v>0</v>
      </c>
      <c r="Q12" s="0" t="n">
        <f aca="false">(IF(D12="V",1,0))</f>
        <v>0</v>
      </c>
      <c r="R12" s="0" t="n">
        <f aca="false">(IF(D12="E",1,0))</f>
        <v>0</v>
      </c>
      <c r="S12" s="0" t="n">
        <f aca="false">(IF(D12="O",1,0))</f>
        <v>1</v>
      </c>
      <c r="T12" s="0" t="n">
        <f aca="false">(IF(D12="L",1,0))</f>
        <v>0</v>
      </c>
      <c r="U12" s="0" t="n">
        <f aca="false">MAX(E12-1,0)</f>
        <v>0</v>
      </c>
      <c r="V12" s="0" t="n">
        <f aca="false">MAX(U12-1+F12,0)</f>
        <v>0</v>
      </c>
      <c r="W12" s="0" t="n">
        <f aca="false">MAX(V12-1+G12,0)</f>
        <v>1</v>
      </c>
      <c r="X12" s="0" t="n">
        <f aca="false">MAX(W12-1+H12,0)</f>
        <v>0</v>
      </c>
      <c r="Y12" s="1" t="n">
        <f aca="false">0.5*(E12*I12+F12*J12+G12*K12+H12*L12-1)+(0+$U12*J12+$V12*K12+$W12*L12)</f>
        <v>0</v>
      </c>
      <c r="Z12" s="1" t="n">
        <f aca="false">0.5*(E12*M12+F12*N12+G12*O12+H12*P12-1)+(0+$U12*N12+$V12*O12+$W12*P12)</f>
        <v>0.5</v>
      </c>
      <c r="AA12" s="1" t="n">
        <f aca="false">0.5*(E12*Q12+F12*R12+G12*S12+H12*T12-1)+(0+$U12*R12+$V12*S12+$W12*T12)</f>
        <v>0.5</v>
      </c>
      <c r="AB12" s="0" t="n">
        <f aca="false">IF(B12="V",-2,0)+IF(B12="E",-1,0)+IF(B12="O",0,0)+IF(B12="L",1,0)+Y12</f>
        <v>-2</v>
      </c>
      <c r="AC12" s="0" t="n">
        <f aca="false">IF(C12="V",-2,0)+IF(C12="E",-1,0)+IF(C12="O",0,0)+IF(C12="L",1,0)+Z12</f>
        <v>0.5</v>
      </c>
      <c r="AD12" s="0" t="n">
        <f aca="false">IF(D12="V",-2,0)+IF(D12="E",-1,0)+IF(D12="O",0,0)+IF(D12="L",1,0)+AA12</f>
        <v>0.5</v>
      </c>
      <c r="AE12" s="1" t="n">
        <f aca="false">IF(B12="V",-2,0)+IF(B12="E",-1,0)+IF(B12="O",0,0)+IF(B12="L",1,0)</f>
        <v>-2</v>
      </c>
      <c r="AF12" s="1" t="n">
        <f aca="false">IF(B12="V",-2,0)+IF(B12="E",-1,0)+IF(B12="O",0,0)+IF(B12="L",1,0)+Y12</f>
        <v>-2</v>
      </c>
      <c r="AG12" s="1" t="n">
        <f aca="false">IF(B12="V",-2,0)+IF(B12="E",-1,0)+IF(B12="O",0,0)+IF(B12="L",1,0)+Y12*2</f>
        <v>-2</v>
      </c>
      <c r="AH12" s="1" t="n">
        <f aca="false">IF(C12="V",-2,0)+IF(C12="E",-1,0)+IF(C12="O",0,0)+IF(C12="L",1,0)</f>
        <v>0</v>
      </c>
      <c r="AI12" s="1" t="n">
        <f aca="false">IF(C12="V",-2,0)+IF(C12="E",-1,0)+IF(C12="O",0,0)+IF(C12="L",1,0)+Z12</f>
        <v>0.5</v>
      </c>
      <c r="AJ12" s="1" t="n">
        <f aca="false">IF(C12="V",-2,0)+IF(C12="E",-1,0)+IF(C12="O",0,0)+IF(C12="L",1,0)+Z12*2</f>
        <v>1</v>
      </c>
      <c r="AK12" s="1" t="n">
        <f aca="false">IF(D12="V",-2,0)+IF(D12="E",-1,0)+IF(D12="O",0,0)+IF(D12="L",1,0)</f>
        <v>0</v>
      </c>
      <c r="AL12" s="1" t="n">
        <f aca="false">IF(D12="V",-2,0)+IF(D12="E",-1,0)+IF(D12="O",0,0)+IF(D12="L",1,0)+AA12</f>
        <v>0.5</v>
      </c>
      <c r="AM12" s="1" t="n">
        <f aca="false">IF(D12="V",-2,0)+IF(D12="E",-1,0)+IF(D12="O",0,0)+IF(D12="L",1,0)+AA12*2</f>
        <v>1</v>
      </c>
      <c r="AN12" s="1" t="n">
        <f aca="false">(ABS(IF(AE12&lt;0,AE12*Early,AE12*Late))+ABS(IF(AF12&lt;0,AF12*Early,AF12*Late))+ABS(IF(AG12&lt;0,AG12*Early,AG12*Late)))/3</f>
        <v>6</v>
      </c>
      <c r="AO12" s="1" t="n">
        <f aca="false">(ABS(IF(AH12&lt;0,AH12*Early,AH12*Late))+ABS(IF(AI12&lt;0,AI12*Early,AI12*Late))+ABS(IF(AJ12&lt;0,AJ12*Early,AJ12*Late)))/3</f>
        <v>2</v>
      </c>
      <c r="AP12" s="1" t="n">
        <f aca="false">(ABS(IF(AK12&lt;0,AK12*Early,AK12*Late))+ABS(IF(AL12&lt;0,AL12*Early,AL12*Late))+ABS(IF(AM12&lt;0,AM12*Early,AM12*Late)))/3</f>
        <v>2</v>
      </c>
      <c r="AQ12" s="0" t="n">
        <f aca="false">Y12*Delay+AN12</f>
        <v>6</v>
      </c>
      <c r="AR12" s="0" t="n">
        <f aca="false">Z12*Delay+AO12</f>
        <v>2.5</v>
      </c>
      <c r="AS12" s="0" t="n">
        <f aca="false">AA12*Delay+AP12</f>
        <v>2.5</v>
      </c>
      <c r="AT12" s="1" t="n">
        <f aca="false">VLOOKUP(A12,SortA!$A$1:$AT$65,46,FALSE())</f>
        <v>0</v>
      </c>
      <c r="AU12" s="1" t="n">
        <f aca="false">VLOOKUP(A12,SortB!$A$1:$AT$65,46,FALSE())</f>
        <v>1</v>
      </c>
      <c r="AV12" s="1" t="n">
        <f aca="false">VLOOKUP(A12,SortC!$A$1:$AT$65,46,FALSE())</f>
        <v>1</v>
      </c>
      <c r="AW12" s="0" t="n">
        <f aca="false">IF(SUM(AT12:AV12)=3,1,0)</f>
        <v>0</v>
      </c>
      <c r="AX12" s="0" t="str">
        <f aca="false">B12&amp;C12&amp;D12</f>
        <v>VOO</v>
      </c>
      <c r="AY12" s="1" t="n">
        <f aca="false">AQ12+AR12+AS12</f>
        <v>11</v>
      </c>
      <c r="AZ12" s="1" t="str">
        <f aca="false">RIGHT(AX12,2)</f>
        <v>OO</v>
      </c>
      <c r="BA12" s="1" t="str">
        <f aca="false">LEFT(AX12,1)&amp;RIGHT(AX12,1)</f>
        <v>VO</v>
      </c>
      <c r="BB12" s="1" t="str">
        <f aca="false">LEFT(AX12,2)</f>
        <v>VO</v>
      </c>
      <c r="BC12" s="1" t="n">
        <f aca="false">VLOOKUP(AZ12,TwoPlayers!$AG$1:$AH$17,2,FALSE())</f>
        <v>5</v>
      </c>
      <c r="BD12" s="1" t="n">
        <f aca="false">VLOOKUP(BA12,TwoPlayers!$AG$1:$AH$17,2,FALSE())</f>
        <v>6</v>
      </c>
      <c r="BE12" s="1" t="n">
        <f aca="false">VLOOKUP(BB12,TwoPlayers!$AG$1:$AH$17,2,FALSE())</f>
        <v>6</v>
      </c>
      <c r="BF12" s="1" t="n">
        <f aca="false">$AY12-BC12</f>
        <v>6</v>
      </c>
      <c r="BG12" s="1" t="n">
        <f aca="false">$AY12-BD12</f>
        <v>5</v>
      </c>
      <c r="BH12" s="1" t="n">
        <f aca="false">$AY12-BE12</f>
        <v>5</v>
      </c>
      <c r="BI12" s="0" t="str">
        <f aca="false">AX12</f>
        <v>VOO</v>
      </c>
      <c r="BJ12" s="1" t="n">
        <f aca="false">VLOOKUP(A12,SortA!$A$1:$BM$65,65,FALSE())</f>
        <v>0</v>
      </c>
      <c r="BK12" s="1" t="n">
        <f aca="false">VLOOKUP(A12,SortB!$A$1:$BM$65,65,FALSE())</f>
        <v>0</v>
      </c>
      <c r="BL12" s="1" t="n">
        <f aca="false">VLOOKUP(A12,SortC!$A$1:$BM$65,65,FALSE())</f>
        <v>0</v>
      </c>
      <c r="BM12" s="1" t="n">
        <f aca="false">IF(SUM(BJ12:BL12)=3,1,0)</f>
        <v>0</v>
      </c>
    </row>
    <row r="13" customFormat="false" ht="13" hidden="false" customHeight="false" outlineLevel="0" collapsed="false">
      <c r="A13" s="0" t="n">
        <f aca="false">A12+1</f>
        <v>12</v>
      </c>
      <c r="B13" s="0" t="s">
        <v>1</v>
      </c>
      <c r="C13" s="0" t="s">
        <v>3</v>
      </c>
      <c r="D13" s="0" t="s">
        <v>4</v>
      </c>
      <c r="E13" s="0" t="n">
        <f aca="false">(IF($B13="V",1,0))+IF($C13="V",1,0)+IF($D13="V",1,0)</f>
        <v>1</v>
      </c>
      <c r="F13" s="0" t="n">
        <f aca="false">(IF($B13="E",1,0))+IF($C13="E",1,0)+IF($D13="E",1,0)</f>
        <v>0</v>
      </c>
      <c r="G13" s="0" t="n">
        <f aca="false">(IF($B13="O",1,0))+IF($C13="O",1,0)+IF($D13="O",1,0)</f>
        <v>1</v>
      </c>
      <c r="H13" s="0" t="n">
        <f aca="false">(IF($B13="L",1,0))+IF($C13="L",1,0)+IF($D13="L",1,0)</f>
        <v>1</v>
      </c>
      <c r="I13" s="0" t="n">
        <f aca="false">(IF(B13="V",1,0))</f>
        <v>1</v>
      </c>
      <c r="J13" s="0" t="n">
        <f aca="false">(IF(B13="E",1,0))</f>
        <v>0</v>
      </c>
      <c r="K13" s="0" t="n">
        <f aca="false">(IF(B13="O",1,0))</f>
        <v>0</v>
      </c>
      <c r="L13" s="0" t="n">
        <f aca="false">(IF(B13="L",1,0))</f>
        <v>0</v>
      </c>
      <c r="M13" s="0" t="n">
        <f aca="false">(IF(C13="V",1,0))</f>
        <v>0</v>
      </c>
      <c r="N13" s="0" t="n">
        <f aca="false">(IF(C13="E",1,0))</f>
        <v>0</v>
      </c>
      <c r="O13" s="0" t="n">
        <f aca="false">(IF(C13="O",1,0))</f>
        <v>1</v>
      </c>
      <c r="P13" s="0" t="n">
        <f aca="false">(IF(C13="L",1,0))</f>
        <v>0</v>
      </c>
      <c r="Q13" s="0" t="n">
        <f aca="false">(IF(D13="V",1,0))</f>
        <v>0</v>
      </c>
      <c r="R13" s="0" t="n">
        <f aca="false">(IF(D13="E",1,0))</f>
        <v>0</v>
      </c>
      <c r="S13" s="0" t="n">
        <f aca="false">(IF(D13="O",1,0))</f>
        <v>0</v>
      </c>
      <c r="T13" s="0" t="n">
        <f aca="false">(IF(D13="L",1,0))</f>
        <v>1</v>
      </c>
      <c r="U13" s="0" t="n">
        <f aca="false">MAX(E13-1,0)</f>
        <v>0</v>
      </c>
      <c r="V13" s="0" t="n">
        <f aca="false">MAX(U13-1+F13,0)</f>
        <v>0</v>
      </c>
      <c r="W13" s="0" t="n">
        <f aca="false">MAX(V13-1+G13,0)</f>
        <v>0</v>
      </c>
      <c r="X13" s="0" t="n">
        <f aca="false">MAX(W13-1+H13,0)</f>
        <v>0</v>
      </c>
      <c r="Y13" s="1" t="n">
        <f aca="false">0.5*(E13*I13+F13*J13+G13*K13+H13*L13-1)+(0+$U13*J13+$V13*K13+$W13*L13)</f>
        <v>0</v>
      </c>
      <c r="Z13" s="1" t="n">
        <f aca="false">0.5*(E13*M13+F13*N13+G13*O13+H13*P13-1)+(0+$U13*N13+$V13*O13+$W13*P13)</f>
        <v>0</v>
      </c>
      <c r="AA13" s="1" t="n">
        <f aca="false">0.5*(E13*Q13+F13*R13+G13*S13+H13*T13-1)+(0+$U13*R13+$V13*S13+$W13*T13)</f>
        <v>0</v>
      </c>
      <c r="AB13" s="0" t="n">
        <f aca="false">IF(B13="V",-2,0)+IF(B13="E",-1,0)+IF(B13="O",0,0)+IF(B13="L",1,0)+Y13</f>
        <v>-2</v>
      </c>
      <c r="AC13" s="0" t="n">
        <f aca="false">IF(C13="V",-2,0)+IF(C13="E",-1,0)+IF(C13="O",0,0)+IF(C13="L",1,0)+Z13</f>
        <v>0</v>
      </c>
      <c r="AD13" s="0" t="n">
        <f aca="false">IF(D13="V",-2,0)+IF(D13="E",-1,0)+IF(D13="O",0,0)+IF(D13="L",1,0)+AA13</f>
        <v>1</v>
      </c>
      <c r="AE13" s="1" t="n">
        <f aca="false">IF(B13="V",-2,0)+IF(B13="E",-1,0)+IF(B13="O",0,0)+IF(B13="L",1,0)</f>
        <v>-2</v>
      </c>
      <c r="AF13" s="1" t="n">
        <f aca="false">IF(B13="V",-2,0)+IF(B13="E",-1,0)+IF(B13="O",0,0)+IF(B13="L",1,0)+Y13</f>
        <v>-2</v>
      </c>
      <c r="AG13" s="1" t="n">
        <f aca="false">IF(B13="V",-2,0)+IF(B13="E",-1,0)+IF(B13="O",0,0)+IF(B13="L",1,0)+Y13*2</f>
        <v>-2</v>
      </c>
      <c r="AH13" s="1" t="n">
        <f aca="false">IF(C13="V",-2,0)+IF(C13="E",-1,0)+IF(C13="O",0,0)+IF(C13="L",1,0)</f>
        <v>0</v>
      </c>
      <c r="AI13" s="1" t="n">
        <f aca="false">IF(C13="V",-2,0)+IF(C13="E",-1,0)+IF(C13="O",0,0)+IF(C13="L",1,0)+Z13</f>
        <v>0</v>
      </c>
      <c r="AJ13" s="1" t="n">
        <f aca="false">IF(C13="V",-2,0)+IF(C13="E",-1,0)+IF(C13="O",0,0)+IF(C13="L",1,0)+Z13*2</f>
        <v>0</v>
      </c>
      <c r="AK13" s="1" t="n">
        <f aca="false">IF(D13="V",-2,0)+IF(D13="E",-1,0)+IF(D13="O",0,0)+IF(D13="L",1,0)</f>
        <v>1</v>
      </c>
      <c r="AL13" s="1" t="n">
        <f aca="false">IF(D13="V",-2,0)+IF(D13="E",-1,0)+IF(D13="O",0,0)+IF(D13="L",1,0)+AA13</f>
        <v>1</v>
      </c>
      <c r="AM13" s="1" t="n">
        <f aca="false">IF(D13="V",-2,0)+IF(D13="E",-1,0)+IF(D13="O",0,0)+IF(D13="L",1,0)+AA13*2</f>
        <v>1</v>
      </c>
      <c r="AN13" s="1" t="n">
        <f aca="false">(ABS(IF(AE13&lt;0,AE13*Early,AE13*Late))+ABS(IF(AF13&lt;0,AF13*Early,AF13*Late))+ABS(IF(AG13&lt;0,AG13*Early,AG13*Late)))/3</f>
        <v>6</v>
      </c>
      <c r="AO13" s="1" t="n">
        <f aca="false">(ABS(IF(AH13&lt;0,AH13*Early,AH13*Late))+ABS(IF(AI13&lt;0,AI13*Early,AI13*Late))+ABS(IF(AJ13&lt;0,AJ13*Early,AJ13*Late)))/3</f>
        <v>0</v>
      </c>
      <c r="AP13" s="1" t="n">
        <f aca="false">(ABS(IF(AK13&lt;0,AK13*Early,AK13*Late))+ABS(IF(AL13&lt;0,AL13*Early,AL13*Late))+ABS(IF(AM13&lt;0,AM13*Early,AM13*Late)))/3</f>
        <v>4</v>
      </c>
      <c r="AQ13" s="0" t="n">
        <f aca="false">Y13*Delay+AN13</f>
        <v>6</v>
      </c>
      <c r="AR13" s="0" t="n">
        <f aca="false">Z13*Delay+AO13</f>
        <v>0</v>
      </c>
      <c r="AS13" s="0" t="n">
        <f aca="false">AA13*Delay+AP13</f>
        <v>4</v>
      </c>
      <c r="AT13" s="1" t="n">
        <f aca="false">VLOOKUP(A13,SortA!$A$1:$AT$65,46,FALSE())</f>
        <v>0</v>
      </c>
      <c r="AU13" s="1" t="n">
        <f aca="false">VLOOKUP(A13,SortB!$A$1:$AT$65,46,FALSE())</f>
        <v>1</v>
      </c>
      <c r="AV13" s="1" t="n">
        <f aca="false">VLOOKUP(A13,SortC!$A$1:$AT$65,46,FALSE())</f>
        <v>0</v>
      </c>
      <c r="AW13" s="0" t="n">
        <f aca="false">IF(SUM(AT13:AV13)=3,1,0)</f>
        <v>0</v>
      </c>
      <c r="AX13" s="0" t="str">
        <f aca="false">B13&amp;C13&amp;D13</f>
        <v>VOL</v>
      </c>
      <c r="AY13" s="1" t="n">
        <f aca="false">AQ13+AR13+AS13</f>
        <v>10</v>
      </c>
      <c r="AZ13" s="1" t="str">
        <f aca="false">RIGHT(AX13,2)</f>
        <v>OL</v>
      </c>
      <c r="BA13" s="1" t="str">
        <f aca="false">LEFT(AX13,1)&amp;RIGHT(AX13,1)</f>
        <v>VL</v>
      </c>
      <c r="BB13" s="1" t="str">
        <f aca="false">LEFT(AX13,2)</f>
        <v>VO</v>
      </c>
      <c r="BC13" s="1" t="n">
        <f aca="false">VLOOKUP(AZ13,TwoPlayers!$AG$1:$AH$17,2,FALSE())</f>
        <v>4</v>
      </c>
      <c r="BD13" s="1" t="n">
        <f aca="false">VLOOKUP(BA13,TwoPlayers!$AG$1:$AH$17,2,FALSE())</f>
        <v>10</v>
      </c>
      <c r="BE13" s="1" t="n">
        <f aca="false">VLOOKUP(BB13,TwoPlayers!$AG$1:$AH$17,2,FALSE())</f>
        <v>6</v>
      </c>
      <c r="BF13" s="1" t="n">
        <f aca="false">$AY13-BC13</f>
        <v>6</v>
      </c>
      <c r="BG13" s="1" t="n">
        <f aca="false">$AY13-BD13</f>
        <v>0</v>
      </c>
      <c r="BH13" s="1" t="n">
        <f aca="false">$AY13-BE13</f>
        <v>4</v>
      </c>
      <c r="BI13" s="0" t="str">
        <f aca="false">AX13</f>
        <v>VOL</v>
      </c>
      <c r="BJ13" s="1" t="n">
        <f aca="false">VLOOKUP(A13,SortA!$A$1:$BM$65,65,FALSE())</f>
        <v>0</v>
      </c>
      <c r="BK13" s="1" t="n">
        <f aca="false">VLOOKUP(A13,SortB!$A$1:$BM$65,65,FALSE())</f>
        <v>1</v>
      </c>
      <c r="BL13" s="1" t="n">
        <f aca="false">VLOOKUP(A13,SortC!$A$1:$BM$65,65,FALSE())</f>
        <v>0</v>
      </c>
      <c r="BM13" s="1" t="n">
        <f aca="false">IF(SUM(BJ13:BL13)=3,1,0)</f>
        <v>0</v>
      </c>
    </row>
    <row r="14" customFormat="false" ht="13" hidden="false" customHeight="false" outlineLevel="0" collapsed="false">
      <c r="A14" s="0" t="n">
        <f aca="false">A13+1</f>
        <v>13</v>
      </c>
      <c r="B14" s="0" t="s">
        <v>1</v>
      </c>
      <c r="C14" s="0" t="s">
        <v>4</v>
      </c>
      <c r="D14" s="0" t="s">
        <v>1</v>
      </c>
      <c r="E14" s="0" t="n">
        <f aca="false">(IF($B14="V",1,0))+IF($C14="V",1,0)+IF($D14="V",1,0)</f>
        <v>2</v>
      </c>
      <c r="F14" s="0" t="n">
        <f aca="false">(IF($B14="E",1,0))+IF($C14="E",1,0)+IF($D14="E",1,0)</f>
        <v>0</v>
      </c>
      <c r="G14" s="0" t="n">
        <f aca="false">(IF($B14="O",1,0))+IF($C14="O",1,0)+IF($D14="O",1,0)</f>
        <v>0</v>
      </c>
      <c r="H14" s="0" t="n">
        <f aca="false">(IF($B14="L",1,0))+IF($C14="L",1,0)+IF($D14="L",1,0)</f>
        <v>1</v>
      </c>
      <c r="I14" s="0" t="n">
        <f aca="false">(IF(B14="V",1,0))</f>
        <v>1</v>
      </c>
      <c r="J14" s="0" t="n">
        <f aca="false">(IF(B14="E",1,0))</f>
        <v>0</v>
      </c>
      <c r="K14" s="0" t="n">
        <f aca="false">(IF(B14="O",1,0))</f>
        <v>0</v>
      </c>
      <c r="L14" s="0" t="n">
        <f aca="false">(IF(B14="L",1,0))</f>
        <v>0</v>
      </c>
      <c r="M14" s="0" t="n">
        <f aca="false">(IF(C14="V",1,0))</f>
        <v>0</v>
      </c>
      <c r="N14" s="0" t="n">
        <f aca="false">(IF(C14="E",1,0))</f>
        <v>0</v>
      </c>
      <c r="O14" s="0" t="n">
        <f aca="false">(IF(C14="O",1,0))</f>
        <v>0</v>
      </c>
      <c r="P14" s="0" t="n">
        <f aca="false">(IF(C14="L",1,0))</f>
        <v>1</v>
      </c>
      <c r="Q14" s="0" t="n">
        <f aca="false">(IF(D14="V",1,0))</f>
        <v>1</v>
      </c>
      <c r="R14" s="0" t="n">
        <f aca="false">(IF(D14="E",1,0))</f>
        <v>0</v>
      </c>
      <c r="S14" s="0" t="n">
        <f aca="false">(IF(D14="O",1,0))</f>
        <v>0</v>
      </c>
      <c r="T14" s="0" t="n">
        <f aca="false">(IF(D14="L",1,0))</f>
        <v>0</v>
      </c>
      <c r="U14" s="0" t="n">
        <f aca="false">MAX(E14-1,0)</f>
        <v>1</v>
      </c>
      <c r="V14" s="0" t="n">
        <f aca="false">MAX(U14-1+F14,0)</f>
        <v>0</v>
      </c>
      <c r="W14" s="0" t="n">
        <f aca="false">MAX(V14-1+G14,0)</f>
        <v>0</v>
      </c>
      <c r="X14" s="0" t="n">
        <f aca="false">MAX(W14-1+H14,0)</f>
        <v>0</v>
      </c>
      <c r="Y14" s="1" t="n">
        <f aca="false">0.5*(E14*I14+F14*J14+G14*K14+H14*L14-1)+(0+$U14*J14+$V14*K14+$W14*L14)</f>
        <v>0.5</v>
      </c>
      <c r="Z14" s="1" t="n">
        <f aca="false">0.5*(E14*M14+F14*N14+G14*O14+H14*P14-1)+(0+$U14*N14+$V14*O14+$W14*P14)</f>
        <v>0</v>
      </c>
      <c r="AA14" s="1" t="n">
        <f aca="false">0.5*(E14*Q14+F14*R14+G14*S14+H14*T14-1)+(0+$U14*R14+$V14*S14+$W14*T14)</f>
        <v>0.5</v>
      </c>
      <c r="AB14" s="0" t="n">
        <f aca="false">IF(B14="V",-2,0)+IF(B14="E",-1,0)+IF(B14="O",0,0)+IF(B14="L",1,0)+Y14</f>
        <v>-1.5</v>
      </c>
      <c r="AC14" s="0" t="n">
        <f aca="false">IF(C14="V",-2,0)+IF(C14="E",-1,0)+IF(C14="O",0,0)+IF(C14="L",1,0)+Z14</f>
        <v>1</v>
      </c>
      <c r="AD14" s="0" t="n">
        <f aca="false">IF(D14="V",-2,0)+IF(D14="E",-1,0)+IF(D14="O",0,0)+IF(D14="L",1,0)+AA14</f>
        <v>-1.5</v>
      </c>
      <c r="AE14" s="1" t="n">
        <f aca="false">IF(B14="V",-2,0)+IF(B14="E",-1,0)+IF(B14="O",0,0)+IF(B14="L",1,0)</f>
        <v>-2</v>
      </c>
      <c r="AF14" s="1" t="n">
        <f aca="false">IF(B14="V",-2,0)+IF(B14="E",-1,0)+IF(B14="O",0,0)+IF(B14="L",1,0)+Y14</f>
        <v>-1.5</v>
      </c>
      <c r="AG14" s="1" t="n">
        <f aca="false">IF(B14="V",-2,0)+IF(B14="E",-1,0)+IF(B14="O",0,0)+IF(B14="L",1,0)+Y14*2</f>
        <v>-1</v>
      </c>
      <c r="AH14" s="1" t="n">
        <f aca="false">IF(C14="V",-2,0)+IF(C14="E",-1,0)+IF(C14="O",0,0)+IF(C14="L",1,0)</f>
        <v>1</v>
      </c>
      <c r="AI14" s="1" t="n">
        <f aca="false">IF(C14="V",-2,0)+IF(C14="E",-1,0)+IF(C14="O",0,0)+IF(C14="L",1,0)+Z14</f>
        <v>1</v>
      </c>
      <c r="AJ14" s="1" t="n">
        <f aca="false">IF(C14="V",-2,0)+IF(C14="E",-1,0)+IF(C14="O",0,0)+IF(C14="L",1,0)+Z14*2</f>
        <v>1</v>
      </c>
      <c r="AK14" s="1" t="n">
        <f aca="false">IF(D14="V",-2,0)+IF(D14="E",-1,0)+IF(D14="O",0,0)+IF(D14="L",1,0)</f>
        <v>-2</v>
      </c>
      <c r="AL14" s="1" t="n">
        <f aca="false">IF(D14="V",-2,0)+IF(D14="E",-1,0)+IF(D14="O",0,0)+IF(D14="L",1,0)+AA14</f>
        <v>-1.5</v>
      </c>
      <c r="AM14" s="1" t="n">
        <f aca="false">IF(D14="V",-2,0)+IF(D14="E",-1,0)+IF(D14="O",0,0)+IF(D14="L",1,0)+AA14*2</f>
        <v>-1</v>
      </c>
      <c r="AN14" s="1" t="n">
        <f aca="false">(ABS(IF(AE14&lt;0,AE14*Early,AE14*Late))+ABS(IF(AF14&lt;0,AF14*Early,AF14*Late))+ABS(IF(AG14&lt;0,AG14*Early,AG14*Late)))/3</f>
        <v>4.5</v>
      </c>
      <c r="AO14" s="1" t="n">
        <f aca="false">(ABS(IF(AH14&lt;0,AH14*Early,AH14*Late))+ABS(IF(AI14&lt;0,AI14*Early,AI14*Late))+ABS(IF(AJ14&lt;0,AJ14*Early,AJ14*Late)))/3</f>
        <v>4</v>
      </c>
      <c r="AP14" s="1" t="n">
        <f aca="false">(ABS(IF(AK14&lt;0,AK14*Early,AK14*Late))+ABS(IF(AL14&lt;0,AL14*Early,AL14*Late))+ABS(IF(AM14&lt;0,AM14*Early,AM14*Late)))/3</f>
        <v>4.5</v>
      </c>
      <c r="AQ14" s="0" t="n">
        <f aca="false">Y14*Delay+AN14</f>
        <v>5</v>
      </c>
      <c r="AR14" s="0" t="n">
        <f aca="false">Z14*Delay+AO14</f>
        <v>4</v>
      </c>
      <c r="AS14" s="0" t="n">
        <f aca="false">AA14*Delay+AP14</f>
        <v>5</v>
      </c>
      <c r="AT14" s="1" t="n">
        <f aca="false">VLOOKUP(A14,SortA!$A$1:$AT$65,46,FALSE())</f>
        <v>0</v>
      </c>
      <c r="AU14" s="1" t="n">
        <f aca="false">VLOOKUP(A14,SortB!$A$1:$AT$65,46,FALSE())</f>
        <v>0</v>
      </c>
      <c r="AV14" s="1" t="n">
        <f aca="false">VLOOKUP(A14,SortC!$A$1:$AT$65,46,FALSE())</f>
        <v>0</v>
      </c>
      <c r="AW14" s="0" t="n">
        <f aca="false">IF(SUM(AT14:AV14)=3,1,0)</f>
        <v>0</v>
      </c>
      <c r="AX14" s="0" t="str">
        <f aca="false">B14&amp;C14&amp;D14</f>
        <v>VLV</v>
      </c>
      <c r="AY14" s="1" t="n">
        <f aca="false">AQ14+AR14+AS14</f>
        <v>14</v>
      </c>
      <c r="AZ14" s="1" t="str">
        <f aca="false">RIGHT(AX14,2)</f>
        <v>LV</v>
      </c>
      <c r="BA14" s="1" t="str">
        <f aca="false">LEFT(AX14,1)&amp;RIGHT(AX14,1)</f>
        <v>VV</v>
      </c>
      <c r="BB14" s="1" t="str">
        <f aca="false">LEFT(AX14,2)</f>
        <v>VL</v>
      </c>
      <c r="BC14" s="1" t="n">
        <f aca="false">VLOOKUP(AZ14,TwoPlayers!$AG$1:$AH$17,2,FALSE())</f>
        <v>10</v>
      </c>
      <c r="BD14" s="1" t="n">
        <f aca="false">VLOOKUP(BA14,TwoPlayers!$AG$1:$AH$17,2,FALSE())</f>
        <v>10</v>
      </c>
      <c r="BE14" s="1" t="n">
        <f aca="false">VLOOKUP(BB14,TwoPlayers!$AG$1:$AH$17,2,FALSE())</f>
        <v>10</v>
      </c>
      <c r="BF14" s="1" t="n">
        <f aca="false">$AY14-BC14</f>
        <v>4</v>
      </c>
      <c r="BG14" s="1" t="n">
        <f aca="false">$AY14-BD14</f>
        <v>4</v>
      </c>
      <c r="BH14" s="1" t="n">
        <f aca="false">$AY14-BE14</f>
        <v>4</v>
      </c>
      <c r="BI14" s="0" t="str">
        <f aca="false">AX14</f>
        <v>VLV</v>
      </c>
      <c r="BJ14" s="1" t="n">
        <f aca="false">VLOOKUP(A14,SortA!$A$1:$BM$65,65,FALSE())</f>
        <v>0</v>
      </c>
      <c r="BK14" s="1" t="n">
        <f aca="false">VLOOKUP(A14,SortB!$A$1:$BM$65,65,FALSE())</f>
        <v>0</v>
      </c>
      <c r="BL14" s="1" t="n">
        <f aca="false">VLOOKUP(A14,SortC!$A$1:$BM$65,65,FALSE())</f>
        <v>0</v>
      </c>
      <c r="BM14" s="1" t="n">
        <f aca="false">IF(SUM(BJ14:BL14)=3,1,0)</f>
        <v>0</v>
      </c>
    </row>
    <row r="15" customFormat="false" ht="13" hidden="false" customHeight="false" outlineLevel="0" collapsed="false">
      <c r="A15" s="0" t="n">
        <f aca="false">A14+1</f>
        <v>14</v>
      </c>
      <c r="B15" s="0" t="s">
        <v>1</v>
      </c>
      <c r="C15" s="0" t="s">
        <v>4</v>
      </c>
      <c r="D15" s="0" t="s">
        <v>2</v>
      </c>
      <c r="E15" s="0" t="n">
        <f aca="false">(IF($B15="V",1,0))+IF($C15="V",1,0)+IF($D15="V",1,0)</f>
        <v>1</v>
      </c>
      <c r="F15" s="0" t="n">
        <f aca="false">(IF($B15="E",1,0))+IF($C15="E",1,0)+IF($D15="E",1,0)</f>
        <v>1</v>
      </c>
      <c r="G15" s="0" t="n">
        <f aca="false">(IF($B15="O",1,0))+IF($C15="O",1,0)+IF($D15="O",1,0)</f>
        <v>0</v>
      </c>
      <c r="H15" s="0" t="n">
        <f aca="false">(IF($B15="L",1,0))+IF($C15="L",1,0)+IF($D15="L",1,0)</f>
        <v>1</v>
      </c>
      <c r="I15" s="0" t="n">
        <f aca="false">(IF(B15="V",1,0))</f>
        <v>1</v>
      </c>
      <c r="J15" s="0" t="n">
        <f aca="false">(IF(B15="E",1,0))</f>
        <v>0</v>
      </c>
      <c r="K15" s="0" t="n">
        <f aca="false">(IF(B15="O",1,0))</f>
        <v>0</v>
      </c>
      <c r="L15" s="0" t="n">
        <f aca="false">(IF(B15="L",1,0))</f>
        <v>0</v>
      </c>
      <c r="M15" s="0" t="n">
        <f aca="false">(IF(C15="V",1,0))</f>
        <v>0</v>
      </c>
      <c r="N15" s="0" t="n">
        <f aca="false">(IF(C15="E",1,0))</f>
        <v>0</v>
      </c>
      <c r="O15" s="0" t="n">
        <f aca="false">(IF(C15="O",1,0))</f>
        <v>0</v>
      </c>
      <c r="P15" s="0" t="n">
        <f aca="false">(IF(C15="L",1,0))</f>
        <v>1</v>
      </c>
      <c r="Q15" s="0" t="n">
        <f aca="false">(IF(D15="V",1,0))</f>
        <v>0</v>
      </c>
      <c r="R15" s="0" t="n">
        <f aca="false">(IF(D15="E",1,0))</f>
        <v>1</v>
      </c>
      <c r="S15" s="0" t="n">
        <f aca="false">(IF(D15="O",1,0))</f>
        <v>0</v>
      </c>
      <c r="T15" s="0" t="n">
        <f aca="false">(IF(D15="L",1,0))</f>
        <v>0</v>
      </c>
      <c r="U15" s="0" t="n">
        <f aca="false">MAX(E15-1,0)</f>
        <v>0</v>
      </c>
      <c r="V15" s="0" t="n">
        <f aca="false">MAX(U15-1+F15,0)</f>
        <v>0</v>
      </c>
      <c r="W15" s="0" t="n">
        <f aca="false">MAX(V15-1+G15,0)</f>
        <v>0</v>
      </c>
      <c r="X15" s="0" t="n">
        <f aca="false">MAX(W15-1+H15,0)</f>
        <v>0</v>
      </c>
      <c r="Y15" s="1" t="n">
        <f aca="false">0.5*(E15*I15+F15*J15+G15*K15+H15*L15-1)+(0+$U15*J15+$V15*K15+$W15*L15)</f>
        <v>0</v>
      </c>
      <c r="Z15" s="1" t="n">
        <f aca="false">0.5*(E15*M15+F15*N15+G15*O15+H15*P15-1)+(0+$U15*N15+$V15*O15+$W15*P15)</f>
        <v>0</v>
      </c>
      <c r="AA15" s="1" t="n">
        <f aca="false">0.5*(E15*Q15+F15*R15+G15*S15+H15*T15-1)+(0+$U15*R15+$V15*S15+$W15*T15)</f>
        <v>0</v>
      </c>
      <c r="AB15" s="0" t="n">
        <f aca="false">IF(B15="V",-2,0)+IF(B15="E",-1,0)+IF(B15="O",0,0)+IF(B15="L",1,0)+Y15</f>
        <v>-2</v>
      </c>
      <c r="AC15" s="0" t="n">
        <f aca="false">IF(C15="V",-2,0)+IF(C15="E",-1,0)+IF(C15="O",0,0)+IF(C15="L",1,0)+Z15</f>
        <v>1</v>
      </c>
      <c r="AD15" s="0" t="n">
        <f aca="false">IF(D15="V",-2,0)+IF(D15="E",-1,0)+IF(D15="O",0,0)+IF(D15="L",1,0)+AA15</f>
        <v>-1</v>
      </c>
      <c r="AE15" s="1" t="n">
        <f aca="false">IF(B15="V",-2,0)+IF(B15="E",-1,0)+IF(B15="O",0,0)+IF(B15="L",1,0)</f>
        <v>-2</v>
      </c>
      <c r="AF15" s="1" t="n">
        <f aca="false">IF(B15="V",-2,0)+IF(B15="E",-1,0)+IF(B15="O",0,0)+IF(B15="L",1,0)+Y15</f>
        <v>-2</v>
      </c>
      <c r="AG15" s="1" t="n">
        <f aca="false">IF(B15="V",-2,0)+IF(B15="E",-1,0)+IF(B15="O",0,0)+IF(B15="L",1,0)+Y15*2</f>
        <v>-2</v>
      </c>
      <c r="AH15" s="1" t="n">
        <f aca="false">IF(C15="V",-2,0)+IF(C15="E",-1,0)+IF(C15="O",0,0)+IF(C15="L",1,0)</f>
        <v>1</v>
      </c>
      <c r="AI15" s="1" t="n">
        <f aca="false">IF(C15="V",-2,0)+IF(C15="E",-1,0)+IF(C15="O",0,0)+IF(C15="L",1,0)+Z15</f>
        <v>1</v>
      </c>
      <c r="AJ15" s="1" t="n">
        <f aca="false">IF(C15="V",-2,0)+IF(C15="E",-1,0)+IF(C15="O",0,0)+IF(C15="L",1,0)+Z15*2</f>
        <v>1</v>
      </c>
      <c r="AK15" s="1" t="n">
        <f aca="false">IF(D15="V",-2,0)+IF(D15="E",-1,0)+IF(D15="O",0,0)+IF(D15="L",1,0)</f>
        <v>-1</v>
      </c>
      <c r="AL15" s="1" t="n">
        <f aca="false">IF(D15="V",-2,0)+IF(D15="E",-1,0)+IF(D15="O",0,0)+IF(D15="L",1,0)+AA15</f>
        <v>-1</v>
      </c>
      <c r="AM15" s="1" t="n">
        <f aca="false">IF(D15="V",-2,0)+IF(D15="E",-1,0)+IF(D15="O",0,0)+IF(D15="L",1,0)+AA15*2</f>
        <v>-1</v>
      </c>
      <c r="AN15" s="1" t="n">
        <f aca="false">(ABS(IF(AE15&lt;0,AE15*Early,AE15*Late))+ABS(IF(AF15&lt;0,AF15*Early,AF15*Late))+ABS(IF(AG15&lt;0,AG15*Early,AG15*Late)))/3</f>
        <v>6</v>
      </c>
      <c r="AO15" s="1" t="n">
        <f aca="false">(ABS(IF(AH15&lt;0,AH15*Early,AH15*Late))+ABS(IF(AI15&lt;0,AI15*Early,AI15*Late))+ABS(IF(AJ15&lt;0,AJ15*Early,AJ15*Late)))/3</f>
        <v>4</v>
      </c>
      <c r="AP15" s="1" t="n">
        <f aca="false">(ABS(IF(AK15&lt;0,AK15*Early,AK15*Late))+ABS(IF(AL15&lt;0,AL15*Early,AL15*Late))+ABS(IF(AM15&lt;0,AM15*Early,AM15*Late)))/3</f>
        <v>3</v>
      </c>
      <c r="AQ15" s="0" t="n">
        <f aca="false">Y15*Delay+AN15</f>
        <v>6</v>
      </c>
      <c r="AR15" s="0" t="n">
        <f aca="false">Z15*Delay+AO15</f>
        <v>4</v>
      </c>
      <c r="AS15" s="0" t="n">
        <f aca="false">AA15*Delay+AP15</f>
        <v>3</v>
      </c>
      <c r="AT15" s="1" t="n">
        <f aca="false">VLOOKUP(A15,SortA!$A$1:$AT$65,46,FALSE())</f>
        <v>0</v>
      </c>
      <c r="AU15" s="1" t="n">
        <f aca="false">VLOOKUP(A15,SortB!$A$1:$AT$65,46,FALSE())</f>
        <v>0</v>
      </c>
      <c r="AV15" s="1" t="n">
        <f aca="false">VLOOKUP(A15,SortC!$A$1:$AT$65,46,FALSE())</f>
        <v>0</v>
      </c>
      <c r="AW15" s="0" t="n">
        <f aca="false">IF(SUM(AT15:AV15)=3,1,0)</f>
        <v>0</v>
      </c>
      <c r="AX15" s="0" t="str">
        <f aca="false">B15&amp;C15&amp;D15</f>
        <v>VLE</v>
      </c>
      <c r="AY15" s="1" t="n">
        <f aca="false">AQ15+AR15+AS15</f>
        <v>13</v>
      </c>
      <c r="AZ15" s="1" t="str">
        <f aca="false">RIGHT(AX15,2)</f>
        <v>LE</v>
      </c>
      <c r="BA15" s="1" t="str">
        <f aca="false">LEFT(AX15,1)&amp;RIGHT(AX15,1)</f>
        <v>VE</v>
      </c>
      <c r="BB15" s="1" t="str">
        <f aca="false">LEFT(AX15,2)</f>
        <v>VL</v>
      </c>
      <c r="BC15" s="1" t="n">
        <f aca="false">VLOOKUP(AZ15,TwoPlayers!$AG$1:$AH$17,2,FALSE())</f>
        <v>7</v>
      </c>
      <c r="BD15" s="1" t="n">
        <f aca="false">VLOOKUP(BA15,TwoPlayers!$AG$1:$AH$17,2,FALSE())</f>
        <v>9</v>
      </c>
      <c r="BE15" s="1" t="n">
        <f aca="false">VLOOKUP(BB15,TwoPlayers!$AG$1:$AH$17,2,FALSE())</f>
        <v>10</v>
      </c>
      <c r="BF15" s="1" t="n">
        <f aca="false">$AY15-BC15</f>
        <v>6</v>
      </c>
      <c r="BG15" s="1" t="n">
        <f aca="false">$AY15-BD15</f>
        <v>4</v>
      </c>
      <c r="BH15" s="1" t="n">
        <f aca="false">$AY15-BE15</f>
        <v>3</v>
      </c>
      <c r="BI15" s="0" t="str">
        <f aca="false">AX15</f>
        <v>VLE</v>
      </c>
      <c r="BJ15" s="1" t="n">
        <f aca="false">VLOOKUP(A15,SortA!$A$1:$BM$65,65,FALSE())</f>
        <v>0</v>
      </c>
      <c r="BK15" s="1" t="n">
        <f aca="false">VLOOKUP(A15,SortB!$A$1:$BM$65,65,FALSE())</f>
        <v>0</v>
      </c>
      <c r="BL15" s="1" t="n">
        <f aca="false">VLOOKUP(A15,SortC!$A$1:$BM$65,65,FALSE())</f>
        <v>0</v>
      </c>
      <c r="BM15" s="1" t="n">
        <f aca="false">IF(SUM(BJ15:BL15)=3,1,0)</f>
        <v>0</v>
      </c>
    </row>
    <row r="16" customFormat="false" ht="13" hidden="false" customHeight="false" outlineLevel="0" collapsed="false">
      <c r="A16" s="0" t="n">
        <f aca="false">A15+1</f>
        <v>15</v>
      </c>
      <c r="B16" s="0" t="s">
        <v>1</v>
      </c>
      <c r="C16" s="0" t="s">
        <v>4</v>
      </c>
      <c r="D16" s="0" t="s">
        <v>3</v>
      </c>
      <c r="E16" s="0" t="n">
        <f aca="false">(IF($B16="V",1,0))+IF($C16="V",1,0)+IF($D16="V",1,0)</f>
        <v>1</v>
      </c>
      <c r="F16" s="0" t="n">
        <f aca="false">(IF($B16="E",1,0))+IF($C16="E",1,0)+IF($D16="E",1,0)</f>
        <v>0</v>
      </c>
      <c r="G16" s="0" t="n">
        <f aca="false">(IF($B16="O",1,0))+IF($C16="O",1,0)+IF($D16="O",1,0)</f>
        <v>1</v>
      </c>
      <c r="H16" s="0" t="n">
        <f aca="false">(IF($B16="L",1,0))+IF($C16="L",1,0)+IF($D16="L",1,0)</f>
        <v>1</v>
      </c>
      <c r="I16" s="0" t="n">
        <f aca="false">(IF(B16="V",1,0))</f>
        <v>1</v>
      </c>
      <c r="J16" s="0" t="n">
        <f aca="false">(IF(B16="E",1,0))</f>
        <v>0</v>
      </c>
      <c r="K16" s="0" t="n">
        <f aca="false">(IF(B16="O",1,0))</f>
        <v>0</v>
      </c>
      <c r="L16" s="0" t="n">
        <f aca="false">(IF(B16="L",1,0))</f>
        <v>0</v>
      </c>
      <c r="M16" s="0" t="n">
        <f aca="false">(IF(C16="V",1,0))</f>
        <v>0</v>
      </c>
      <c r="N16" s="0" t="n">
        <f aca="false">(IF(C16="E",1,0))</f>
        <v>0</v>
      </c>
      <c r="O16" s="0" t="n">
        <f aca="false">(IF(C16="O",1,0))</f>
        <v>0</v>
      </c>
      <c r="P16" s="0" t="n">
        <f aca="false">(IF(C16="L",1,0))</f>
        <v>1</v>
      </c>
      <c r="Q16" s="0" t="n">
        <f aca="false">(IF(D16="V",1,0))</f>
        <v>0</v>
      </c>
      <c r="R16" s="0" t="n">
        <f aca="false">(IF(D16="E",1,0))</f>
        <v>0</v>
      </c>
      <c r="S16" s="0" t="n">
        <f aca="false">(IF(D16="O",1,0))</f>
        <v>1</v>
      </c>
      <c r="T16" s="0" t="n">
        <f aca="false">(IF(D16="L",1,0))</f>
        <v>0</v>
      </c>
      <c r="U16" s="0" t="n">
        <f aca="false">MAX(E16-1,0)</f>
        <v>0</v>
      </c>
      <c r="V16" s="0" t="n">
        <f aca="false">MAX(U16-1+F16,0)</f>
        <v>0</v>
      </c>
      <c r="W16" s="0" t="n">
        <f aca="false">MAX(V16-1+G16,0)</f>
        <v>0</v>
      </c>
      <c r="X16" s="0" t="n">
        <f aca="false">MAX(W16-1+H16,0)</f>
        <v>0</v>
      </c>
      <c r="Y16" s="1" t="n">
        <f aca="false">0.5*(E16*I16+F16*J16+G16*K16+H16*L16-1)+(0+$U16*J16+$V16*K16+$W16*L16)</f>
        <v>0</v>
      </c>
      <c r="Z16" s="1" t="n">
        <f aca="false">0.5*(E16*M16+F16*N16+G16*O16+H16*P16-1)+(0+$U16*N16+$V16*O16+$W16*P16)</f>
        <v>0</v>
      </c>
      <c r="AA16" s="1" t="n">
        <f aca="false">0.5*(E16*Q16+F16*R16+G16*S16+H16*T16-1)+(0+$U16*R16+$V16*S16+$W16*T16)</f>
        <v>0</v>
      </c>
      <c r="AB16" s="0" t="n">
        <f aca="false">IF(B16="V",-2,0)+IF(B16="E",-1,0)+IF(B16="O",0,0)+IF(B16="L",1,0)+Y16</f>
        <v>-2</v>
      </c>
      <c r="AC16" s="0" t="n">
        <f aca="false">IF(C16="V",-2,0)+IF(C16="E",-1,0)+IF(C16="O",0,0)+IF(C16="L",1,0)+Z16</f>
        <v>1</v>
      </c>
      <c r="AD16" s="0" t="n">
        <f aca="false">IF(D16="V",-2,0)+IF(D16="E",-1,0)+IF(D16="O",0,0)+IF(D16="L",1,0)+AA16</f>
        <v>0</v>
      </c>
      <c r="AE16" s="1" t="n">
        <f aca="false">IF(B16="V",-2,0)+IF(B16="E",-1,0)+IF(B16="O",0,0)+IF(B16="L",1,0)</f>
        <v>-2</v>
      </c>
      <c r="AF16" s="1" t="n">
        <f aca="false">IF(B16="V",-2,0)+IF(B16="E",-1,0)+IF(B16="O",0,0)+IF(B16="L",1,0)+Y16</f>
        <v>-2</v>
      </c>
      <c r="AG16" s="1" t="n">
        <f aca="false">IF(B16="V",-2,0)+IF(B16="E",-1,0)+IF(B16="O",0,0)+IF(B16="L",1,0)+Y16*2</f>
        <v>-2</v>
      </c>
      <c r="AH16" s="1" t="n">
        <f aca="false">IF(C16="V",-2,0)+IF(C16="E",-1,0)+IF(C16="O",0,0)+IF(C16="L",1,0)</f>
        <v>1</v>
      </c>
      <c r="AI16" s="1" t="n">
        <f aca="false">IF(C16="V",-2,0)+IF(C16="E",-1,0)+IF(C16="O",0,0)+IF(C16="L",1,0)+Z16</f>
        <v>1</v>
      </c>
      <c r="AJ16" s="1" t="n">
        <f aca="false">IF(C16="V",-2,0)+IF(C16="E",-1,0)+IF(C16="O",0,0)+IF(C16="L",1,0)+Z16*2</f>
        <v>1</v>
      </c>
      <c r="AK16" s="1" t="n">
        <f aca="false">IF(D16="V",-2,0)+IF(D16="E",-1,0)+IF(D16="O",0,0)+IF(D16="L",1,0)</f>
        <v>0</v>
      </c>
      <c r="AL16" s="1" t="n">
        <f aca="false">IF(D16="V",-2,0)+IF(D16="E",-1,0)+IF(D16="O",0,0)+IF(D16="L",1,0)+AA16</f>
        <v>0</v>
      </c>
      <c r="AM16" s="1" t="n">
        <f aca="false">IF(D16="V",-2,0)+IF(D16="E",-1,0)+IF(D16="O",0,0)+IF(D16="L",1,0)+AA16*2</f>
        <v>0</v>
      </c>
      <c r="AN16" s="1" t="n">
        <f aca="false">(ABS(IF(AE16&lt;0,AE16*Early,AE16*Late))+ABS(IF(AF16&lt;0,AF16*Early,AF16*Late))+ABS(IF(AG16&lt;0,AG16*Early,AG16*Late)))/3</f>
        <v>6</v>
      </c>
      <c r="AO16" s="1" t="n">
        <f aca="false">(ABS(IF(AH16&lt;0,AH16*Early,AH16*Late))+ABS(IF(AI16&lt;0,AI16*Early,AI16*Late))+ABS(IF(AJ16&lt;0,AJ16*Early,AJ16*Late)))/3</f>
        <v>4</v>
      </c>
      <c r="AP16" s="1" t="n">
        <f aca="false">(ABS(IF(AK16&lt;0,AK16*Early,AK16*Late))+ABS(IF(AL16&lt;0,AL16*Early,AL16*Late))+ABS(IF(AM16&lt;0,AM16*Early,AM16*Late)))/3</f>
        <v>0</v>
      </c>
      <c r="AQ16" s="0" t="n">
        <f aca="false">Y16*Delay+AN16</f>
        <v>6</v>
      </c>
      <c r="AR16" s="0" t="n">
        <f aca="false">Z16*Delay+AO16</f>
        <v>4</v>
      </c>
      <c r="AS16" s="0" t="n">
        <f aca="false">AA16*Delay+AP16</f>
        <v>0</v>
      </c>
      <c r="AT16" s="1" t="n">
        <f aca="false">VLOOKUP(A16,SortA!$A$1:$AT$65,46,FALSE())</f>
        <v>0</v>
      </c>
      <c r="AU16" s="1" t="n">
        <f aca="false">VLOOKUP(A16,SortB!$A$1:$AT$65,46,FALSE())</f>
        <v>0</v>
      </c>
      <c r="AV16" s="1" t="n">
        <f aca="false">VLOOKUP(A16,SortC!$A$1:$AT$65,46,FALSE())</f>
        <v>1</v>
      </c>
      <c r="AW16" s="0" t="n">
        <f aca="false">IF(SUM(AT16:AV16)=3,1,0)</f>
        <v>0</v>
      </c>
      <c r="AX16" s="0" t="str">
        <f aca="false">B16&amp;C16&amp;D16</f>
        <v>VLO</v>
      </c>
      <c r="AY16" s="1" t="n">
        <f aca="false">AQ16+AR16+AS16</f>
        <v>10</v>
      </c>
      <c r="AZ16" s="1" t="str">
        <f aca="false">RIGHT(AX16,2)</f>
        <v>LO</v>
      </c>
      <c r="BA16" s="1" t="str">
        <f aca="false">LEFT(AX16,1)&amp;RIGHT(AX16,1)</f>
        <v>VO</v>
      </c>
      <c r="BB16" s="1" t="str">
        <f aca="false">LEFT(AX16,2)</f>
        <v>VL</v>
      </c>
      <c r="BC16" s="1" t="n">
        <f aca="false">VLOOKUP(AZ16,TwoPlayers!$AG$1:$AH$17,2,FALSE())</f>
        <v>4</v>
      </c>
      <c r="BD16" s="1" t="n">
        <f aca="false">VLOOKUP(BA16,TwoPlayers!$AG$1:$AH$17,2,FALSE())</f>
        <v>6</v>
      </c>
      <c r="BE16" s="1" t="n">
        <f aca="false">VLOOKUP(BB16,TwoPlayers!$AG$1:$AH$17,2,FALSE())</f>
        <v>10</v>
      </c>
      <c r="BF16" s="1" t="n">
        <f aca="false">$AY16-BC16</f>
        <v>6</v>
      </c>
      <c r="BG16" s="1" t="n">
        <f aca="false">$AY16-BD16</f>
        <v>4</v>
      </c>
      <c r="BH16" s="1" t="n">
        <f aca="false">$AY16-BE16</f>
        <v>0</v>
      </c>
      <c r="BI16" s="0" t="str">
        <f aca="false">AX16</f>
        <v>VLO</v>
      </c>
      <c r="BJ16" s="1" t="n">
        <f aca="false">VLOOKUP(A16,SortA!$A$1:$BM$65,65,FALSE())</f>
        <v>0</v>
      </c>
      <c r="BK16" s="1" t="n">
        <f aca="false">VLOOKUP(A16,SortB!$A$1:$BM$65,65,FALSE())</f>
        <v>0</v>
      </c>
      <c r="BL16" s="1" t="n">
        <f aca="false">VLOOKUP(A16,SortC!$A$1:$BM$65,65,FALSE())</f>
        <v>1</v>
      </c>
      <c r="BM16" s="1" t="n">
        <f aca="false">IF(SUM(BJ16:BL16)=3,1,0)</f>
        <v>0</v>
      </c>
    </row>
    <row r="17" customFormat="false" ht="13" hidden="false" customHeight="false" outlineLevel="0" collapsed="false">
      <c r="A17" s="0" t="n">
        <f aca="false">A16+1</f>
        <v>16</v>
      </c>
      <c r="B17" s="0" t="s">
        <v>1</v>
      </c>
      <c r="C17" s="0" t="s">
        <v>4</v>
      </c>
      <c r="D17" s="0" t="s">
        <v>4</v>
      </c>
      <c r="E17" s="0" t="n">
        <f aca="false">(IF($B17="V",1,0))+IF($C17="V",1,0)+IF($D17="V",1,0)</f>
        <v>1</v>
      </c>
      <c r="F17" s="0" t="n">
        <f aca="false">(IF($B17="E",1,0))+IF($C17="E",1,0)+IF($D17="E",1,0)</f>
        <v>0</v>
      </c>
      <c r="G17" s="0" t="n">
        <f aca="false">(IF($B17="O",1,0))+IF($C17="O",1,0)+IF($D17="O",1,0)</f>
        <v>0</v>
      </c>
      <c r="H17" s="0" t="n">
        <f aca="false">(IF($B17="L",1,0))+IF($C17="L",1,0)+IF($D17="L",1,0)</f>
        <v>2</v>
      </c>
      <c r="I17" s="0" t="n">
        <f aca="false">(IF(B17="V",1,0))</f>
        <v>1</v>
      </c>
      <c r="J17" s="0" t="n">
        <f aca="false">(IF(B17="E",1,0))</f>
        <v>0</v>
      </c>
      <c r="K17" s="0" t="n">
        <f aca="false">(IF(B17="O",1,0))</f>
        <v>0</v>
      </c>
      <c r="L17" s="0" t="n">
        <f aca="false">(IF(B17="L",1,0))</f>
        <v>0</v>
      </c>
      <c r="M17" s="0" t="n">
        <f aca="false">(IF(C17="V",1,0))</f>
        <v>0</v>
      </c>
      <c r="N17" s="0" t="n">
        <f aca="false">(IF(C17="E",1,0))</f>
        <v>0</v>
      </c>
      <c r="O17" s="0" t="n">
        <f aca="false">(IF(C17="O",1,0))</f>
        <v>0</v>
      </c>
      <c r="P17" s="0" t="n">
        <f aca="false">(IF(C17="L",1,0))</f>
        <v>1</v>
      </c>
      <c r="Q17" s="0" t="n">
        <f aca="false">(IF(D17="V",1,0))</f>
        <v>0</v>
      </c>
      <c r="R17" s="0" t="n">
        <f aca="false">(IF(D17="E",1,0))</f>
        <v>0</v>
      </c>
      <c r="S17" s="0" t="n">
        <f aca="false">(IF(D17="O",1,0))</f>
        <v>0</v>
      </c>
      <c r="T17" s="0" t="n">
        <f aca="false">(IF(D17="L",1,0))</f>
        <v>1</v>
      </c>
      <c r="U17" s="0" t="n">
        <f aca="false">MAX(E17-1,0)</f>
        <v>0</v>
      </c>
      <c r="V17" s="0" t="n">
        <f aca="false">MAX(U17-1+F17,0)</f>
        <v>0</v>
      </c>
      <c r="W17" s="0" t="n">
        <f aca="false">MAX(V17-1+G17,0)</f>
        <v>0</v>
      </c>
      <c r="X17" s="0" t="n">
        <f aca="false">MAX(W17-1+H17,0)</f>
        <v>1</v>
      </c>
      <c r="Y17" s="1" t="n">
        <f aca="false">0.5*(E17*I17+F17*J17+G17*K17+H17*L17-1)+(0+$U17*J17+$V17*K17+$W17*L17)</f>
        <v>0</v>
      </c>
      <c r="Z17" s="1" t="n">
        <f aca="false">0.5*(E17*M17+F17*N17+G17*O17+H17*P17-1)+(0+$U17*N17+$V17*O17+$W17*P17)</f>
        <v>0.5</v>
      </c>
      <c r="AA17" s="1" t="n">
        <f aca="false">0.5*(E17*Q17+F17*R17+G17*S17+H17*T17-1)+(0+$U17*R17+$V17*S17+$W17*T17)</f>
        <v>0.5</v>
      </c>
      <c r="AB17" s="0" t="n">
        <f aca="false">IF(B17="V",-2,0)+IF(B17="E",-1,0)+IF(B17="O",0,0)+IF(B17="L",1,0)+Y17</f>
        <v>-2</v>
      </c>
      <c r="AC17" s="0" t="n">
        <f aca="false">IF(C17="V",-2,0)+IF(C17="E",-1,0)+IF(C17="O",0,0)+IF(C17="L",1,0)+Z17</f>
        <v>1.5</v>
      </c>
      <c r="AD17" s="0" t="n">
        <f aca="false">IF(D17="V",-2,0)+IF(D17="E",-1,0)+IF(D17="O",0,0)+IF(D17="L",1,0)+AA17</f>
        <v>1.5</v>
      </c>
      <c r="AE17" s="1" t="n">
        <f aca="false">IF(B17="V",-2,0)+IF(B17="E",-1,0)+IF(B17="O",0,0)+IF(B17="L",1,0)</f>
        <v>-2</v>
      </c>
      <c r="AF17" s="1" t="n">
        <f aca="false">IF(B17="V",-2,0)+IF(B17="E",-1,0)+IF(B17="O",0,0)+IF(B17="L",1,0)+Y17</f>
        <v>-2</v>
      </c>
      <c r="AG17" s="1" t="n">
        <f aca="false">IF(B17="V",-2,0)+IF(B17="E",-1,0)+IF(B17="O",0,0)+IF(B17="L",1,0)+Y17*2</f>
        <v>-2</v>
      </c>
      <c r="AH17" s="1" t="n">
        <f aca="false">IF(C17="V",-2,0)+IF(C17="E",-1,0)+IF(C17="O",0,0)+IF(C17="L",1,0)</f>
        <v>1</v>
      </c>
      <c r="AI17" s="1" t="n">
        <f aca="false">IF(C17="V",-2,0)+IF(C17="E",-1,0)+IF(C17="O",0,0)+IF(C17="L",1,0)+Z17</f>
        <v>1.5</v>
      </c>
      <c r="AJ17" s="1" t="n">
        <f aca="false">IF(C17="V",-2,0)+IF(C17="E",-1,0)+IF(C17="O",0,0)+IF(C17="L",1,0)+Z17*2</f>
        <v>2</v>
      </c>
      <c r="AK17" s="1" t="n">
        <f aca="false">IF(D17="V",-2,0)+IF(D17="E",-1,0)+IF(D17="O",0,0)+IF(D17="L",1,0)</f>
        <v>1</v>
      </c>
      <c r="AL17" s="1" t="n">
        <f aca="false">IF(D17="V",-2,0)+IF(D17="E",-1,0)+IF(D17="O",0,0)+IF(D17="L",1,0)+AA17</f>
        <v>1.5</v>
      </c>
      <c r="AM17" s="1" t="n">
        <f aca="false">IF(D17="V",-2,0)+IF(D17="E",-1,0)+IF(D17="O",0,0)+IF(D17="L",1,0)+AA17*2</f>
        <v>2</v>
      </c>
      <c r="AN17" s="1" t="n">
        <f aca="false">(ABS(IF(AE17&lt;0,AE17*Early,AE17*Late))+ABS(IF(AF17&lt;0,AF17*Early,AF17*Late))+ABS(IF(AG17&lt;0,AG17*Early,AG17*Late)))/3</f>
        <v>6</v>
      </c>
      <c r="AO17" s="1" t="n">
        <f aca="false">(ABS(IF(AH17&lt;0,AH17*Early,AH17*Late))+ABS(IF(AI17&lt;0,AI17*Early,AI17*Late))+ABS(IF(AJ17&lt;0,AJ17*Early,AJ17*Late)))/3</f>
        <v>6</v>
      </c>
      <c r="AP17" s="1" t="n">
        <f aca="false">(ABS(IF(AK17&lt;0,AK17*Early,AK17*Late))+ABS(IF(AL17&lt;0,AL17*Early,AL17*Late))+ABS(IF(AM17&lt;0,AM17*Early,AM17*Late)))/3</f>
        <v>6</v>
      </c>
      <c r="AQ17" s="0" t="n">
        <f aca="false">Y17*Delay+AN17</f>
        <v>6</v>
      </c>
      <c r="AR17" s="0" t="n">
        <f aca="false">Z17*Delay+AO17</f>
        <v>6.5</v>
      </c>
      <c r="AS17" s="0" t="n">
        <f aca="false">AA17*Delay+AP17</f>
        <v>6.5</v>
      </c>
      <c r="AT17" s="1" t="n">
        <f aca="false">VLOOKUP(A17,SortA!$A$1:$AT$65,46,FALSE())</f>
        <v>0</v>
      </c>
      <c r="AU17" s="1" t="n">
        <f aca="false">VLOOKUP(A17,SortB!$A$1:$AT$65,46,FALSE())</f>
        <v>0</v>
      </c>
      <c r="AV17" s="1" t="n">
        <f aca="false">VLOOKUP(A17,SortC!$A$1:$AT$65,46,FALSE())</f>
        <v>0</v>
      </c>
      <c r="AW17" s="0" t="n">
        <f aca="false">IF(SUM(AT17:AV17)=3,1,0)</f>
        <v>0</v>
      </c>
      <c r="AX17" s="0" t="str">
        <f aca="false">B17&amp;C17&amp;D17</f>
        <v>VLL</v>
      </c>
      <c r="AY17" s="1" t="n">
        <f aca="false">AQ17+AR17+AS17</f>
        <v>19</v>
      </c>
      <c r="AZ17" s="1" t="str">
        <f aca="false">RIGHT(AX17,2)</f>
        <v>LL</v>
      </c>
      <c r="BA17" s="1" t="str">
        <f aca="false">LEFT(AX17,1)&amp;RIGHT(AX17,1)</f>
        <v>VL</v>
      </c>
      <c r="BB17" s="1" t="str">
        <f aca="false">LEFT(AX17,2)</f>
        <v>VL</v>
      </c>
      <c r="BC17" s="1" t="n">
        <f aca="false">VLOOKUP(AZ17,TwoPlayers!$AG$1:$AH$17,2,FALSE())</f>
        <v>13</v>
      </c>
      <c r="BD17" s="1" t="n">
        <f aca="false">VLOOKUP(BA17,TwoPlayers!$AG$1:$AH$17,2,FALSE())</f>
        <v>10</v>
      </c>
      <c r="BE17" s="1" t="n">
        <f aca="false">VLOOKUP(BB17,TwoPlayers!$AG$1:$AH$17,2,FALSE())</f>
        <v>10</v>
      </c>
      <c r="BF17" s="1" t="n">
        <f aca="false">$AY17-BC17</f>
        <v>6</v>
      </c>
      <c r="BG17" s="1" t="n">
        <f aca="false">$AY17-BD17</f>
        <v>9</v>
      </c>
      <c r="BH17" s="1" t="n">
        <f aca="false">$AY17-BE17</f>
        <v>9</v>
      </c>
      <c r="BI17" s="0" t="str">
        <f aca="false">AX17</f>
        <v>VLL</v>
      </c>
      <c r="BJ17" s="1" t="n">
        <f aca="false">VLOOKUP(A17,SortA!$A$1:$BM$65,65,FALSE())</f>
        <v>0</v>
      </c>
      <c r="BK17" s="1" t="n">
        <f aca="false">VLOOKUP(A17,SortB!$A$1:$BM$65,65,FALSE())</f>
        <v>0</v>
      </c>
      <c r="BL17" s="1" t="n">
        <f aca="false">VLOOKUP(A17,SortC!$A$1:$BM$65,65,FALSE())</f>
        <v>0</v>
      </c>
      <c r="BM17" s="1" t="n">
        <f aca="false">IF(SUM(BJ17:BL17)=3,1,0)</f>
        <v>0</v>
      </c>
    </row>
    <row r="18" customFormat="false" ht="13" hidden="false" customHeight="false" outlineLevel="0" collapsed="false">
      <c r="A18" s="0" t="n">
        <f aca="false">A17+1</f>
        <v>17</v>
      </c>
      <c r="B18" s="0" t="s">
        <v>2</v>
      </c>
      <c r="C18" s="0" t="s">
        <v>1</v>
      </c>
      <c r="D18" s="0" t="s">
        <v>1</v>
      </c>
      <c r="E18" s="0" t="n">
        <f aca="false">(IF($B18="V",1,0))+IF($C18="V",1,0)+IF($D18="V",1,0)</f>
        <v>2</v>
      </c>
      <c r="F18" s="0" t="n">
        <f aca="false">(IF($B18="E",1,0))+IF($C18="E",1,0)+IF($D18="E",1,0)</f>
        <v>1</v>
      </c>
      <c r="G18" s="0" t="n">
        <f aca="false">(IF($B18="O",1,0))+IF($C18="O",1,0)+IF($D18="O",1,0)</f>
        <v>0</v>
      </c>
      <c r="H18" s="0" t="n">
        <f aca="false">(IF($B18="L",1,0))+IF($C18="L",1,0)+IF($D18="L",1,0)</f>
        <v>0</v>
      </c>
      <c r="I18" s="0" t="n">
        <f aca="false">(IF(B18="V",1,0))</f>
        <v>0</v>
      </c>
      <c r="J18" s="0" t="n">
        <f aca="false">(IF(B18="E",1,0))</f>
        <v>1</v>
      </c>
      <c r="K18" s="0" t="n">
        <f aca="false">(IF(B18="O",1,0))</f>
        <v>0</v>
      </c>
      <c r="L18" s="0" t="n">
        <f aca="false">(IF(B18="L",1,0))</f>
        <v>0</v>
      </c>
      <c r="M18" s="0" t="n">
        <f aca="false">(IF(C18="V",1,0))</f>
        <v>1</v>
      </c>
      <c r="N18" s="0" t="n">
        <f aca="false">(IF(C18="E",1,0))</f>
        <v>0</v>
      </c>
      <c r="O18" s="0" t="n">
        <f aca="false">(IF(C18="O",1,0))</f>
        <v>0</v>
      </c>
      <c r="P18" s="0" t="n">
        <f aca="false">(IF(C18="L",1,0))</f>
        <v>0</v>
      </c>
      <c r="Q18" s="0" t="n">
        <f aca="false">(IF(D18="V",1,0))</f>
        <v>1</v>
      </c>
      <c r="R18" s="0" t="n">
        <f aca="false">(IF(D18="E",1,0))</f>
        <v>0</v>
      </c>
      <c r="S18" s="0" t="n">
        <f aca="false">(IF(D18="O",1,0))</f>
        <v>0</v>
      </c>
      <c r="T18" s="0" t="n">
        <f aca="false">(IF(D18="L",1,0))</f>
        <v>0</v>
      </c>
      <c r="U18" s="0" t="n">
        <f aca="false">MAX(E18-1,0)</f>
        <v>1</v>
      </c>
      <c r="V18" s="0" t="n">
        <f aca="false">MAX(U18-1+F18,0)</f>
        <v>1</v>
      </c>
      <c r="W18" s="0" t="n">
        <f aca="false">MAX(V18-1+G18,0)</f>
        <v>0</v>
      </c>
      <c r="X18" s="0" t="n">
        <f aca="false">MAX(W18-1+H18,0)</f>
        <v>0</v>
      </c>
      <c r="Y18" s="1" t="n">
        <f aca="false">0.5*(E18*I18+F18*J18+G18*K18+H18*L18-1)+(0+$U18*J18+$V18*K18+$W18*L18)</f>
        <v>1</v>
      </c>
      <c r="Z18" s="1" t="n">
        <f aca="false">0.5*(E18*M18+F18*N18+G18*O18+H18*P18-1)+(0+$U18*N18+$V18*O18+$W18*P18)</f>
        <v>0.5</v>
      </c>
      <c r="AA18" s="1" t="n">
        <f aca="false">0.5*(E18*Q18+F18*R18+G18*S18+H18*T18-1)+(0+$U18*R18+$V18*S18+$W18*T18)</f>
        <v>0.5</v>
      </c>
      <c r="AB18" s="0" t="n">
        <f aca="false">IF(B18="V",-2,0)+IF(B18="E",-1,0)+IF(B18="O",0,0)+IF(B18="L",1,0)+Y18</f>
        <v>0</v>
      </c>
      <c r="AC18" s="0" t="n">
        <f aca="false">IF(C18="V",-2,0)+IF(C18="E",-1,0)+IF(C18="O",0,0)+IF(C18="L",1,0)+Z18</f>
        <v>-1.5</v>
      </c>
      <c r="AD18" s="0" t="n">
        <f aca="false">IF(D18="V",-2,0)+IF(D18="E",-1,0)+IF(D18="O",0,0)+IF(D18="L",1,0)+AA18</f>
        <v>-1.5</v>
      </c>
      <c r="AE18" s="1" t="n">
        <f aca="false">IF(B18="V",-2,0)+IF(B18="E",-1,0)+IF(B18="O",0,0)+IF(B18="L",1,0)</f>
        <v>-1</v>
      </c>
      <c r="AF18" s="1" t="n">
        <f aca="false">IF(B18="V",-2,0)+IF(B18="E",-1,0)+IF(B18="O",0,0)+IF(B18="L",1,0)+Y18</f>
        <v>0</v>
      </c>
      <c r="AG18" s="1" t="n">
        <f aca="false">IF(B18="V",-2,0)+IF(B18="E",-1,0)+IF(B18="O",0,0)+IF(B18="L",1,0)+Y18*2</f>
        <v>1</v>
      </c>
      <c r="AH18" s="1" t="n">
        <f aca="false">IF(C18="V",-2,0)+IF(C18="E",-1,0)+IF(C18="O",0,0)+IF(C18="L",1,0)</f>
        <v>-2</v>
      </c>
      <c r="AI18" s="1" t="n">
        <f aca="false">IF(C18="V",-2,0)+IF(C18="E",-1,0)+IF(C18="O",0,0)+IF(C18="L",1,0)+Z18</f>
        <v>-1.5</v>
      </c>
      <c r="AJ18" s="1" t="n">
        <f aca="false">IF(C18="V",-2,0)+IF(C18="E",-1,0)+IF(C18="O",0,0)+IF(C18="L",1,0)+Z18*2</f>
        <v>-1</v>
      </c>
      <c r="AK18" s="1" t="n">
        <f aca="false">IF(D18="V",-2,0)+IF(D18="E",-1,0)+IF(D18="O",0,0)+IF(D18="L",1,0)</f>
        <v>-2</v>
      </c>
      <c r="AL18" s="1" t="n">
        <f aca="false">IF(D18="V",-2,0)+IF(D18="E",-1,0)+IF(D18="O",0,0)+IF(D18="L",1,0)+AA18</f>
        <v>-1.5</v>
      </c>
      <c r="AM18" s="1" t="n">
        <f aca="false">IF(D18="V",-2,0)+IF(D18="E",-1,0)+IF(D18="O",0,0)+IF(D18="L",1,0)+AA18*2</f>
        <v>-1</v>
      </c>
      <c r="AN18" s="1" t="n">
        <f aca="false">(ABS(IF(AE18&lt;0,AE18*Early,AE18*Late))+ABS(IF(AF18&lt;0,AF18*Early,AF18*Late))+ABS(IF(AG18&lt;0,AG18*Early,AG18*Late)))/3</f>
        <v>2.33333333333333</v>
      </c>
      <c r="AO18" s="1" t="n">
        <f aca="false">(ABS(IF(AH18&lt;0,AH18*Early,AH18*Late))+ABS(IF(AI18&lt;0,AI18*Early,AI18*Late))+ABS(IF(AJ18&lt;0,AJ18*Early,AJ18*Late)))/3</f>
        <v>4.5</v>
      </c>
      <c r="AP18" s="1" t="n">
        <f aca="false">(ABS(IF(AK18&lt;0,AK18*Early,AK18*Late))+ABS(IF(AL18&lt;0,AL18*Early,AL18*Late))+ABS(IF(AM18&lt;0,AM18*Early,AM18*Late)))/3</f>
        <v>4.5</v>
      </c>
      <c r="AQ18" s="0" t="n">
        <f aca="false">Y18*Delay+AN18</f>
        <v>3.33333333333333</v>
      </c>
      <c r="AR18" s="0" t="n">
        <f aca="false">Z18*Delay+AO18</f>
        <v>5</v>
      </c>
      <c r="AS18" s="0" t="n">
        <f aca="false">AA18*Delay+AP18</f>
        <v>5</v>
      </c>
      <c r="AT18" s="1" t="n">
        <f aca="false">VLOOKUP(A18,SortA!$A$1:$AT$65,46,FALSE())</f>
        <v>0</v>
      </c>
      <c r="AU18" s="1" t="n">
        <f aca="false">VLOOKUP(A18,SortB!$A$1:$AT$65,46,FALSE())</f>
        <v>0</v>
      </c>
      <c r="AV18" s="1" t="n">
        <f aca="false">VLOOKUP(A18,SortC!$A$1:$AT$65,46,FALSE())</f>
        <v>0</v>
      </c>
      <c r="AW18" s="0" t="n">
        <f aca="false">IF(SUM(AT18:AV18)=3,1,0)</f>
        <v>0</v>
      </c>
      <c r="AX18" s="0" t="str">
        <f aca="false">B18&amp;C18&amp;D18</f>
        <v>EVV</v>
      </c>
      <c r="AY18" s="1" t="n">
        <f aca="false">AQ18+AR18+AS18</f>
        <v>13.3333333333333</v>
      </c>
      <c r="AZ18" s="1" t="str">
        <f aca="false">RIGHT(AX18,2)</f>
        <v>VV</v>
      </c>
      <c r="BA18" s="1" t="str">
        <f aca="false">LEFT(AX18,1)&amp;RIGHT(AX18,1)</f>
        <v>EV</v>
      </c>
      <c r="BB18" s="1" t="str">
        <f aca="false">LEFT(AX18,2)</f>
        <v>EV</v>
      </c>
      <c r="BC18" s="1" t="n">
        <f aca="false">VLOOKUP(AZ18,TwoPlayers!$AG$1:$AH$17,2,FALSE())</f>
        <v>10</v>
      </c>
      <c r="BD18" s="1" t="n">
        <f aca="false">VLOOKUP(BA18,TwoPlayers!$AG$1:$AH$17,2,FALSE())</f>
        <v>9</v>
      </c>
      <c r="BE18" s="1" t="n">
        <f aca="false">VLOOKUP(BB18,TwoPlayers!$AG$1:$AH$17,2,FALSE())</f>
        <v>9</v>
      </c>
      <c r="BF18" s="1" t="n">
        <f aca="false">$AY18-BC18</f>
        <v>3.33333333333333</v>
      </c>
      <c r="BG18" s="1" t="n">
        <f aca="false">$AY18-BD18</f>
        <v>4.33333333333333</v>
      </c>
      <c r="BH18" s="1" t="n">
        <f aca="false">$AY18-BE18</f>
        <v>4.33333333333333</v>
      </c>
      <c r="BI18" s="0" t="str">
        <f aca="false">AX18</f>
        <v>EVV</v>
      </c>
      <c r="BJ18" s="1" t="n">
        <f aca="false">VLOOKUP(A18,SortA!$A$1:$BM$65,65,FALSE())</f>
        <v>0</v>
      </c>
      <c r="BK18" s="1" t="n">
        <f aca="false">VLOOKUP(A18,SortB!$A$1:$BM$65,65,FALSE())</f>
        <v>0</v>
      </c>
      <c r="BL18" s="1" t="n">
        <f aca="false">VLOOKUP(A18,SortC!$A$1:$BM$65,65,FALSE())</f>
        <v>0</v>
      </c>
      <c r="BM18" s="1" t="n">
        <f aca="false">IF(SUM(BJ18:BL18)=3,1,0)</f>
        <v>0</v>
      </c>
    </row>
    <row r="19" customFormat="false" ht="13" hidden="false" customHeight="false" outlineLevel="0" collapsed="false">
      <c r="A19" s="0" t="n">
        <f aca="false">A18+1</f>
        <v>18</v>
      </c>
      <c r="B19" s="0" t="s">
        <v>2</v>
      </c>
      <c r="C19" s="0" t="s">
        <v>1</v>
      </c>
      <c r="D19" s="0" t="s">
        <v>2</v>
      </c>
      <c r="E19" s="0" t="n">
        <f aca="false">(IF($B19="V",1,0))+IF($C19="V",1,0)+IF($D19="V",1,0)</f>
        <v>1</v>
      </c>
      <c r="F19" s="0" t="n">
        <f aca="false">(IF($B19="E",1,0))+IF($C19="E",1,0)+IF($D19="E",1,0)</f>
        <v>2</v>
      </c>
      <c r="G19" s="0" t="n">
        <f aca="false">(IF($B19="O",1,0))+IF($C19="O",1,0)+IF($D19="O",1,0)</f>
        <v>0</v>
      </c>
      <c r="H19" s="0" t="n">
        <f aca="false">(IF($B19="L",1,0))+IF($C19="L",1,0)+IF($D19="L",1,0)</f>
        <v>0</v>
      </c>
      <c r="I19" s="0" t="n">
        <f aca="false">(IF(B19="V",1,0))</f>
        <v>0</v>
      </c>
      <c r="J19" s="0" t="n">
        <f aca="false">(IF(B19="E",1,0))</f>
        <v>1</v>
      </c>
      <c r="K19" s="0" t="n">
        <f aca="false">(IF(B19="O",1,0))</f>
        <v>0</v>
      </c>
      <c r="L19" s="0" t="n">
        <f aca="false">(IF(B19="L",1,0))</f>
        <v>0</v>
      </c>
      <c r="M19" s="0" t="n">
        <f aca="false">(IF(C19="V",1,0))</f>
        <v>1</v>
      </c>
      <c r="N19" s="0" t="n">
        <f aca="false">(IF(C19="E",1,0))</f>
        <v>0</v>
      </c>
      <c r="O19" s="0" t="n">
        <f aca="false">(IF(C19="O",1,0))</f>
        <v>0</v>
      </c>
      <c r="P19" s="0" t="n">
        <f aca="false">(IF(C19="L",1,0))</f>
        <v>0</v>
      </c>
      <c r="Q19" s="0" t="n">
        <f aca="false">(IF(D19="V",1,0))</f>
        <v>0</v>
      </c>
      <c r="R19" s="0" t="n">
        <f aca="false">(IF(D19="E",1,0))</f>
        <v>1</v>
      </c>
      <c r="S19" s="0" t="n">
        <f aca="false">(IF(D19="O",1,0))</f>
        <v>0</v>
      </c>
      <c r="T19" s="0" t="n">
        <f aca="false">(IF(D19="L",1,0))</f>
        <v>0</v>
      </c>
      <c r="U19" s="0" t="n">
        <f aca="false">MAX(E19-1,0)</f>
        <v>0</v>
      </c>
      <c r="V19" s="0" t="n">
        <f aca="false">MAX(U19-1+F19,0)</f>
        <v>1</v>
      </c>
      <c r="W19" s="0" t="n">
        <f aca="false">MAX(V19-1+G19,0)</f>
        <v>0</v>
      </c>
      <c r="X19" s="0" t="n">
        <f aca="false">MAX(W19-1+H19,0)</f>
        <v>0</v>
      </c>
      <c r="Y19" s="1" t="n">
        <f aca="false">0.5*(E19*I19+F19*J19+G19*K19+H19*L19-1)+(0+$U19*J19+$V19*K19+$W19*L19)</f>
        <v>0.5</v>
      </c>
      <c r="Z19" s="1" t="n">
        <f aca="false">0.5*(E19*M19+F19*N19+G19*O19+H19*P19-1)+(0+$U19*N19+$V19*O19+$W19*P19)</f>
        <v>0</v>
      </c>
      <c r="AA19" s="1" t="n">
        <f aca="false">0.5*(E19*Q19+F19*R19+G19*S19+H19*T19-1)+(0+$U19*R19+$V19*S19+$W19*T19)</f>
        <v>0.5</v>
      </c>
      <c r="AB19" s="0" t="n">
        <f aca="false">IF(B19="V",-2,0)+IF(B19="E",-1,0)+IF(B19="O",0,0)+IF(B19="L",1,0)+Y19</f>
        <v>-0.5</v>
      </c>
      <c r="AC19" s="0" t="n">
        <f aca="false">IF(C19="V",-2,0)+IF(C19="E",-1,0)+IF(C19="O",0,0)+IF(C19="L",1,0)+Z19</f>
        <v>-2</v>
      </c>
      <c r="AD19" s="0" t="n">
        <f aca="false">IF(D19="V",-2,0)+IF(D19="E",-1,0)+IF(D19="O",0,0)+IF(D19="L",1,0)+AA19</f>
        <v>-0.5</v>
      </c>
      <c r="AE19" s="1" t="n">
        <f aca="false">IF(B19="V",-2,0)+IF(B19="E",-1,0)+IF(B19="O",0,0)+IF(B19="L",1,0)</f>
        <v>-1</v>
      </c>
      <c r="AF19" s="1" t="n">
        <f aca="false">IF(B19="V",-2,0)+IF(B19="E",-1,0)+IF(B19="O",0,0)+IF(B19="L",1,0)+Y19</f>
        <v>-0.5</v>
      </c>
      <c r="AG19" s="1" t="n">
        <f aca="false">IF(B19="V",-2,0)+IF(B19="E",-1,0)+IF(B19="O",0,0)+IF(B19="L",1,0)+Y19*2</f>
        <v>0</v>
      </c>
      <c r="AH19" s="1" t="n">
        <f aca="false">IF(C19="V",-2,0)+IF(C19="E",-1,0)+IF(C19="O",0,0)+IF(C19="L",1,0)</f>
        <v>-2</v>
      </c>
      <c r="AI19" s="1" t="n">
        <f aca="false">IF(C19="V",-2,0)+IF(C19="E",-1,0)+IF(C19="O",0,0)+IF(C19="L",1,0)+Z19</f>
        <v>-2</v>
      </c>
      <c r="AJ19" s="1" t="n">
        <f aca="false">IF(C19="V",-2,0)+IF(C19="E",-1,0)+IF(C19="O",0,0)+IF(C19="L",1,0)+Z19*2</f>
        <v>-2</v>
      </c>
      <c r="AK19" s="1" t="n">
        <f aca="false">IF(D19="V",-2,0)+IF(D19="E",-1,0)+IF(D19="O",0,0)+IF(D19="L",1,0)</f>
        <v>-1</v>
      </c>
      <c r="AL19" s="1" t="n">
        <f aca="false">IF(D19="V",-2,0)+IF(D19="E",-1,0)+IF(D19="O",0,0)+IF(D19="L",1,0)+AA19</f>
        <v>-0.5</v>
      </c>
      <c r="AM19" s="1" t="n">
        <f aca="false">IF(D19="V",-2,0)+IF(D19="E",-1,0)+IF(D19="O",0,0)+IF(D19="L",1,0)+AA19*2</f>
        <v>0</v>
      </c>
      <c r="AN19" s="1" t="n">
        <f aca="false">(ABS(IF(AE19&lt;0,AE19*Early,AE19*Late))+ABS(IF(AF19&lt;0,AF19*Early,AF19*Late))+ABS(IF(AG19&lt;0,AG19*Early,AG19*Late)))/3</f>
        <v>1.5</v>
      </c>
      <c r="AO19" s="1" t="n">
        <f aca="false">(ABS(IF(AH19&lt;0,AH19*Early,AH19*Late))+ABS(IF(AI19&lt;0,AI19*Early,AI19*Late))+ABS(IF(AJ19&lt;0,AJ19*Early,AJ19*Late)))/3</f>
        <v>6</v>
      </c>
      <c r="AP19" s="1" t="n">
        <f aca="false">(ABS(IF(AK19&lt;0,AK19*Early,AK19*Late))+ABS(IF(AL19&lt;0,AL19*Early,AL19*Late))+ABS(IF(AM19&lt;0,AM19*Early,AM19*Late)))/3</f>
        <v>1.5</v>
      </c>
      <c r="AQ19" s="0" t="n">
        <f aca="false">Y19*Delay+AN19</f>
        <v>2</v>
      </c>
      <c r="AR19" s="0" t="n">
        <f aca="false">Z19*Delay+AO19</f>
        <v>6</v>
      </c>
      <c r="AS19" s="0" t="n">
        <f aca="false">AA19*Delay+AP19</f>
        <v>2</v>
      </c>
      <c r="AT19" s="1" t="n">
        <f aca="false">VLOOKUP(A19,SortA!$A$1:$AT$65,46,FALSE())</f>
        <v>0</v>
      </c>
      <c r="AU19" s="1" t="n">
        <f aca="false">VLOOKUP(A19,SortB!$A$1:$AT$65,46,FALSE())</f>
        <v>0</v>
      </c>
      <c r="AV19" s="1" t="n">
        <f aca="false">VLOOKUP(A19,SortC!$A$1:$AT$65,46,FALSE())</f>
        <v>0</v>
      </c>
      <c r="AW19" s="0" t="n">
        <f aca="false">IF(SUM(AT19:AV19)=3,1,0)</f>
        <v>0</v>
      </c>
      <c r="AX19" s="0" t="str">
        <f aca="false">B19&amp;C19&amp;D19</f>
        <v>EVE</v>
      </c>
      <c r="AY19" s="1" t="n">
        <f aca="false">AQ19+AR19+AS19</f>
        <v>10</v>
      </c>
      <c r="AZ19" s="1" t="str">
        <f aca="false">RIGHT(AX19,2)</f>
        <v>VE</v>
      </c>
      <c r="BA19" s="1" t="str">
        <f aca="false">LEFT(AX19,1)&amp;RIGHT(AX19,1)</f>
        <v>EE</v>
      </c>
      <c r="BB19" s="1" t="str">
        <f aca="false">LEFT(AX19,2)</f>
        <v>EV</v>
      </c>
      <c r="BC19" s="1" t="n">
        <f aca="false">VLOOKUP(AZ19,TwoPlayers!$AG$1:$AH$17,2,FALSE())</f>
        <v>9</v>
      </c>
      <c r="BD19" s="1" t="n">
        <f aca="false">VLOOKUP(BA19,TwoPlayers!$AG$1:$AH$17,2,FALSE())</f>
        <v>4</v>
      </c>
      <c r="BE19" s="1" t="n">
        <f aca="false">VLOOKUP(BB19,TwoPlayers!$AG$1:$AH$17,2,FALSE())</f>
        <v>9</v>
      </c>
      <c r="BF19" s="1" t="n">
        <f aca="false">$AY19-BC19</f>
        <v>1</v>
      </c>
      <c r="BG19" s="1" t="n">
        <f aca="false">$AY19-BD19</f>
        <v>6</v>
      </c>
      <c r="BH19" s="1" t="n">
        <f aca="false">$AY19-BE19</f>
        <v>1</v>
      </c>
      <c r="BI19" s="0" t="str">
        <f aca="false">AX19</f>
        <v>EVE</v>
      </c>
      <c r="BJ19" s="1" t="n">
        <f aca="false">VLOOKUP(A19,SortA!$A$1:$BM$65,65,FALSE())</f>
        <v>0</v>
      </c>
      <c r="BK19" s="1" t="n">
        <f aca="false">VLOOKUP(A19,SortB!$A$1:$BM$65,65,FALSE())</f>
        <v>0</v>
      </c>
      <c r="BL19" s="1" t="n">
        <f aca="false">VLOOKUP(A19,SortC!$A$1:$BM$65,65,FALSE())</f>
        <v>0</v>
      </c>
      <c r="BM19" s="1" t="n">
        <f aca="false">IF(SUM(BJ19:BL19)=3,1,0)</f>
        <v>0</v>
      </c>
    </row>
    <row r="20" customFormat="false" ht="13" hidden="false" customHeight="false" outlineLevel="0" collapsed="false">
      <c r="A20" s="0" t="n">
        <f aca="false">A19+1</f>
        <v>19</v>
      </c>
      <c r="B20" s="0" t="s">
        <v>2</v>
      </c>
      <c r="C20" s="0" t="s">
        <v>1</v>
      </c>
      <c r="D20" s="0" t="s">
        <v>3</v>
      </c>
      <c r="E20" s="0" t="n">
        <f aca="false">(IF($B20="V",1,0))+IF($C20="V",1,0)+IF($D20="V",1,0)</f>
        <v>1</v>
      </c>
      <c r="F20" s="0" t="n">
        <f aca="false">(IF($B20="E",1,0))+IF($C20="E",1,0)+IF($D20="E",1,0)</f>
        <v>1</v>
      </c>
      <c r="G20" s="0" t="n">
        <f aca="false">(IF($B20="O",1,0))+IF($C20="O",1,0)+IF($D20="O",1,0)</f>
        <v>1</v>
      </c>
      <c r="H20" s="0" t="n">
        <f aca="false">(IF($B20="L",1,0))+IF($C20="L",1,0)+IF($D20="L",1,0)</f>
        <v>0</v>
      </c>
      <c r="I20" s="0" t="n">
        <f aca="false">(IF(B20="V",1,0))</f>
        <v>0</v>
      </c>
      <c r="J20" s="0" t="n">
        <f aca="false">(IF(B20="E",1,0))</f>
        <v>1</v>
      </c>
      <c r="K20" s="0" t="n">
        <f aca="false">(IF(B20="O",1,0))</f>
        <v>0</v>
      </c>
      <c r="L20" s="0" t="n">
        <f aca="false">(IF(B20="L",1,0))</f>
        <v>0</v>
      </c>
      <c r="M20" s="0" t="n">
        <f aca="false">(IF(C20="V",1,0))</f>
        <v>1</v>
      </c>
      <c r="N20" s="0" t="n">
        <f aca="false">(IF(C20="E",1,0))</f>
        <v>0</v>
      </c>
      <c r="O20" s="0" t="n">
        <f aca="false">(IF(C20="O",1,0))</f>
        <v>0</v>
      </c>
      <c r="P20" s="0" t="n">
        <f aca="false">(IF(C20="L",1,0))</f>
        <v>0</v>
      </c>
      <c r="Q20" s="0" t="n">
        <f aca="false">(IF(D20="V",1,0))</f>
        <v>0</v>
      </c>
      <c r="R20" s="0" t="n">
        <f aca="false">(IF(D20="E",1,0))</f>
        <v>0</v>
      </c>
      <c r="S20" s="0" t="n">
        <f aca="false">(IF(D20="O",1,0))</f>
        <v>1</v>
      </c>
      <c r="T20" s="0" t="n">
        <f aca="false">(IF(D20="L",1,0))</f>
        <v>0</v>
      </c>
      <c r="U20" s="0" t="n">
        <f aca="false">MAX(E20-1,0)</f>
        <v>0</v>
      </c>
      <c r="V20" s="0" t="n">
        <f aca="false">MAX(U20-1+F20,0)</f>
        <v>0</v>
      </c>
      <c r="W20" s="0" t="n">
        <f aca="false">MAX(V20-1+G20,0)</f>
        <v>0</v>
      </c>
      <c r="X20" s="0" t="n">
        <f aca="false">MAX(W20-1+H20,0)</f>
        <v>0</v>
      </c>
      <c r="Y20" s="1" t="n">
        <f aca="false">0.5*(E20*I20+F20*J20+G20*K20+H20*L20-1)+(0+$U20*J20+$V20*K20+$W20*L20)</f>
        <v>0</v>
      </c>
      <c r="Z20" s="1" t="n">
        <f aca="false">0.5*(E20*M20+F20*N20+G20*O20+H20*P20-1)+(0+$U20*N20+$V20*O20+$W20*P20)</f>
        <v>0</v>
      </c>
      <c r="AA20" s="1" t="n">
        <f aca="false">0.5*(E20*Q20+F20*R20+G20*S20+H20*T20-1)+(0+$U20*R20+$V20*S20+$W20*T20)</f>
        <v>0</v>
      </c>
      <c r="AB20" s="0" t="n">
        <f aca="false">IF(B20="V",-2,0)+IF(B20="E",-1,0)+IF(B20="O",0,0)+IF(B20="L",1,0)+Y20</f>
        <v>-1</v>
      </c>
      <c r="AC20" s="0" t="n">
        <f aca="false">IF(C20="V",-2,0)+IF(C20="E",-1,0)+IF(C20="O",0,0)+IF(C20="L",1,0)+Z20</f>
        <v>-2</v>
      </c>
      <c r="AD20" s="0" t="n">
        <f aca="false">IF(D20="V",-2,0)+IF(D20="E",-1,0)+IF(D20="O",0,0)+IF(D20="L",1,0)+AA20</f>
        <v>0</v>
      </c>
      <c r="AE20" s="1" t="n">
        <f aca="false">IF(B20="V",-2,0)+IF(B20="E",-1,0)+IF(B20="O",0,0)+IF(B20="L",1,0)</f>
        <v>-1</v>
      </c>
      <c r="AF20" s="1" t="n">
        <f aca="false">IF(B20="V",-2,0)+IF(B20="E",-1,0)+IF(B20="O",0,0)+IF(B20="L",1,0)+Y20</f>
        <v>-1</v>
      </c>
      <c r="AG20" s="1" t="n">
        <f aca="false">IF(B20="V",-2,0)+IF(B20="E",-1,0)+IF(B20="O",0,0)+IF(B20="L",1,0)+Y20*2</f>
        <v>-1</v>
      </c>
      <c r="AH20" s="1" t="n">
        <f aca="false">IF(C20="V",-2,0)+IF(C20="E",-1,0)+IF(C20="O",0,0)+IF(C20="L",1,0)</f>
        <v>-2</v>
      </c>
      <c r="AI20" s="1" t="n">
        <f aca="false">IF(C20="V",-2,0)+IF(C20="E",-1,0)+IF(C20="O",0,0)+IF(C20="L",1,0)+Z20</f>
        <v>-2</v>
      </c>
      <c r="AJ20" s="1" t="n">
        <f aca="false">IF(C20="V",-2,0)+IF(C20="E",-1,0)+IF(C20="O",0,0)+IF(C20="L",1,0)+Z20*2</f>
        <v>-2</v>
      </c>
      <c r="AK20" s="1" t="n">
        <f aca="false">IF(D20="V",-2,0)+IF(D20="E",-1,0)+IF(D20="O",0,0)+IF(D20="L",1,0)</f>
        <v>0</v>
      </c>
      <c r="AL20" s="1" t="n">
        <f aca="false">IF(D20="V",-2,0)+IF(D20="E",-1,0)+IF(D20="O",0,0)+IF(D20="L",1,0)+AA20</f>
        <v>0</v>
      </c>
      <c r="AM20" s="1" t="n">
        <f aca="false">IF(D20="V",-2,0)+IF(D20="E",-1,0)+IF(D20="O",0,0)+IF(D20="L",1,0)+AA20*2</f>
        <v>0</v>
      </c>
      <c r="AN20" s="1" t="n">
        <f aca="false">(ABS(IF(AE20&lt;0,AE20*Early,AE20*Late))+ABS(IF(AF20&lt;0,AF20*Early,AF20*Late))+ABS(IF(AG20&lt;0,AG20*Early,AG20*Late)))/3</f>
        <v>3</v>
      </c>
      <c r="AO20" s="1" t="n">
        <f aca="false">(ABS(IF(AH20&lt;0,AH20*Early,AH20*Late))+ABS(IF(AI20&lt;0,AI20*Early,AI20*Late))+ABS(IF(AJ20&lt;0,AJ20*Early,AJ20*Late)))/3</f>
        <v>6</v>
      </c>
      <c r="AP20" s="1" t="n">
        <f aca="false">(ABS(IF(AK20&lt;0,AK20*Early,AK20*Late))+ABS(IF(AL20&lt;0,AL20*Early,AL20*Late))+ABS(IF(AM20&lt;0,AM20*Early,AM20*Late)))/3</f>
        <v>0</v>
      </c>
      <c r="AQ20" s="0" t="n">
        <f aca="false">Y20*Delay+AN20</f>
        <v>3</v>
      </c>
      <c r="AR20" s="0" t="n">
        <f aca="false">Z20*Delay+AO20</f>
        <v>6</v>
      </c>
      <c r="AS20" s="0" t="n">
        <f aca="false">AA20*Delay+AP20</f>
        <v>0</v>
      </c>
      <c r="AT20" s="1" t="n">
        <f aca="false">VLOOKUP(A20,SortA!$A$1:$AT$65,46,FALSE())</f>
        <v>0</v>
      </c>
      <c r="AU20" s="1" t="n">
        <f aca="false">VLOOKUP(A20,SortB!$A$1:$AT$65,46,FALSE())</f>
        <v>0</v>
      </c>
      <c r="AV20" s="1" t="n">
        <f aca="false">VLOOKUP(A20,SortC!$A$1:$AT$65,46,FALSE())</f>
        <v>1</v>
      </c>
      <c r="AW20" s="0" t="n">
        <f aca="false">IF(SUM(AT20:AV20)=3,1,0)</f>
        <v>0</v>
      </c>
      <c r="AX20" s="0" t="str">
        <f aca="false">B20&amp;C20&amp;D20</f>
        <v>EVO</v>
      </c>
      <c r="AY20" s="1" t="n">
        <f aca="false">AQ20+AR20+AS20</f>
        <v>9</v>
      </c>
      <c r="AZ20" s="1" t="str">
        <f aca="false">RIGHT(AX20,2)</f>
        <v>VO</v>
      </c>
      <c r="BA20" s="1" t="str">
        <f aca="false">LEFT(AX20,1)&amp;RIGHT(AX20,1)</f>
        <v>EO</v>
      </c>
      <c r="BB20" s="1" t="str">
        <f aca="false">LEFT(AX20,2)</f>
        <v>EV</v>
      </c>
      <c r="BC20" s="1" t="n">
        <f aca="false">VLOOKUP(AZ20,TwoPlayers!$AG$1:$AH$17,2,FALSE())</f>
        <v>6</v>
      </c>
      <c r="BD20" s="1" t="n">
        <f aca="false">VLOOKUP(BA20,TwoPlayers!$AG$1:$AH$17,2,FALSE())</f>
        <v>3</v>
      </c>
      <c r="BE20" s="1" t="n">
        <f aca="false">VLOOKUP(BB20,TwoPlayers!$AG$1:$AH$17,2,FALSE())</f>
        <v>9</v>
      </c>
      <c r="BF20" s="1" t="n">
        <f aca="false">$AY20-BC20</f>
        <v>3</v>
      </c>
      <c r="BG20" s="1" t="n">
        <f aca="false">$AY20-BD20</f>
        <v>6</v>
      </c>
      <c r="BH20" s="1" t="n">
        <f aca="false">$AY20-BE20</f>
        <v>0</v>
      </c>
      <c r="BI20" s="0" t="str">
        <f aca="false">AX20</f>
        <v>EVO</v>
      </c>
      <c r="BJ20" s="1" t="n">
        <f aca="false">VLOOKUP(A20,SortA!$A$1:$BM$65,65,FALSE())</f>
        <v>1</v>
      </c>
      <c r="BK20" s="1" t="n">
        <f aca="false">VLOOKUP(A20,SortB!$A$1:$BM$65,65,FALSE())</f>
        <v>0</v>
      </c>
      <c r="BL20" s="1" t="n">
        <f aca="false">VLOOKUP(A20,SortC!$A$1:$BM$65,65,FALSE())</f>
        <v>1</v>
      </c>
      <c r="BM20" s="1" t="n">
        <f aca="false">IF(SUM(BJ20:BL20)=3,1,0)</f>
        <v>0</v>
      </c>
    </row>
    <row r="21" customFormat="false" ht="13" hidden="false" customHeight="false" outlineLevel="0" collapsed="false">
      <c r="A21" s="0" t="n">
        <f aca="false">A20+1</f>
        <v>20</v>
      </c>
      <c r="B21" s="0" t="s">
        <v>2</v>
      </c>
      <c r="C21" s="0" t="s">
        <v>1</v>
      </c>
      <c r="D21" s="0" t="s">
        <v>4</v>
      </c>
      <c r="E21" s="0" t="n">
        <f aca="false">(IF($B21="V",1,0))+IF($C21="V",1,0)+IF($D21="V",1,0)</f>
        <v>1</v>
      </c>
      <c r="F21" s="0" t="n">
        <f aca="false">(IF($B21="E",1,0))+IF($C21="E",1,0)+IF($D21="E",1,0)</f>
        <v>1</v>
      </c>
      <c r="G21" s="0" t="n">
        <f aca="false">(IF($B21="O",1,0))+IF($C21="O",1,0)+IF($D21="O",1,0)</f>
        <v>0</v>
      </c>
      <c r="H21" s="0" t="n">
        <f aca="false">(IF($B21="L",1,0))+IF($C21="L",1,0)+IF($D21="L",1,0)</f>
        <v>1</v>
      </c>
      <c r="I21" s="0" t="n">
        <f aca="false">(IF(B21="V",1,0))</f>
        <v>0</v>
      </c>
      <c r="J21" s="0" t="n">
        <f aca="false">(IF(B21="E",1,0))</f>
        <v>1</v>
      </c>
      <c r="K21" s="0" t="n">
        <f aca="false">(IF(B21="O",1,0))</f>
        <v>0</v>
      </c>
      <c r="L21" s="0" t="n">
        <f aca="false">(IF(B21="L",1,0))</f>
        <v>0</v>
      </c>
      <c r="M21" s="0" t="n">
        <f aca="false">(IF(C21="V",1,0))</f>
        <v>1</v>
      </c>
      <c r="N21" s="0" t="n">
        <f aca="false">(IF(C21="E",1,0))</f>
        <v>0</v>
      </c>
      <c r="O21" s="0" t="n">
        <f aca="false">(IF(C21="O",1,0))</f>
        <v>0</v>
      </c>
      <c r="P21" s="0" t="n">
        <f aca="false">(IF(C21="L",1,0))</f>
        <v>0</v>
      </c>
      <c r="Q21" s="0" t="n">
        <f aca="false">(IF(D21="V",1,0))</f>
        <v>0</v>
      </c>
      <c r="R21" s="0" t="n">
        <f aca="false">(IF(D21="E",1,0))</f>
        <v>0</v>
      </c>
      <c r="S21" s="0" t="n">
        <f aca="false">(IF(D21="O",1,0))</f>
        <v>0</v>
      </c>
      <c r="T21" s="0" t="n">
        <f aca="false">(IF(D21="L",1,0))</f>
        <v>1</v>
      </c>
      <c r="U21" s="0" t="n">
        <f aca="false">MAX(E21-1,0)</f>
        <v>0</v>
      </c>
      <c r="V21" s="0" t="n">
        <f aca="false">MAX(U21-1+F21,0)</f>
        <v>0</v>
      </c>
      <c r="W21" s="0" t="n">
        <f aca="false">MAX(V21-1+G21,0)</f>
        <v>0</v>
      </c>
      <c r="X21" s="0" t="n">
        <f aca="false">MAX(W21-1+H21,0)</f>
        <v>0</v>
      </c>
      <c r="Y21" s="1" t="n">
        <f aca="false">0.5*(E21*I21+F21*J21+G21*K21+H21*L21-1)+(0+$U21*J21+$V21*K21+$W21*L21)</f>
        <v>0</v>
      </c>
      <c r="Z21" s="1" t="n">
        <f aca="false">0.5*(E21*M21+F21*N21+G21*O21+H21*P21-1)+(0+$U21*N21+$V21*O21+$W21*P21)</f>
        <v>0</v>
      </c>
      <c r="AA21" s="1" t="n">
        <f aca="false">0.5*(E21*Q21+F21*R21+G21*S21+H21*T21-1)+(0+$U21*R21+$V21*S21+$W21*T21)</f>
        <v>0</v>
      </c>
      <c r="AB21" s="0" t="n">
        <f aca="false">IF(B21="V",-2,0)+IF(B21="E",-1,0)+IF(B21="O",0,0)+IF(B21="L",1,0)+Y21</f>
        <v>-1</v>
      </c>
      <c r="AC21" s="0" t="n">
        <f aca="false">IF(C21="V",-2,0)+IF(C21="E",-1,0)+IF(C21="O",0,0)+IF(C21="L",1,0)+Z21</f>
        <v>-2</v>
      </c>
      <c r="AD21" s="0" t="n">
        <f aca="false">IF(D21="V",-2,0)+IF(D21="E",-1,0)+IF(D21="O",0,0)+IF(D21="L",1,0)+AA21</f>
        <v>1</v>
      </c>
      <c r="AE21" s="1" t="n">
        <f aca="false">IF(B21="V",-2,0)+IF(B21="E",-1,0)+IF(B21="O",0,0)+IF(B21="L",1,0)</f>
        <v>-1</v>
      </c>
      <c r="AF21" s="1" t="n">
        <f aca="false">IF(B21="V",-2,0)+IF(B21="E",-1,0)+IF(B21="O",0,0)+IF(B21="L",1,0)+Y21</f>
        <v>-1</v>
      </c>
      <c r="AG21" s="1" t="n">
        <f aca="false">IF(B21="V",-2,0)+IF(B21="E",-1,0)+IF(B21="O",0,0)+IF(B21="L",1,0)+Y21*2</f>
        <v>-1</v>
      </c>
      <c r="AH21" s="1" t="n">
        <f aca="false">IF(C21="V",-2,0)+IF(C21="E",-1,0)+IF(C21="O",0,0)+IF(C21="L",1,0)</f>
        <v>-2</v>
      </c>
      <c r="AI21" s="1" t="n">
        <f aca="false">IF(C21="V",-2,0)+IF(C21="E",-1,0)+IF(C21="O",0,0)+IF(C21="L",1,0)+Z21</f>
        <v>-2</v>
      </c>
      <c r="AJ21" s="1" t="n">
        <f aca="false">IF(C21="V",-2,0)+IF(C21="E",-1,0)+IF(C21="O",0,0)+IF(C21="L",1,0)+Z21*2</f>
        <v>-2</v>
      </c>
      <c r="AK21" s="1" t="n">
        <f aca="false">IF(D21="V",-2,0)+IF(D21="E",-1,0)+IF(D21="O",0,0)+IF(D21="L",1,0)</f>
        <v>1</v>
      </c>
      <c r="AL21" s="1" t="n">
        <f aca="false">IF(D21="V",-2,0)+IF(D21="E",-1,0)+IF(D21="O",0,0)+IF(D21="L",1,0)+AA21</f>
        <v>1</v>
      </c>
      <c r="AM21" s="1" t="n">
        <f aca="false">IF(D21="V",-2,0)+IF(D21="E",-1,0)+IF(D21="O",0,0)+IF(D21="L",1,0)+AA21*2</f>
        <v>1</v>
      </c>
      <c r="AN21" s="1" t="n">
        <f aca="false">(ABS(IF(AE21&lt;0,AE21*Early,AE21*Late))+ABS(IF(AF21&lt;0,AF21*Early,AF21*Late))+ABS(IF(AG21&lt;0,AG21*Early,AG21*Late)))/3</f>
        <v>3</v>
      </c>
      <c r="AO21" s="1" t="n">
        <f aca="false">(ABS(IF(AH21&lt;0,AH21*Early,AH21*Late))+ABS(IF(AI21&lt;0,AI21*Early,AI21*Late))+ABS(IF(AJ21&lt;0,AJ21*Early,AJ21*Late)))/3</f>
        <v>6</v>
      </c>
      <c r="AP21" s="1" t="n">
        <f aca="false">(ABS(IF(AK21&lt;0,AK21*Early,AK21*Late))+ABS(IF(AL21&lt;0,AL21*Early,AL21*Late))+ABS(IF(AM21&lt;0,AM21*Early,AM21*Late)))/3</f>
        <v>4</v>
      </c>
      <c r="AQ21" s="0" t="n">
        <f aca="false">Y21*Delay+AN21</f>
        <v>3</v>
      </c>
      <c r="AR21" s="0" t="n">
        <f aca="false">Z21*Delay+AO21</f>
        <v>6</v>
      </c>
      <c r="AS21" s="0" t="n">
        <f aca="false">AA21*Delay+AP21</f>
        <v>4</v>
      </c>
      <c r="AT21" s="1" t="n">
        <f aca="false">VLOOKUP(A21,SortA!$A$1:$AT$65,46,FALSE())</f>
        <v>0</v>
      </c>
      <c r="AU21" s="1" t="n">
        <f aca="false">VLOOKUP(A21,SortB!$A$1:$AT$65,46,FALSE())</f>
        <v>0</v>
      </c>
      <c r="AV21" s="1" t="n">
        <f aca="false">VLOOKUP(A21,SortC!$A$1:$AT$65,46,FALSE())</f>
        <v>0</v>
      </c>
      <c r="AW21" s="0" t="n">
        <f aca="false">IF(SUM(AT21:AV21)=3,1,0)</f>
        <v>0</v>
      </c>
      <c r="AX21" s="0" t="str">
        <f aca="false">B21&amp;C21&amp;D21</f>
        <v>EVL</v>
      </c>
      <c r="AY21" s="1" t="n">
        <f aca="false">AQ21+AR21+AS21</f>
        <v>13</v>
      </c>
      <c r="AZ21" s="1" t="str">
        <f aca="false">RIGHT(AX21,2)</f>
        <v>VL</v>
      </c>
      <c r="BA21" s="1" t="str">
        <f aca="false">LEFT(AX21,1)&amp;RIGHT(AX21,1)</f>
        <v>EL</v>
      </c>
      <c r="BB21" s="1" t="str">
        <f aca="false">LEFT(AX21,2)</f>
        <v>EV</v>
      </c>
      <c r="BC21" s="1" t="n">
        <f aca="false">VLOOKUP(AZ21,TwoPlayers!$AG$1:$AH$17,2,FALSE())</f>
        <v>10</v>
      </c>
      <c r="BD21" s="1" t="n">
        <f aca="false">VLOOKUP(BA21,TwoPlayers!$AG$1:$AH$17,2,FALSE())</f>
        <v>7</v>
      </c>
      <c r="BE21" s="1" t="n">
        <f aca="false">VLOOKUP(BB21,TwoPlayers!$AG$1:$AH$17,2,FALSE())</f>
        <v>9</v>
      </c>
      <c r="BF21" s="1" t="n">
        <f aca="false">$AY21-BC21</f>
        <v>3</v>
      </c>
      <c r="BG21" s="1" t="n">
        <f aca="false">$AY21-BD21</f>
        <v>6</v>
      </c>
      <c r="BH21" s="1" t="n">
        <f aca="false">$AY21-BE21</f>
        <v>4</v>
      </c>
      <c r="BI21" s="0" t="str">
        <f aca="false">AX21</f>
        <v>EVL</v>
      </c>
      <c r="BJ21" s="1" t="n">
        <f aca="false">VLOOKUP(A21,SortA!$A$1:$BM$65,65,FALSE())</f>
        <v>0</v>
      </c>
      <c r="BK21" s="1" t="n">
        <f aca="false">VLOOKUP(A21,SortB!$A$1:$BM$65,65,FALSE())</f>
        <v>0</v>
      </c>
      <c r="BL21" s="1" t="n">
        <f aca="false">VLOOKUP(A21,SortC!$A$1:$BM$65,65,FALSE())</f>
        <v>0</v>
      </c>
      <c r="BM21" s="1" t="n">
        <f aca="false">IF(SUM(BJ21:BL21)=3,1,0)</f>
        <v>0</v>
      </c>
    </row>
    <row r="22" customFormat="false" ht="13" hidden="false" customHeight="false" outlineLevel="0" collapsed="false">
      <c r="A22" s="0" t="n">
        <f aca="false">A21+1</f>
        <v>21</v>
      </c>
      <c r="B22" s="0" t="s">
        <v>2</v>
      </c>
      <c r="C22" s="0" t="s">
        <v>2</v>
      </c>
      <c r="D22" s="0" t="s">
        <v>1</v>
      </c>
      <c r="E22" s="0" t="n">
        <f aca="false">(IF($B22="V",1,0))+IF($C22="V",1,0)+IF($D22="V",1,0)</f>
        <v>1</v>
      </c>
      <c r="F22" s="0" t="n">
        <f aca="false">(IF($B22="E",1,0))+IF($C22="E",1,0)+IF($D22="E",1,0)</f>
        <v>2</v>
      </c>
      <c r="G22" s="0" t="n">
        <f aca="false">(IF($B22="O",1,0))+IF($C22="O",1,0)+IF($D22="O",1,0)</f>
        <v>0</v>
      </c>
      <c r="H22" s="0" t="n">
        <f aca="false">(IF($B22="L",1,0))+IF($C22="L",1,0)+IF($D22="L",1,0)</f>
        <v>0</v>
      </c>
      <c r="I22" s="0" t="n">
        <f aca="false">(IF(B22="V",1,0))</f>
        <v>0</v>
      </c>
      <c r="J22" s="0" t="n">
        <f aca="false">(IF(B22="E",1,0))</f>
        <v>1</v>
      </c>
      <c r="K22" s="0" t="n">
        <f aca="false">(IF(B22="O",1,0))</f>
        <v>0</v>
      </c>
      <c r="L22" s="0" t="n">
        <f aca="false">(IF(B22="L",1,0))</f>
        <v>0</v>
      </c>
      <c r="M22" s="0" t="n">
        <f aca="false">(IF(C22="V",1,0))</f>
        <v>0</v>
      </c>
      <c r="N22" s="0" t="n">
        <f aca="false">(IF(C22="E",1,0))</f>
        <v>1</v>
      </c>
      <c r="O22" s="0" t="n">
        <f aca="false">(IF(C22="O",1,0))</f>
        <v>0</v>
      </c>
      <c r="P22" s="0" t="n">
        <f aca="false">(IF(C22="L",1,0))</f>
        <v>0</v>
      </c>
      <c r="Q22" s="0" t="n">
        <f aca="false">(IF(D22="V",1,0))</f>
        <v>1</v>
      </c>
      <c r="R22" s="0" t="n">
        <f aca="false">(IF(D22="E",1,0))</f>
        <v>0</v>
      </c>
      <c r="S22" s="0" t="n">
        <f aca="false">(IF(D22="O",1,0))</f>
        <v>0</v>
      </c>
      <c r="T22" s="0" t="n">
        <f aca="false">(IF(D22="L",1,0))</f>
        <v>0</v>
      </c>
      <c r="U22" s="0" t="n">
        <f aca="false">MAX(E22-1,0)</f>
        <v>0</v>
      </c>
      <c r="V22" s="0" t="n">
        <f aca="false">MAX(U22-1+F22,0)</f>
        <v>1</v>
      </c>
      <c r="W22" s="0" t="n">
        <f aca="false">MAX(V22-1+G22,0)</f>
        <v>0</v>
      </c>
      <c r="X22" s="0" t="n">
        <f aca="false">MAX(W22-1+H22,0)</f>
        <v>0</v>
      </c>
      <c r="Y22" s="1" t="n">
        <f aca="false">0.5*(E22*I22+F22*J22+G22*K22+H22*L22-1)+(0+$U22*J22+$V22*K22+$W22*L22)</f>
        <v>0.5</v>
      </c>
      <c r="Z22" s="1" t="n">
        <f aca="false">0.5*(E22*M22+F22*N22+G22*O22+H22*P22-1)+(0+$U22*N22+$V22*O22+$W22*P22)</f>
        <v>0.5</v>
      </c>
      <c r="AA22" s="1" t="n">
        <f aca="false">0.5*(E22*Q22+F22*R22+G22*S22+H22*T22-1)+(0+$U22*R22+$V22*S22+$W22*T22)</f>
        <v>0</v>
      </c>
      <c r="AB22" s="0" t="n">
        <f aca="false">IF(B22="V",-2,0)+IF(B22="E",-1,0)+IF(B22="O",0,0)+IF(B22="L",1,0)+Y22</f>
        <v>-0.5</v>
      </c>
      <c r="AC22" s="0" t="n">
        <f aca="false">IF(C22="V",-2,0)+IF(C22="E",-1,0)+IF(C22="O",0,0)+IF(C22="L",1,0)+Z22</f>
        <v>-0.5</v>
      </c>
      <c r="AD22" s="0" t="n">
        <f aca="false">IF(D22="V",-2,0)+IF(D22="E",-1,0)+IF(D22="O",0,0)+IF(D22="L",1,0)+AA22</f>
        <v>-2</v>
      </c>
      <c r="AE22" s="1" t="n">
        <f aca="false">IF(B22="V",-2,0)+IF(B22="E",-1,0)+IF(B22="O",0,0)+IF(B22="L",1,0)</f>
        <v>-1</v>
      </c>
      <c r="AF22" s="1" t="n">
        <f aca="false">IF(B22="V",-2,0)+IF(B22="E",-1,0)+IF(B22="O",0,0)+IF(B22="L",1,0)+Y22</f>
        <v>-0.5</v>
      </c>
      <c r="AG22" s="1" t="n">
        <f aca="false">IF(B22="V",-2,0)+IF(B22="E",-1,0)+IF(B22="O",0,0)+IF(B22="L",1,0)+Y22*2</f>
        <v>0</v>
      </c>
      <c r="AH22" s="1" t="n">
        <f aca="false">IF(C22="V",-2,0)+IF(C22="E",-1,0)+IF(C22="O",0,0)+IF(C22="L",1,0)</f>
        <v>-1</v>
      </c>
      <c r="AI22" s="1" t="n">
        <f aca="false">IF(C22="V",-2,0)+IF(C22="E",-1,0)+IF(C22="O",0,0)+IF(C22="L",1,0)+Z22</f>
        <v>-0.5</v>
      </c>
      <c r="AJ22" s="1" t="n">
        <f aca="false">IF(C22="V",-2,0)+IF(C22="E",-1,0)+IF(C22="O",0,0)+IF(C22="L",1,0)+Z22*2</f>
        <v>0</v>
      </c>
      <c r="AK22" s="1" t="n">
        <f aca="false">IF(D22="V",-2,0)+IF(D22="E",-1,0)+IF(D22="O",0,0)+IF(D22="L",1,0)</f>
        <v>-2</v>
      </c>
      <c r="AL22" s="1" t="n">
        <f aca="false">IF(D22="V",-2,0)+IF(D22="E",-1,0)+IF(D22="O",0,0)+IF(D22="L",1,0)+AA22</f>
        <v>-2</v>
      </c>
      <c r="AM22" s="1" t="n">
        <f aca="false">IF(D22="V",-2,0)+IF(D22="E",-1,0)+IF(D22="O",0,0)+IF(D22="L",1,0)+AA22*2</f>
        <v>-2</v>
      </c>
      <c r="AN22" s="1" t="n">
        <f aca="false">(ABS(IF(AE22&lt;0,AE22*Early,AE22*Late))+ABS(IF(AF22&lt;0,AF22*Early,AF22*Late))+ABS(IF(AG22&lt;0,AG22*Early,AG22*Late)))/3</f>
        <v>1.5</v>
      </c>
      <c r="AO22" s="1" t="n">
        <f aca="false">(ABS(IF(AH22&lt;0,AH22*Early,AH22*Late))+ABS(IF(AI22&lt;0,AI22*Early,AI22*Late))+ABS(IF(AJ22&lt;0,AJ22*Early,AJ22*Late)))/3</f>
        <v>1.5</v>
      </c>
      <c r="AP22" s="1" t="n">
        <f aca="false">(ABS(IF(AK22&lt;0,AK22*Early,AK22*Late))+ABS(IF(AL22&lt;0,AL22*Early,AL22*Late))+ABS(IF(AM22&lt;0,AM22*Early,AM22*Late)))/3</f>
        <v>6</v>
      </c>
      <c r="AQ22" s="0" t="n">
        <f aca="false">Y22*Delay+AN22</f>
        <v>2</v>
      </c>
      <c r="AR22" s="0" t="n">
        <f aca="false">Z22*Delay+AO22</f>
        <v>2</v>
      </c>
      <c r="AS22" s="0" t="n">
        <f aca="false">AA22*Delay+AP22</f>
        <v>6</v>
      </c>
      <c r="AT22" s="1" t="n">
        <f aca="false">VLOOKUP(A22,SortA!$A$1:$AT$65,46,FALSE())</f>
        <v>0</v>
      </c>
      <c r="AU22" s="1" t="n">
        <f aca="false">VLOOKUP(A22,SortB!$A$1:$AT$65,46,FALSE())</f>
        <v>0</v>
      </c>
      <c r="AV22" s="1" t="n">
        <f aca="false">VLOOKUP(A22,SortC!$A$1:$AT$65,46,FALSE())</f>
        <v>0</v>
      </c>
      <c r="AW22" s="0" t="n">
        <f aca="false">IF(SUM(AT22:AV22)=3,1,0)</f>
        <v>0</v>
      </c>
      <c r="AX22" s="0" t="str">
        <f aca="false">B22&amp;C22&amp;D22</f>
        <v>EEV</v>
      </c>
      <c r="AY22" s="1" t="n">
        <f aca="false">AQ22+AR22+AS22</f>
        <v>10</v>
      </c>
      <c r="AZ22" s="1" t="str">
        <f aca="false">RIGHT(AX22,2)</f>
        <v>EV</v>
      </c>
      <c r="BA22" s="1" t="str">
        <f aca="false">LEFT(AX22,1)&amp;RIGHT(AX22,1)</f>
        <v>EV</v>
      </c>
      <c r="BB22" s="1" t="str">
        <f aca="false">LEFT(AX22,2)</f>
        <v>EE</v>
      </c>
      <c r="BC22" s="1" t="n">
        <f aca="false">VLOOKUP(AZ22,TwoPlayers!$AG$1:$AH$17,2,FALSE())</f>
        <v>9</v>
      </c>
      <c r="BD22" s="1" t="n">
        <f aca="false">VLOOKUP(BA22,TwoPlayers!$AG$1:$AH$17,2,FALSE())</f>
        <v>9</v>
      </c>
      <c r="BE22" s="1" t="n">
        <f aca="false">VLOOKUP(BB22,TwoPlayers!$AG$1:$AH$17,2,FALSE())</f>
        <v>4</v>
      </c>
      <c r="BF22" s="1" t="n">
        <f aca="false">$AY22-BC22</f>
        <v>1</v>
      </c>
      <c r="BG22" s="1" t="n">
        <f aca="false">$AY22-BD22</f>
        <v>1</v>
      </c>
      <c r="BH22" s="1" t="n">
        <f aca="false">$AY22-BE22</f>
        <v>6</v>
      </c>
      <c r="BI22" s="0" t="str">
        <f aca="false">AX22</f>
        <v>EEV</v>
      </c>
      <c r="BJ22" s="1" t="n">
        <f aca="false">VLOOKUP(A22,SortA!$A$1:$BM$65,65,FALSE())</f>
        <v>0</v>
      </c>
      <c r="BK22" s="1" t="n">
        <f aca="false">VLOOKUP(A22,SortB!$A$1:$BM$65,65,FALSE())</f>
        <v>0</v>
      </c>
      <c r="BL22" s="1" t="n">
        <f aca="false">VLOOKUP(A22,SortC!$A$1:$BM$65,65,FALSE())</f>
        <v>0</v>
      </c>
      <c r="BM22" s="1" t="n">
        <f aca="false">IF(SUM(BJ22:BL22)=3,1,0)</f>
        <v>0</v>
      </c>
    </row>
    <row r="23" customFormat="false" ht="13" hidden="false" customHeight="false" outlineLevel="0" collapsed="false">
      <c r="A23" s="1" t="n">
        <f aca="false">A22+1</f>
        <v>22</v>
      </c>
      <c r="B23" s="1" t="s">
        <v>2</v>
      </c>
      <c r="C23" s="1" t="s">
        <v>2</v>
      </c>
      <c r="D23" s="1" t="s">
        <v>2</v>
      </c>
      <c r="E23" s="1" t="n">
        <f aca="false">(IF($B23="V",1,0))+IF($C23="V",1,0)+IF($D23="V",1,0)</f>
        <v>0</v>
      </c>
      <c r="F23" s="1" t="n">
        <f aca="false">(IF($B23="E",1,0))+IF($C23="E",1,0)+IF($D23="E",1,0)</f>
        <v>3</v>
      </c>
      <c r="G23" s="1" t="n">
        <f aca="false">(IF($B23="O",1,0))+IF($C23="O",1,0)+IF($D23="O",1,0)</f>
        <v>0</v>
      </c>
      <c r="H23" s="1" t="n">
        <f aca="false">(IF($B23="L",1,0))+IF($C23="L",1,0)+IF($D23="L",1,0)</f>
        <v>0</v>
      </c>
      <c r="I23" s="1" t="n">
        <f aca="false">(IF(B23="V",1,0))</f>
        <v>0</v>
      </c>
      <c r="J23" s="1" t="n">
        <f aca="false">(IF(B23="E",1,0))</f>
        <v>1</v>
      </c>
      <c r="K23" s="1" t="n">
        <f aca="false">(IF(B23="O",1,0))</f>
        <v>0</v>
      </c>
      <c r="L23" s="1" t="n">
        <f aca="false">(IF(B23="L",1,0))</f>
        <v>0</v>
      </c>
      <c r="M23" s="1" t="n">
        <f aca="false">(IF(C23="V",1,0))</f>
        <v>0</v>
      </c>
      <c r="N23" s="1" t="n">
        <f aca="false">(IF(C23="E",1,0))</f>
        <v>1</v>
      </c>
      <c r="O23" s="1" t="n">
        <f aca="false">(IF(C23="O",1,0))</f>
        <v>0</v>
      </c>
      <c r="P23" s="1" t="n">
        <f aca="false">(IF(C23="L",1,0))</f>
        <v>0</v>
      </c>
      <c r="Q23" s="1" t="n">
        <f aca="false">(IF(D23="V",1,0))</f>
        <v>0</v>
      </c>
      <c r="R23" s="1" t="n">
        <f aca="false">(IF(D23="E",1,0))</f>
        <v>1</v>
      </c>
      <c r="S23" s="1" t="n">
        <f aca="false">(IF(D23="O",1,0))</f>
        <v>0</v>
      </c>
      <c r="T23" s="1" t="n">
        <f aca="false">(IF(D23="L",1,0))</f>
        <v>0</v>
      </c>
      <c r="U23" s="1" t="n">
        <f aca="false">MAX(E23-1,0)</f>
        <v>0</v>
      </c>
      <c r="V23" s="1" t="n">
        <f aca="false">MAX(U23-1+F23,0)</f>
        <v>2</v>
      </c>
      <c r="W23" s="1" t="n">
        <f aca="false">MAX(V23-1+G23,0)</f>
        <v>1</v>
      </c>
      <c r="X23" s="1" t="n">
        <f aca="false">MAX(W23-1+H23,0)</f>
        <v>0</v>
      </c>
      <c r="Y23" s="1" t="n">
        <f aca="false">0.5*(E23*I23+F23*J23+G23*K23+H23*L23-1)+(0+$U23*J23+$V23*K23+$W23*L23)</f>
        <v>1</v>
      </c>
      <c r="Z23" s="1" t="n">
        <f aca="false">0.5*(E23*M23+F23*N23+G23*O23+H23*P23-1)+(0+$U23*N23+$V23*O23+$W23*P23)</f>
        <v>1</v>
      </c>
      <c r="AA23" s="1" t="n">
        <f aca="false">0.5*(E23*Q23+F23*R23+G23*S23+H23*T23-1)+(0+$U23*R23+$V23*S23+$W23*T23)</f>
        <v>1</v>
      </c>
      <c r="AB23" s="1" t="n">
        <f aca="false">IF(B23="V",-2,0)+IF(B23="E",-1,0)+IF(B23="O",0,0)+IF(B23="L",1,0)+Y23</f>
        <v>0</v>
      </c>
      <c r="AC23" s="1" t="n">
        <f aca="false">IF(C23="V",-2,0)+IF(C23="E",-1,0)+IF(C23="O",0,0)+IF(C23="L",1,0)+Z23</f>
        <v>0</v>
      </c>
      <c r="AD23" s="1" t="n">
        <f aca="false">IF(D23="V",-2,0)+IF(D23="E",-1,0)+IF(D23="O",0,0)+IF(D23="L",1,0)+AA23</f>
        <v>0</v>
      </c>
      <c r="AE23" s="1" t="n">
        <f aca="false">IF(B23="V",-2,0)+IF(B23="E",-1,0)+IF(B23="O",0,0)+IF(B23="L",1,0)</f>
        <v>-1</v>
      </c>
      <c r="AF23" s="1" t="n">
        <f aca="false">IF(B23="V",-2,0)+IF(B23="E",-1,0)+IF(B23="O",0,0)+IF(B23="L",1,0)+Y23</f>
        <v>0</v>
      </c>
      <c r="AG23" s="1" t="n">
        <f aca="false">IF(B23="V",-2,0)+IF(B23="E",-1,0)+IF(B23="O",0,0)+IF(B23="L",1,0)+Y23*2</f>
        <v>1</v>
      </c>
      <c r="AH23" s="1" t="n">
        <f aca="false">IF(C23="V",-2,0)+IF(C23="E",-1,0)+IF(C23="O",0,0)+IF(C23="L",1,0)</f>
        <v>-1</v>
      </c>
      <c r="AI23" s="1" t="n">
        <f aca="false">IF(C23="V",-2,0)+IF(C23="E",-1,0)+IF(C23="O",0,0)+IF(C23="L",1,0)+Z23</f>
        <v>0</v>
      </c>
      <c r="AJ23" s="1" t="n">
        <f aca="false">IF(C23="V",-2,0)+IF(C23="E",-1,0)+IF(C23="O",0,0)+IF(C23="L",1,0)+Z23*2</f>
        <v>1</v>
      </c>
      <c r="AK23" s="1" t="n">
        <f aca="false">IF(D23="V",-2,0)+IF(D23="E",-1,0)+IF(D23="O",0,0)+IF(D23="L",1,0)</f>
        <v>-1</v>
      </c>
      <c r="AL23" s="1" t="n">
        <f aca="false">IF(D23="V",-2,0)+IF(D23="E",-1,0)+IF(D23="O",0,0)+IF(D23="L",1,0)+AA23</f>
        <v>0</v>
      </c>
      <c r="AM23" s="1" t="n">
        <f aca="false">IF(D23="V",-2,0)+IF(D23="E",-1,0)+IF(D23="O",0,0)+IF(D23="L",1,0)+AA23*2</f>
        <v>1</v>
      </c>
      <c r="AN23" s="1" t="n">
        <f aca="false">(ABS(IF(AE23&lt;0,AE23*Early,AE23*Late))+ABS(IF(AF23&lt;0,AF23*Early,AF23*Late))+ABS(IF(AG23&lt;0,AG23*Early,AG23*Late)))/3</f>
        <v>2.33333333333333</v>
      </c>
      <c r="AO23" s="1" t="n">
        <f aca="false">(ABS(IF(AH23&lt;0,AH23*Early,AH23*Late))+ABS(IF(AI23&lt;0,AI23*Early,AI23*Late))+ABS(IF(AJ23&lt;0,AJ23*Early,AJ23*Late)))/3</f>
        <v>2.33333333333333</v>
      </c>
      <c r="AP23" s="1" t="n">
        <f aca="false">(ABS(IF(AK23&lt;0,AK23*Early,AK23*Late))+ABS(IF(AL23&lt;0,AL23*Early,AL23*Late))+ABS(IF(AM23&lt;0,AM23*Early,AM23*Late)))/3</f>
        <v>2.33333333333333</v>
      </c>
      <c r="AQ23" s="1" t="n">
        <f aca="false">Y23*Delay+AN23</f>
        <v>3.33333333333333</v>
      </c>
      <c r="AR23" s="1" t="n">
        <f aca="false">Z23*Delay+AO23</f>
        <v>3.33333333333333</v>
      </c>
      <c r="AS23" s="1" t="n">
        <f aca="false">AA23*Delay+AP23</f>
        <v>3.33333333333333</v>
      </c>
      <c r="AT23" s="1" t="n">
        <f aca="false">VLOOKUP(A23,SortA!$A$1:$AT$65,46,FALSE())</f>
        <v>1</v>
      </c>
      <c r="AU23" s="1" t="n">
        <f aca="false">VLOOKUP(A23,SortB!$A$1:$AT$65,46,FALSE())</f>
        <v>1</v>
      </c>
      <c r="AV23" s="1" t="n">
        <f aca="false">VLOOKUP(A23,SortC!$A$1:$AT$65,46,FALSE())</f>
        <v>1</v>
      </c>
      <c r="AW23" s="1" t="n">
        <f aca="false">IF(SUM(AT23:AV23)=3,1,0)</f>
        <v>1</v>
      </c>
      <c r="AX23" s="1" t="str">
        <f aca="false">B23&amp;C23&amp;D23</f>
        <v>EEE</v>
      </c>
      <c r="AY23" s="1" t="n">
        <f aca="false">AQ23+AR23+AS23</f>
        <v>10</v>
      </c>
      <c r="AZ23" s="1" t="str">
        <f aca="false">RIGHT(AX23,2)</f>
        <v>EE</v>
      </c>
      <c r="BA23" s="1" t="str">
        <f aca="false">LEFT(AX23,1)&amp;RIGHT(AX23,1)</f>
        <v>EE</v>
      </c>
      <c r="BB23" s="1" t="str">
        <f aca="false">LEFT(AX23,2)</f>
        <v>EE</v>
      </c>
      <c r="BC23" s="1" t="n">
        <f aca="false">VLOOKUP(AZ23,TwoPlayers!$AG$1:$AH$17,2,FALSE())</f>
        <v>4</v>
      </c>
      <c r="BD23" s="1" t="n">
        <f aca="false">VLOOKUP(BA23,TwoPlayers!$AG$1:$AH$17,2,FALSE())</f>
        <v>4</v>
      </c>
      <c r="BE23" s="1" t="n">
        <f aca="false">VLOOKUP(BB23,TwoPlayers!$AG$1:$AH$17,2,FALSE())</f>
        <v>4</v>
      </c>
      <c r="BF23" s="1" t="n">
        <f aca="false">$AY23-BC23</f>
        <v>6</v>
      </c>
      <c r="BG23" s="1" t="n">
        <f aca="false">$AY23-BD23</f>
        <v>6</v>
      </c>
      <c r="BH23" s="1" t="n">
        <f aca="false">$AY23-BE23</f>
        <v>6</v>
      </c>
      <c r="BI23" s="0" t="str">
        <f aca="false">AX23</f>
        <v>EEE</v>
      </c>
      <c r="BJ23" s="1" t="n">
        <f aca="false">VLOOKUP(A23,SortA!$A$1:$BM$65,65,FALSE())</f>
        <v>0</v>
      </c>
      <c r="BK23" s="1" t="n">
        <f aca="false">VLOOKUP(A23,SortB!$A$1:$BM$65,65,FALSE())</f>
        <v>0</v>
      </c>
      <c r="BL23" s="1" t="n">
        <f aca="false">VLOOKUP(A23,SortC!$A$1:$BM$65,65,FALSE())</f>
        <v>0</v>
      </c>
      <c r="BM23" s="1" t="n">
        <f aca="false">IF(SUM(BJ23:BL23)=3,1,0)</f>
        <v>0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customFormat="false" ht="13" hidden="false" customHeight="false" outlineLevel="0" collapsed="false">
      <c r="A24" s="0" t="n">
        <f aca="false">A23+1</f>
        <v>23</v>
      </c>
      <c r="B24" s="0" t="s">
        <v>2</v>
      </c>
      <c r="C24" s="0" t="s">
        <v>2</v>
      </c>
      <c r="D24" s="0" t="s">
        <v>3</v>
      </c>
      <c r="E24" s="0" t="n">
        <f aca="false">(IF($B24="V",1,0))+IF($C24="V",1,0)+IF($D24="V",1,0)</f>
        <v>0</v>
      </c>
      <c r="F24" s="0" t="n">
        <f aca="false">(IF($B24="E",1,0))+IF($C24="E",1,0)+IF($D24="E",1,0)</f>
        <v>2</v>
      </c>
      <c r="G24" s="0" t="n">
        <f aca="false">(IF($B24="O",1,0))+IF($C24="O",1,0)+IF($D24="O",1,0)</f>
        <v>1</v>
      </c>
      <c r="H24" s="0" t="n">
        <f aca="false">(IF($B24="L",1,0))+IF($C24="L",1,0)+IF($D24="L",1,0)</f>
        <v>0</v>
      </c>
      <c r="I24" s="0" t="n">
        <f aca="false">(IF(B24="V",1,0))</f>
        <v>0</v>
      </c>
      <c r="J24" s="0" t="n">
        <f aca="false">(IF(B24="E",1,0))</f>
        <v>1</v>
      </c>
      <c r="K24" s="0" t="n">
        <f aca="false">(IF(B24="O",1,0))</f>
        <v>0</v>
      </c>
      <c r="L24" s="0" t="n">
        <f aca="false">(IF(B24="L",1,0))</f>
        <v>0</v>
      </c>
      <c r="M24" s="0" t="n">
        <f aca="false">(IF(C24="V",1,0))</f>
        <v>0</v>
      </c>
      <c r="N24" s="0" t="n">
        <f aca="false">(IF(C24="E",1,0))</f>
        <v>1</v>
      </c>
      <c r="O24" s="0" t="n">
        <f aca="false">(IF(C24="O",1,0))</f>
        <v>0</v>
      </c>
      <c r="P24" s="0" t="n">
        <f aca="false">(IF(C24="L",1,0))</f>
        <v>0</v>
      </c>
      <c r="Q24" s="0" t="n">
        <f aca="false">(IF(D24="V",1,0))</f>
        <v>0</v>
      </c>
      <c r="R24" s="0" t="n">
        <f aca="false">(IF(D24="E",1,0))</f>
        <v>0</v>
      </c>
      <c r="S24" s="0" t="n">
        <f aca="false">(IF(D24="O",1,0))</f>
        <v>1</v>
      </c>
      <c r="T24" s="0" t="n">
        <f aca="false">(IF(D24="L",1,0))</f>
        <v>0</v>
      </c>
      <c r="U24" s="0" t="n">
        <f aca="false">MAX(E24-1,0)</f>
        <v>0</v>
      </c>
      <c r="V24" s="0" t="n">
        <f aca="false">MAX(U24-1+F24,0)</f>
        <v>1</v>
      </c>
      <c r="W24" s="0" t="n">
        <f aca="false">MAX(V24-1+G24,0)</f>
        <v>1</v>
      </c>
      <c r="X24" s="0" t="n">
        <f aca="false">MAX(W24-1+H24,0)</f>
        <v>0</v>
      </c>
      <c r="Y24" s="1" t="n">
        <f aca="false">0.5*(E24*I24+F24*J24+G24*K24+H24*L24-1)+(0+$U24*J24+$V24*K24+$W24*L24)</f>
        <v>0.5</v>
      </c>
      <c r="Z24" s="1" t="n">
        <f aca="false">0.5*(E24*M24+F24*N24+G24*O24+H24*P24-1)+(0+$U24*N24+$V24*O24+$W24*P24)</f>
        <v>0.5</v>
      </c>
      <c r="AA24" s="1" t="n">
        <f aca="false">0.5*(E24*Q24+F24*R24+G24*S24+H24*T24-1)+(0+$U24*R24+$V24*S24+$W24*T24)</f>
        <v>1</v>
      </c>
      <c r="AB24" s="0" t="n">
        <f aca="false">IF(B24="V",-2,0)+IF(B24="E",-1,0)+IF(B24="O",0,0)+IF(B24="L",1,0)+Y24</f>
        <v>-0.5</v>
      </c>
      <c r="AC24" s="0" t="n">
        <f aca="false">IF(C24="V",-2,0)+IF(C24="E",-1,0)+IF(C24="O",0,0)+IF(C24="L",1,0)+Z24</f>
        <v>-0.5</v>
      </c>
      <c r="AD24" s="0" t="n">
        <f aca="false">IF(D24="V",-2,0)+IF(D24="E",-1,0)+IF(D24="O",0,0)+IF(D24="L",1,0)+AA24</f>
        <v>1</v>
      </c>
      <c r="AE24" s="1" t="n">
        <f aca="false">IF(B24="V",-2,0)+IF(B24="E",-1,0)+IF(B24="O",0,0)+IF(B24="L",1,0)</f>
        <v>-1</v>
      </c>
      <c r="AF24" s="1" t="n">
        <f aca="false">IF(B24="V",-2,0)+IF(B24="E",-1,0)+IF(B24="O",0,0)+IF(B24="L",1,0)+Y24</f>
        <v>-0.5</v>
      </c>
      <c r="AG24" s="1" t="n">
        <f aca="false">IF(B24="V",-2,0)+IF(B24="E",-1,0)+IF(B24="O",0,0)+IF(B24="L",1,0)+Y24*2</f>
        <v>0</v>
      </c>
      <c r="AH24" s="1" t="n">
        <f aca="false">IF(C24="V",-2,0)+IF(C24="E",-1,0)+IF(C24="O",0,0)+IF(C24="L",1,0)</f>
        <v>-1</v>
      </c>
      <c r="AI24" s="1" t="n">
        <f aca="false">IF(C24="V",-2,0)+IF(C24="E",-1,0)+IF(C24="O",0,0)+IF(C24="L",1,0)+Z24</f>
        <v>-0.5</v>
      </c>
      <c r="AJ24" s="1" t="n">
        <f aca="false">IF(C24="V",-2,0)+IF(C24="E",-1,0)+IF(C24="O",0,0)+IF(C24="L",1,0)+Z24*2</f>
        <v>0</v>
      </c>
      <c r="AK24" s="1" t="n">
        <f aca="false">IF(D24="V",-2,0)+IF(D24="E",-1,0)+IF(D24="O",0,0)+IF(D24="L",1,0)</f>
        <v>0</v>
      </c>
      <c r="AL24" s="1" t="n">
        <f aca="false">IF(D24="V",-2,0)+IF(D24="E",-1,0)+IF(D24="O",0,0)+IF(D24="L",1,0)+AA24</f>
        <v>1</v>
      </c>
      <c r="AM24" s="1" t="n">
        <f aca="false">IF(D24="V",-2,0)+IF(D24="E",-1,0)+IF(D24="O",0,0)+IF(D24="L",1,0)+AA24*2</f>
        <v>2</v>
      </c>
      <c r="AN24" s="1" t="n">
        <f aca="false">(ABS(IF(AE24&lt;0,AE24*Early,AE24*Late))+ABS(IF(AF24&lt;0,AF24*Early,AF24*Late))+ABS(IF(AG24&lt;0,AG24*Early,AG24*Late)))/3</f>
        <v>1.5</v>
      </c>
      <c r="AO24" s="1" t="n">
        <f aca="false">(ABS(IF(AH24&lt;0,AH24*Early,AH24*Late))+ABS(IF(AI24&lt;0,AI24*Early,AI24*Late))+ABS(IF(AJ24&lt;0,AJ24*Early,AJ24*Late)))/3</f>
        <v>1.5</v>
      </c>
      <c r="AP24" s="1" t="n">
        <f aca="false">(ABS(IF(AK24&lt;0,AK24*Early,AK24*Late))+ABS(IF(AL24&lt;0,AL24*Early,AL24*Late))+ABS(IF(AM24&lt;0,AM24*Early,AM24*Late)))/3</f>
        <v>4</v>
      </c>
      <c r="AQ24" s="0" t="n">
        <f aca="false">Y24*Delay+AN24</f>
        <v>2</v>
      </c>
      <c r="AR24" s="0" t="n">
        <f aca="false">Z24*Delay+AO24</f>
        <v>2</v>
      </c>
      <c r="AS24" s="0" t="n">
        <f aca="false">AA24*Delay+AP24</f>
        <v>5</v>
      </c>
      <c r="AT24" s="1" t="n">
        <f aca="false">VLOOKUP(A24,SortA!$A$1:$AT$65,46,FALSE())</f>
        <v>1</v>
      </c>
      <c r="AU24" s="1" t="n">
        <f aca="false">VLOOKUP(A24,SortB!$A$1:$AT$65,46,FALSE())</f>
        <v>1</v>
      </c>
      <c r="AV24" s="1" t="n">
        <f aca="false">VLOOKUP(A24,SortC!$A$1:$AT$65,46,FALSE())</f>
        <v>0</v>
      </c>
      <c r="AW24" s="0" t="n">
        <f aca="false">IF(SUM(AT24:AV24)=3,1,0)</f>
        <v>0</v>
      </c>
      <c r="AX24" s="0" t="str">
        <f aca="false">B24&amp;C24&amp;D24</f>
        <v>EEO</v>
      </c>
      <c r="AY24" s="1" t="n">
        <f aca="false">AQ24+AR24+AS24</f>
        <v>9</v>
      </c>
      <c r="AZ24" s="1" t="str">
        <f aca="false">RIGHT(AX24,2)</f>
        <v>EO</v>
      </c>
      <c r="BA24" s="1" t="str">
        <f aca="false">LEFT(AX24,1)&amp;RIGHT(AX24,1)</f>
        <v>EO</v>
      </c>
      <c r="BB24" s="1" t="str">
        <f aca="false">LEFT(AX24,2)</f>
        <v>EE</v>
      </c>
      <c r="BC24" s="1" t="n">
        <f aca="false">VLOOKUP(AZ24,TwoPlayers!$AG$1:$AH$17,2,FALSE())</f>
        <v>3</v>
      </c>
      <c r="BD24" s="1" t="n">
        <f aca="false">VLOOKUP(BA24,TwoPlayers!$AG$1:$AH$17,2,FALSE())</f>
        <v>3</v>
      </c>
      <c r="BE24" s="1" t="n">
        <f aca="false">VLOOKUP(BB24,TwoPlayers!$AG$1:$AH$17,2,FALSE())</f>
        <v>4</v>
      </c>
      <c r="BF24" s="1" t="n">
        <f aca="false">$AY24-BC24</f>
        <v>6</v>
      </c>
      <c r="BG24" s="1" t="n">
        <f aca="false">$AY24-BD24</f>
        <v>6</v>
      </c>
      <c r="BH24" s="1" t="n">
        <f aca="false">$AY24-BE24</f>
        <v>5</v>
      </c>
      <c r="BI24" s="0" t="str">
        <f aca="false">AX24</f>
        <v>EEO</v>
      </c>
      <c r="BJ24" s="1" t="n">
        <f aca="false">VLOOKUP(A24,SortA!$A$1:$BM$65,65,FALSE())</f>
        <v>0</v>
      </c>
      <c r="BK24" s="1" t="n">
        <f aca="false">VLOOKUP(A24,SortB!$A$1:$BM$65,65,FALSE())</f>
        <v>0</v>
      </c>
      <c r="BL24" s="1" t="n">
        <f aca="false">VLOOKUP(A24,SortC!$A$1:$BM$65,65,FALSE())</f>
        <v>0</v>
      </c>
      <c r="BM24" s="1" t="n">
        <f aca="false">IF(SUM(BJ24:BL24)=3,1,0)</f>
        <v>0</v>
      </c>
    </row>
    <row r="25" customFormat="false" ht="13" hidden="false" customHeight="false" outlineLevel="0" collapsed="false">
      <c r="A25" s="0" t="n">
        <f aca="false">A24+1</f>
        <v>24</v>
      </c>
      <c r="B25" s="0" t="s">
        <v>2</v>
      </c>
      <c r="C25" s="0" t="s">
        <v>2</v>
      </c>
      <c r="D25" s="0" t="s">
        <v>4</v>
      </c>
      <c r="E25" s="0" t="n">
        <f aca="false">(IF($B25="V",1,0))+IF($C25="V",1,0)+IF($D25="V",1,0)</f>
        <v>0</v>
      </c>
      <c r="F25" s="0" t="n">
        <f aca="false">(IF($B25="E",1,0))+IF($C25="E",1,0)+IF($D25="E",1,0)</f>
        <v>2</v>
      </c>
      <c r="G25" s="0" t="n">
        <f aca="false">(IF($B25="O",1,0))+IF($C25="O",1,0)+IF($D25="O",1,0)</f>
        <v>0</v>
      </c>
      <c r="H25" s="0" t="n">
        <f aca="false">(IF($B25="L",1,0))+IF($C25="L",1,0)+IF($D25="L",1,0)</f>
        <v>1</v>
      </c>
      <c r="I25" s="0" t="n">
        <f aca="false">(IF(B25="V",1,0))</f>
        <v>0</v>
      </c>
      <c r="J25" s="0" t="n">
        <f aca="false">(IF(B25="E",1,0))</f>
        <v>1</v>
      </c>
      <c r="K25" s="0" t="n">
        <f aca="false">(IF(B25="O",1,0))</f>
        <v>0</v>
      </c>
      <c r="L25" s="0" t="n">
        <f aca="false">(IF(B25="L",1,0))</f>
        <v>0</v>
      </c>
      <c r="M25" s="0" t="n">
        <f aca="false">(IF(C25="V",1,0))</f>
        <v>0</v>
      </c>
      <c r="N25" s="0" t="n">
        <f aca="false">(IF(C25="E",1,0))</f>
        <v>1</v>
      </c>
      <c r="O25" s="0" t="n">
        <f aca="false">(IF(C25="O",1,0))</f>
        <v>0</v>
      </c>
      <c r="P25" s="0" t="n">
        <f aca="false">(IF(C25="L",1,0))</f>
        <v>0</v>
      </c>
      <c r="Q25" s="0" t="n">
        <f aca="false">(IF(D25="V",1,0))</f>
        <v>0</v>
      </c>
      <c r="R25" s="0" t="n">
        <f aca="false">(IF(D25="E",1,0))</f>
        <v>0</v>
      </c>
      <c r="S25" s="0" t="n">
        <f aca="false">(IF(D25="O",1,0))</f>
        <v>0</v>
      </c>
      <c r="T25" s="0" t="n">
        <f aca="false">(IF(D25="L",1,0))</f>
        <v>1</v>
      </c>
      <c r="U25" s="0" t="n">
        <f aca="false">MAX(E25-1,0)</f>
        <v>0</v>
      </c>
      <c r="V25" s="0" t="n">
        <f aca="false">MAX(U25-1+F25,0)</f>
        <v>1</v>
      </c>
      <c r="W25" s="0" t="n">
        <f aca="false">MAX(V25-1+G25,0)</f>
        <v>0</v>
      </c>
      <c r="X25" s="0" t="n">
        <f aca="false">MAX(W25-1+H25,0)</f>
        <v>0</v>
      </c>
      <c r="Y25" s="1" t="n">
        <f aca="false">0.5*(E25*I25+F25*J25+G25*K25+H25*L25-1)+(0+$U25*J25+$V25*K25+$W25*L25)</f>
        <v>0.5</v>
      </c>
      <c r="Z25" s="1" t="n">
        <f aca="false">0.5*(E25*M25+F25*N25+G25*O25+H25*P25-1)+(0+$U25*N25+$V25*O25+$W25*P25)</f>
        <v>0.5</v>
      </c>
      <c r="AA25" s="1" t="n">
        <f aca="false">0.5*(E25*Q25+F25*R25+G25*S25+H25*T25-1)+(0+$U25*R25+$V25*S25+$W25*T25)</f>
        <v>0</v>
      </c>
      <c r="AB25" s="0" t="n">
        <f aca="false">IF(B25="V",-2,0)+IF(B25="E",-1,0)+IF(B25="O",0,0)+IF(B25="L",1,0)+Y25</f>
        <v>-0.5</v>
      </c>
      <c r="AC25" s="0" t="n">
        <f aca="false">IF(C25="V",-2,0)+IF(C25="E",-1,0)+IF(C25="O",0,0)+IF(C25="L",1,0)+Z25</f>
        <v>-0.5</v>
      </c>
      <c r="AD25" s="0" t="n">
        <f aca="false">IF(D25="V",-2,0)+IF(D25="E",-1,0)+IF(D25="O",0,0)+IF(D25="L",1,0)+AA25</f>
        <v>1</v>
      </c>
      <c r="AE25" s="1" t="n">
        <f aca="false">IF(B25="V",-2,0)+IF(B25="E",-1,0)+IF(B25="O",0,0)+IF(B25="L",1,0)</f>
        <v>-1</v>
      </c>
      <c r="AF25" s="1" t="n">
        <f aca="false">IF(B25="V",-2,0)+IF(B25="E",-1,0)+IF(B25="O",0,0)+IF(B25="L",1,0)+Y25</f>
        <v>-0.5</v>
      </c>
      <c r="AG25" s="1" t="n">
        <f aca="false">IF(B25="V",-2,0)+IF(B25="E",-1,0)+IF(B25="O",0,0)+IF(B25="L",1,0)+Y25*2</f>
        <v>0</v>
      </c>
      <c r="AH25" s="1" t="n">
        <f aca="false">IF(C25="V",-2,0)+IF(C25="E",-1,0)+IF(C25="O",0,0)+IF(C25="L",1,0)</f>
        <v>-1</v>
      </c>
      <c r="AI25" s="1" t="n">
        <f aca="false">IF(C25="V",-2,0)+IF(C25="E",-1,0)+IF(C25="O",0,0)+IF(C25="L",1,0)+Z25</f>
        <v>-0.5</v>
      </c>
      <c r="AJ25" s="1" t="n">
        <f aca="false">IF(C25="V",-2,0)+IF(C25="E",-1,0)+IF(C25="O",0,0)+IF(C25="L",1,0)+Z25*2</f>
        <v>0</v>
      </c>
      <c r="AK25" s="1" t="n">
        <f aca="false">IF(D25="V",-2,0)+IF(D25="E",-1,0)+IF(D25="O",0,0)+IF(D25="L",1,0)</f>
        <v>1</v>
      </c>
      <c r="AL25" s="1" t="n">
        <f aca="false">IF(D25="V",-2,0)+IF(D25="E",-1,0)+IF(D25="O",0,0)+IF(D25="L",1,0)+AA25</f>
        <v>1</v>
      </c>
      <c r="AM25" s="1" t="n">
        <f aca="false">IF(D25="V",-2,0)+IF(D25="E",-1,0)+IF(D25="O",0,0)+IF(D25="L",1,0)+AA25*2</f>
        <v>1</v>
      </c>
      <c r="AN25" s="1" t="n">
        <f aca="false">(ABS(IF(AE25&lt;0,AE25*Early,AE25*Late))+ABS(IF(AF25&lt;0,AF25*Early,AF25*Late))+ABS(IF(AG25&lt;0,AG25*Early,AG25*Late)))/3</f>
        <v>1.5</v>
      </c>
      <c r="AO25" s="1" t="n">
        <f aca="false">(ABS(IF(AH25&lt;0,AH25*Early,AH25*Late))+ABS(IF(AI25&lt;0,AI25*Early,AI25*Late))+ABS(IF(AJ25&lt;0,AJ25*Early,AJ25*Late)))/3</f>
        <v>1.5</v>
      </c>
      <c r="AP25" s="1" t="n">
        <f aca="false">(ABS(IF(AK25&lt;0,AK25*Early,AK25*Late))+ABS(IF(AL25&lt;0,AL25*Early,AL25*Late))+ABS(IF(AM25&lt;0,AM25*Early,AM25*Late)))/3</f>
        <v>4</v>
      </c>
      <c r="AQ25" s="0" t="n">
        <f aca="false">Y25*Delay+AN25</f>
        <v>2</v>
      </c>
      <c r="AR25" s="0" t="n">
        <f aca="false">Z25*Delay+AO25</f>
        <v>2</v>
      </c>
      <c r="AS25" s="0" t="n">
        <f aca="false">AA25*Delay+AP25</f>
        <v>4</v>
      </c>
      <c r="AT25" s="1" t="n">
        <f aca="false">VLOOKUP(A25,SortA!$A$1:$AT$65,46,FALSE())</f>
        <v>0</v>
      </c>
      <c r="AU25" s="1" t="n">
        <f aca="false">VLOOKUP(A25,SortB!$A$1:$AT$65,46,FALSE())</f>
        <v>0</v>
      </c>
      <c r="AV25" s="1" t="n">
        <f aca="false">VLOOKUP(A25,SortC!$A$1:$AT$65,46,FALSE())</f>
        <v>0</v>
      </c>
      <c r="AW25" s="0" t="n">
        <f aca="false">IF(SUM(AT25:AV25)=3,1,0)</f>
        <v>0</v>
      </c>
      <c r="AX25" s="0" t="str">
        <f aca="false">B25&amp;C25&amp;D25</f>
        <v>EEL</v>
      </c>
      <c r="AY25" s="1" t="n">
        <f aca="false">AQ25+AR25+AS25</f>
        <v>8</v>
      </c>
      <c r="AZ25" s="1" t="str">
        <f aca="false">RIGHT(AX25,2)</f>
        <v>EL</v>
      </c>
      <c r="BA25" s="1" t="str">
        <f aca="false">LEFT(AX25,1)&amp;RIGHT(AX25,1)</f>
        <v>EL</v>
      </c>
      <c r="BB25" s="1" t="str">
        <f aca="false">LEFT(AX25,2)</f>
        <v>EE</v>
      </c>
      <c r="BC25" s="1" t="n">
        <f aca="false">VLOOKUP(AZ25,TwoPlayers!$AG$1:$AH$17,2,FALSE())</f>
        <v>7</v>
      </c>
      <c r="BD25" s="1" t="n">
        <f aca="false">VLOOKUP(BA25,TwoPlayers!$AG$1:$AH$17,2,FALSE())</f>
        <v>7</v>
      </c>
      <c r="BE25" s="1" t="n">
        <f aca="false">VLOOKUP(BB25,TwoPlayers!$AG$1:$AH$17,2,FALSE())</f>
        <v>4</v>
      </c>
      <c r="BF25" s="1" t="n">
        <f aca="false">$AY25-BC25</f>
        <v>1</v>
      </c>
      <c r="BG25" s="1" t="n">
        <f aca="false">$AY25-BD25</f>
        <v>1</v>
      </c>
      <c r="BH25" s="1" t="n">
        <f aca="false">$AY25-BE25</f>
        <v>4</v>
      </c>
      <c r="BI25" s="0" t="str">
        <f aca="false">AX25</f>
        <v>EEL</v>
      </c>
      <c r="BJ25" s="1" t="n">
        <f aca="false">VLOOKUP(A25,SortA!$A$1:$BM$65,65,FALSE())</f>
        <v>0</v>
      </c>
      <c r="BK25" s="1" t="n">
        <f aca="false">VLOOKUP(A25,SortB!$A$1:$BM$65,65,FALSE())</f>
        <v>0</v>
      </c>
      <c r="BL25" s="1" t="n">
        <f aca="false">VLOOKUP(A25,SortC!$A$1:$BM$65,65,FALSE())</f>
        <v>1</v>
      </c>
      <c r="BM25" s="1" t="n">
        <f aca="false">IF(SUM(BJ25:BL25)=3,1,0)</f>
        <v>0</v>
      </c>
    </row>
    <row r="26" customFormat="false" ht="13" hidden="false" customHeight="false" outlineLevel="0" collapsed="false">
      <c r="A26" s="0" t="n">
        <f aca="false">A25+1</f>
        <v>25</v>
      </c>
      <c r="B26" s="0" t="s">
        <v>2</v>
      </c>
      <c r="C26" s="0" t="s">
        <v>3</v>
      </c>
      <c r="D26" s="0" t="s">
        <v>1</v>
      </c>
      <c r="E26" s="0" t="n">
        <f aca="false">(IF($B26="V",1,0))+IF($C26="V",1,0)+IF($D26="V",1,0)</f>
        <v>1</v>
      </c>
      <c r="F26" s="0" t="n">
        <f aca="false">(IF($B26="E",1,0))+IF($C26="E",1,0)+IF($D26="E",1,0)</f>
        <v>1</v>
      </c>
      <c r="G26" s="0" t="n">
        <f aca="false">(IF($B26="O",1,0))+IF($C26="O",1,0)+IF($D26="O",1,0)</f>
        <v>1</v>
      </c>
      <c r="H26" s="0" t="n">
        <f aca="false">(IF($B26="L",1,0))+IF($C26="L",1,0)+IF($D26="L",1,0)</f>
        <v>0</v>
      </c>
      <c r="I26" s="0" t="n">
        <f aca="false">(IF(B26="V",1,0))</f>
        <v>0</v>
      </c>
      <c r="J26" s="0" t="n">
        <f aca="false">(IF(B26="E",1,0))</f>
        <v>1</v>
      </c>
      <c r="K26" s="0" t="n">
        <f aca="false">(IF(B26="O",1,0))</f>
        <v>0</v>
      </c>
      <c r="L26" s="0" t="n">
        <f aca="false">(IF(B26="L",1,0))</f>
        <v>0</v>
      </c>
      <c r="M26" s="0" t="n">
        <f aca="false">(IF(C26="V",1,0))</f>
        <v>0</v>
      </c>
      <c r="N26" s="0" t="n">
        <f aca="false">(IF(C26="E",1,0))</f>
        <v>0</v>
      </c>
      <c r="O26" s="0" t="n">
        <f aca="false">(IF(C26="O",1,0))</f>
        <v>1</v>
      </c>
      <c r="P26" s="0" t="n">
        <f aca="false">(IF(C26="L",1,0))</f>
        <v>0</v>
      </c>
      <c r="Q26" s="0" t="n">
        <f aca="false">(IF(D26="V",1,0))</f>
        <v>1</v>
      </c>
      <c r="R26" s="0" t="n">
        <f aca="false">(IF(D26="E",1,0))</f>
        <v>0</v>
      </c>
      <c r="S26" s="0" t="n">
        <f aca="false">(IF(D26="O",1,0))</f>
        <v>0</v>
      </c>
      <c r="T26" s="0" t="n">
        <f aca="false">(IF(D26="L",1,0))</f>
        <v>0</v>
      </c>
      <c r="U26" s="0" t="n">
        <f aca="false">MAX(E26-1,0)</f>
        <v>0</v>
      </c>
      <c r="V26" s="0" t="n">
        <f aca="false">MAX(U26-1+F26,0)</f>
        <v>0</v>
      </c>
      <c r="W26" s="0" t="n">
        <f aca="false">MAX(V26-1+G26,0)</f>
        <v>0</v>
      </c>
      <c r="X26" s="0" t="n">
        <f aca="false">MAX(W26-1+H26,0)</f>
        <v>0</v>
      </c>
      <c r="Y26" s="1" t="n">
        <f aca="false">0.5*(E26*I26+F26*J26+G26*K26+H26*L26-1)+(0+$U26*J26+$V26*K26+$W26*L26)</f>
        <v>0</v>
      </c>
      <c r="Z26" s="1" t="n">
        <f aca="false">0.5*(E26*M26+F26*N26+G26*O26+H26*P26-1)+(0+$U26*N26+$V26*O26+$W26*P26)</f>
        <v>0</v>
      </c>
      <c r="AA26" s="1" t="n">
        <f aca="false">0.5*(E26*Q26+F26*R26+G26*S26+H26*T26-1)+(0+$U26*R26+$V26*S26+$W26*T26)</f>
        <v>0</v>
      </c>
      <c r="AB26" s="0" t="n">
        <f aca="false">IF(B26="V",-2,0)+IF(B26="E",-1,0)+IF(B26="O",0,0)+IF(B26="L",1,0)+Y26</f>
        <v>-1</v>
      </c>
      <c r="AC26" s="0" t="n">
        <f aca="false">IF(C26="V",-2,0)+IF(C26="E",-1,0)+IF(C26="O",0,0)+IF(C26="L",1,0)+Z26</f>
        <v>0</v>
      </c>
      <c r="AD26" s="0" t="n">
        <f aca="false">IF(D26="V",-2,0)+IF(D26="E",-1,0)+IF(D26="O",0,0)+IF(D26="L",1,0)+AA26</f>
        <v>-2</v>
      </c>
      <c r="AE26" s="1" t="n">
        <f aca="false">IF(B26="V",-2,0)+IF(B26="E",-1,0)+IF(B26="O",0,0)+IF(B26="L",1,0)</f>
        <v>-1</v>
      </c>
      <c r="AF26" s="1" t="n">
        <f aca="false">IF(B26="V",-2,0)+IF(B26="E",-1,0)+IF(B26="O",0,0)+IF(B26="L",1,0)+Y26</f>
        <v>-1</v>
      </c>
      <c r="AG26" s="1" t="n">
        <f aca="false">IF(B26="V",-2,0)+IF(B26="E",-1,0)+IF(B26="O",0,0)+IF(B26="L",1,0)+Y26*2</f>
        <v>-1</v>
      </c>
      <c r="AH26" s="1" t="n">
        <f aca="false">IF(C26="V",-2,0)+IF(C26="E",-1,0)+IF(C26="O",0,0)+IF(C26="L",1,0)</f>
        <v>0</v>
      </c>
      <c r="AI26" s="1" t="n">
        <f aca="false">IF(C26="V",-2,0)+IF(C26="E",-1,0)+IF(C26="O",0,0)+IF(C26="L",1,0)+Z26</f>
        <v>0</v>
      </c>
      <c r="AJ26" s="1" t="n">
        <f aca="false">IF(C26="V",-2,0)+IF(C26="E",-1,0)+IF(C26="O",0,0)+IF(C26="L",1,0)+Z26*2</f>
        <v>0</v>
      </c>
      <c r="AK26" s="1" t="n">
        <f aca="false">IF(D26="V",-2,0)+IF(D26="E",-1,0)+IF(D26="O",0,0)+IF(D26="L",1,0)</f>
        <v>-2</v>
      </c>
      <c r="AL26" s="1" t="n">
        <f aca="false">IF(D26="V",-2,0)+IF(D26="E",-1,0)+IF(D26="O",0,0)+IF(D26="L",1,0)+AA26</f>
        <v>-2</v>
      </c>
      <c r="AM26" s="1" t="n">
        <f aca="false">IF(D26="V",-2,0)+IF(D26="E",-1,0)+IF(D26="O",0,0)+IF(D26="L",1,0)+AA26*2</f>
        <v>-2</v>
      </c>
      <c r="AN26" s="1" t="n">
        <f aca="false">(ABS(IF(AE26&lt;0,AE26*Early,AE26*Late))+ABS(IF(AF26&lt;0,AF26*Early,AF26*Late))+ABS(IF(AG26&lt;0,AG26*Early,AG26*Late)))/3</f>
        <v>3</v>
      </c>
      <c r="AO26" s="1" t="n">
        <f aca="false">(ABS(IF(AH26&lt;0,AH26*Early,AH26*Late))+ABS(IF(AI26&lt;0,AI26*Early,AI26*Late))+ABS(IF(AJ26&lt;0,AJ26*Early,AJ26*Late)))/3</f>
        <v>0</v>
      </c>
      <c r="AP26" s="1" t="n">
        <f aca="false">(ABS(IF(AK26&lt;0,AK26*Early,AK26*Late))+ABS(IF(AL26&lt;0,AL26*Early,AL26*Late))+ABS(IF(AM26&lt;0,AM26*Early,AM26*Late)))/3</f>
        <v>6</v>
      </c>
      <c r="AQ26" s="0" t="n">
        <f aca="false">Y26*Delay+AN26</f>
        <v>3</v>
      </c>
      <c r="AR26" s="0" t="n">
        <f aca="false">Z26*Delay+AO26</f>
        <v>0</v>
      </c>
      <c r="AS26" s="0" t="n">
        <f aca="false">AA26*Delay+AP26</f>
        <v>6</v>
      </c>
      <c r="AT26" s="1" t="n">
        <f aca="false">VLOOKUP(A26,SortA!$A$1:$AT$65,46,FALSE())</f>
        <v>0</v>
      </c>
      <c r="AU26" s="1" t="n">
        <f aca="false">VLOOKUP(A26,SortB!$A$1:$AT$65,46,FALSE())</f>
        <v>1</v>
      </c>
      <c r="AV26" s="1" t="n">
        <f aca="false">VLOOKUP(A26,SortC!$A$1:$AT$65,46,FALSE())</f>
        <v>0</v>
      </c>
      <c r="AW26" s="0" t="n">
        <f aca="false">IF(SUM(AT26:AV26)=3,1,0)</f>
        <v>0</v>
      </c>
      <c r="AX26" s="0" t="str">
        <f aca="false">B26&amp;C26&amp;D26</f>
        <v>EOV</v>
      </c>
      <c r="AY26" s="1" t="n">
        <f aca="false">AQ26+AR26+AS26</f>
        <v>9</v>
      </c>
      <c r="AZ26" s="1" t="str">
        <f aca="false">RIGHT(AX26,2)</f>
        <v>OV</v>
      </c>
      <c r="BA26" s="1" t="str">
        <f aca="false">LEFT(AX26,1)&amp;RIGHT(AX26,1)</f>
        <v>EV</v>
      </c>
      <c r="BB26" s="1" t="str">
        <f aca="false">LEFT(AX26,2)</f>
        <v>EO</v>
      </c>
      <c r="BC26" s="1" t="n">
        <f aca="false">VLOOKUP(AZ26,TwoPlayers!$AG$1:$AH$17,2,FALSE())</f>
        <v>6</v>
      </c>
      <c r="BD26" s="1" t="n">
        <f aca="false">VLOOKUP(BA26,TwoPlayers!$AG$1:$AH$17,2,FALSE())</f>
        <v>9</v>
      </c>
      <c r="BE26" s="1" t="n">
        <f aca="false">VLOOKUP(BB26,TwoPlayers!$AG$1:$AH$17,2,FALSE())</f>
        <v>3</v>
      </c>
      <c r="BF26" s="1" t="n">
        <f aca="false">$AY26-BC26</f>
        <v>3</v>
      </c>
      <c r="BG26" s="1" t="n">
        <f aca="false">$AY26-BD26</f>
        <v>0</v>
      </c>
      <c r="BH26" s="1" t="n">
        <f aca="false">$AY26-BE26</f>
        <v>6</v>
      </c>
      <c r="BI26" s="0" t="str">
        <f aca="false">AX26</f>
        <v>EOV</v>
      </c>
      <c r="BJ26" s="1" t="n">
        <f aca="false">VLOOKUP(A26,SortA!$A$1:$BM$65,65,FALSE())</f>
        <v>1</v>
      </c>
      <c r="BK26" s="1" t="n">
        <f aca="false">VLOOKUP(A26,SortB!$A$1:$BM$65,65,FALSE())</f>
        <v>1</v>
      </c>
      <c r="BL26" s="1" t="n">
        <f aca="false">VLOOKUP(A26,SortC!$A$1:$BM$65,65,FALSE())</f>
        <v>0</v>
      </c>
      <c r="BM26" s="1" t="n">
        <f aca="false">IF(SUM(BJ26:BL26)=3,1,0)</f>
        <v>0</v>
      </c>
    </row>
    <row r="27" customFormat="false" ht="13" hidden="false" customHeight="false" outlineLevel="0" collapsed="false">
      <c r="A27" s="0" t="n">
        <f aca="false">A26+1</f>
        <v>26</v>
      </c>
      <c r="B27" s="0" t="s">
        <v>2</v>
      </c>
      <c r="C27" s="0" t="s">
        <v>3</v>
      </c>
      <c r="D27" s="0" t="s">
        <v>2</v>
      </c>
      <c r="E27" s="0" t="n">
        <f aca="false">(IF($B27="V",1,0))+IF($C27="V",1,0)+IF($D27="V",1,0)</f>
        <v>0</v>
      </c>
      <c r="F27" s="0" t="n">
        <f aca="false">(IF($B27="E",1,0))+IF($C27="E",1,0)+IF($D27="E",1,0)</f>
        <v>2</v>
      </c>
      <c r="G27" s="0" t="n">
        <f aca="false">(IF($B27="O",1,0))+IF($C27="O",1,0)+IF($D27="O",1,0)</f>
        <v>1</v>
      </c>
      <c r="H27" s="0" t="n">
        <f aca="false">(IF($B27="L",1,0))+IF($C27="L",1,0)+IF($D27="L",1,0)</f>
        <v>0</v>
      </c>
      <c r="I27" s="0" t="n">
        <f aca="false">(IF(B27="V",1,0))</f>
        <v>0</v>
      </c>
      <c r="J27" s="0" t="n">
        <f aca="false">(IF(B27="E",1,0))</f>
        <v>1</v>
      </c>
      <c r="K27" s="0" t="n">
        <f aca="false">(IF(B27="O",1,0))</f>
        <v>0</v>
      </c>
      <c r="L27" s="0" t="n">
        <f aca="false">(IF(B27="L",1,0))</f>
        <v>0</v>
      </c>
      <c r="M27" s="0" t="n">
        <f aca="false">(IF(C27="V",1,0))</f>
        <v>0</v>
      </c>
      <c r="N27" s="0" t="n">
        <f aca="false">(IF(C27="E",1,0))</f>
        <v>0</v>
      </c>
      <c r="O27" s="0" t="n">
        <f aca="false">(IF(C27="O",1,0))</f>
        <v>1</v>
      </c>
      <c r="P27" s="0" t="n">
        <f aca="false">(IF(C27="L",1,0))</f>
        <v>0</v>
      </c>
      <c r="Q27" s="0" t="n">
        <f aca="false">(IF(D27="V",1,0))</f>
        <v>0</v>
      </c>
      <c r="R27" s="0" t="n">
        <f aca="false">(IF(D27="E",1,0))</f>
        <v>1</v>
      </c>
      <c r="S27" s="0" t="n">
        <f aca="false">(IF(D27="O",1,0))</f>
        <v>0</v>
      </c>
      <c r="T27" s="0" t="n">
        <f aca="false">(IF(D27="L",1,0))</f>
        <v>0</v>
      </c>
      <c r="U27" s="0" t="n">
        <f aca="false">MAX(E27-1,0)</f>
        <v>0</v>
      </c>
      <c r="V27" s="0" t="n">
        <f aca="false">MAX(U27-1+F27,0)</f>
        <v>1</v>
      </c>
      <c r="W27" s="0" t="n">
        <f aca="false">MAX(V27-1+G27,0)</f>
        <v>1</v>
      </c>
      <c r="X27" s="0" t="n">
        <f aca="false">MAX(W27-1+H27,0)</f>
        <v>0</v>
      </c>
      <c r="Y27" s="1" t="n">
        <f aca="false">0.5*(E27*I27+F27*J27+G27*K27+H27*L27-1)+(0+$U27*J27+$V27*K27+$W27*L27)</f>
        <v>0.5</v>
      </c>
      <c r="Z27" s="1" t="n">
        <f aca="false">0.5*(E27*M27+F27*N27+G27*O27+H27*P27-1)+(0+$U27*N27+$V27*O27+$W27*P27)</f>
        <v>1</v>
      </c>
      <c r="AA27" s="1" t="n">
        <f aca="false">0.5*(E27*Q27+F27*R27+G27*S27+H27*T27-1)+(0+$U27*R27+$V27*S27+$W27*T27)</f>
        <v>0.5</v>
      </c>
      <c r="AB27" s="0" t="n">
        <f aca="false">IF(B27="V",-2,0)+IF(B27="E",-1,0)+IF(B27="O",0,0)+IF(B27="L",1,0)+Y27</f>
        <v>-0.5</v>
      </c>
      <c r="AC27" s="0" t="n">
        <f aca="false">IF(C27="V",-2,0)+IF(C27="E",-1,0)+IF(C27="O",0,0)+IF(C27="L",1,0)+Z27</f>
        <v>1</v>
      </c>
      <c r="AD27" s="0" t="n">
        <f aca="false">IF(D27="V",-2,0)+IF(D27="E",-1,0)+IF(D27="O",0,0)+IF(D27="L",1,0)+AA27</f>
        <v>-0.5</v>
      </c>
      <c r="AE27" s="1" t="n">
        <f aca="false">IF(B27="V",-2,0)+IF(B27="E",-1,0)+IF(B27="O",0,0)+IF(B27="L",1,0)</f>
        <v>-1</v>
      </c>
      <c r="AF27" s="1" t="n">
        <f aca="false">IF(B27="V",-2,0)+IF(B27="E",-1,0)+IF(B27="O",0,0)+IF(B27="L",1,0)+Y27</f>
        <v>-0.5</v>
      </c>
      <c r="AG27" s="1" t="n">
        <f aca="false">IF(B27="V",-2,0)+IF(B27="E",-1,0)+IF(B27="O",0,0)+IF(B27="L",1,0)+Y27*2</f>
        <v>0</v>
      </c>
      <c r="AH27" s="1" t="n">
        <f aca="false">IF(C27="V",-2,0)+IF(C27="E",-1,0)+IF(C27="O",0,0)+IF(C27="L",1,0)</f>
        <v>0</v>
      </c>
      <c r="AI27" s="1" t="n">
        <f aca="false">IF(C27="V",-2,0)+IF(C27="E",-1,0)+IF(C27="O",0,0)+IF(C27="L",1,0)+Z27</f>
        <v>1</v>
      </c>
      <c r="AJ27" s="1" t="n">
        <f aca="false">IF(C27="V",-2,0)+IF(C27="E",-1,0)+IF(C27="O",0,0)+IF(C27="L",1,0)+Z27*2</f>
        <v>2</v>
      </c>
      <c r="AK27" s="1" t="n">
        <f aca="false">IF(D27="V",-2,0)+IF(D27="E",-1,0)+IF(D27="O",0,0)+IF(D27="L",1,0)</f>
        <v>-1</v>
      </c>
      <c r="AL27" s="1" t="n">
        <f aca="false">IF(D27="V",-2,0)+IF(D27="E",-1,0)+IF(D27="O",0,0)+IF(D27="L",1,0)+AA27</f>
        <v>-0.5</v>
      </c>
      <c r="AM27" s="1" t="n">
        <f aca="false">IF(D27="V",-2,0)+IF(D27="E",-1,0)+IF(D27="O",0,0)+IF(D27="L",1,0)+AA27*2</f>
        <v>0</v>
      </c>
      <c r="AN27" s="1" t="n">
        <f aca="false">(ABS(IF(AE27&lt;0,AE27*Early,AE27*Late))+ABS(IF(AF27&lt;0,AF27*Early,AF27*Late))+ABS(IF(AG27&lt;0,AG27*Early,AG27*Late)))/3</f>
        <v>1.5</v>
      </c>
      <c r="AO27" s="1" t="n">
        <f aca="false">(ABS(IF(AH27&lt;0,AH27*Early,AH27*Late))+ABS(IF(AI27&lt;0,AI27*Early,AI27*Late))+ABS(IF(AJ27&lt;0,AJ27*Early,AJ27*Late)))/3</f>
        <v>4</v>
      </c>
      <c r="AP27" s="1" t="n">
        <f aca="false">(ABS(IF(AK27&lt;0,AK27*Early,AK27*Late))+ABS(IF(AL27&lt;0,AL27*Early,AL27*Late))+ABS(IF(AM27&lt;0,AM27*Early,AM27*Late)))/3</f>
        <v>1.5</v>
      </c>
      <c r="AQ27" s="0" t="n">
        <f aca="false">Y27*Delay+AN27</f>
        <v>2</v>
      </c>
      <c r="AR27" s="0" t="n">
        <f aca="false">Z27*Delay+AO27</f>
        <v>5</v>
      </c>
      <c r="AS27" s="0" t="n">
        <f aca="false">AA27*Delay+AP27</f>
        <v>2</v>
      </c>
      <c r="AT27" s="1" t="n">
        <f aca="false">VLOOKUP(A27,SortA!$A$1:$AT$65,46,FALSE())</f>
        <v>1</v>
      </c>
      <c r="AU27" s="1" t="n">
        <f aca="false">VLOOKUP(A27,SortB!$A$1:$AT$65,46,FALSE())</f>
        <v>0</v>
      </c>
      <c r="AV27" s="1" t="n">
        <f aca="false">VLOOKUP(A27,SortC!$A$1:$AT$65,46,FALSE())</f>
        <v>1</v>
      </c>
      <c r="AW27" s="0" t="n">
        <f aca="false">IF(SUM(AT27:AV27)=3,1,0)</f>
        <v>0</v>
      </c>
      <c r="AX27" s="0" t="str">
        <f aca="false">B27&amp;C27&amp;D27</f>
        <v>EOE</v>
      </c>
      <c r="AY27" s="1" t="n">
        <f aca="false">AQ27+AR27+AS27</f>
        <v>9</v>
      </c>
      <c r="AZ27" s="1" t="str">
        <f aca="false">RIGHT(AX27,2)</f>
        <v>OE</v>
      </c>
      <c r="BA27" s="1" t="str">
        <f aca="false">LEFT(AX27,1)&amp;RIGHT(AX27,1)</f>
        <v>EE</v>
      </c>
      <c r="BB27" s="1" t="str">
        <f aca="false">LEFT(AX27,2)</f>
        <v>EO</v>
      </c>
      <c r="BC27" s="1" t="n">
        <f aca="false">VLOOKUP(AZ27,TwoPlayers!$AG$1:$AH$17,2,FALSE())</f>
        <v>3</v>
      </c>
      <c r="BD27" s="1" t="n">
        <f aca="false">VLOOKUP(BA27,TwoPlayers!$AG$1:$AH$17,2,FALSE())</f>
        <v>4</v>
      </c>
      <c r="BE27" s="1" t="n">
        <f aca="false">VLOOKUP(BB27,TwoPlayers!$AG$1:$AH$17,2,FALSE())</f>
        <v>3</v>
      </c>
      <c r="BF27" s="1" t="n">
        <f aca="false">$AY27-BC27</f>
        <v>6</v>
      </c>
      <c r="BG27" s="1" t="n">
        <f aca="false">$AY27-BD27</f>
        <v>5</v>
      </c>
      <c r="BH27" s="1" t="n">
        <f aca="false">$AY27-BE27</f>
        <v>6</v>
      </c>
      <c r="BI27" s="0" t="str">
        <f aca="false">AX27</f>
        <v>EOE</v>
      </c>
      <c r="BJ27" s="1" t="n">
        <f aca="false">VLOOKUP(A27,SortA!$A$1:$BM$65,65,FALSE())</f>
        <v>0</v>
      </c>
      <c r="BK27" s="1" t="n">
        <f aca="false">VLOOKUP(A27,SortB!$A$1:$BM$65,65,FALSE())</f>
        <v>0</v>
      </c>
      <c r="BL27" s="1" t="n">
        <f aca="false">VLOOKUP(A27,SortC!$A$1:$BM$65,65,FALSE())</f>
        <v>0</v>
      </c>
      <c r="BM27" s="1" t="n">
        <f aca="false">IF(SUM(BJ27:BL27)=3,1,0)</f>
        <v>0</v>
      </c>
    </row>
    <row r="28" customFormat="false" ht="13" hidden="false" customHeight="false" outlineLevel="0" collapsed="false">
      <c r="A28" s="0" t="n">
        <f aca="false">A27+1</f>
        <v>27</v>
      </c>
      <c r="B28" s="0" t="s">
        <v>2</v>
      </c>
      <c r="C28" s="0" t="s">
        <v>3</v>
      </c>
      <c r="D28" s="0" t="s">
        <v>3</v>
      </c>
      <c r="E28" s="0" t="n">
        <f aca="false">(IF($B28="V",1,0))+IF($C28="V",1,0)+IF($D28="V",1,0)</f>
        <v>0</v>
      </c>
      <c r="F28" s="0" t="n">
        <f aca="false">(IF($B28="E",1,0))+IF($C28="E",1,0)+IF($D28="E",1,0)</f>
        <v>1</v>
      </c>
      <c r="G28" s="0" t="n">
        <f aca="false">(IF($B28="O",1,0))+IF($C28="O",1,0)+IF($D28="O",1,0)</f>
        <v>2</v>
      </c>
      <c r="H28" s="0" t="n">
        <f aca="false">(IF($B28="L",1,0))+IF($C28="L",1,0)+IF($D28="L",1,0)</f>
        <v>0</v>
      </c>
      <c r="I28" s="0" t="n">
        <f aca="false">(IF(B28="V",1,0))</f>
        <v>0</v>
      </c>
      <c r="J28" s="0" t="n">
        <f aca="false">(IF(B28="E",1,0))</f>
        <v>1</v>
      </c>
      <c r="K28" s="0" t="n">
        <f aca="false">(IF(B28="O",1,0))</f>
        <v>0</v>
      </c>
      <c r="L28" s="0" t="n">
        <f aca="false">(IF(B28="L",1,0))</f>
        <v>0</v>
      </c>
      <c r="M28" s="0" t="n">
        <f aca="false">(IF(C28="V",1,0))</f>
        <v>0</v>
      </c>
      <c r="N28" s="0" t="n">
        <f aca="false">(IF(C28="E",1,0))</f>
        <v>0</v>
      </c>
      <c r="O28" s="0" t="n">
        <f aca="false">(IF(C28="O",1,0))</f>
        <v>1</v>
      </c>
      <c r="P28" s="0" t="n">
        <f aca="false">(IF(C28="L",1,0))</f>
        <v>0</v>
      </c>
      <c r="Q28" s="0" t="n">
        <f aca="false">(IF(D28="V",1,0))</f>
        <v>0</v>
      </c>
      <c r="R28" s="0" t="n">
        <f aca="false">(IF(D28="E",1,0))</f>
        <v>0</v>
      </c>
      <c r="S28" s="0" t="n">
        <f aca="false">(IF(D28="O",1,0))</f>
        <v>1</v>
      </c>
      <c r="T28" s="0" t="n">
        <f aca="false">(IF(D28="L",1,0))</f>
        <v>0</v>
      </c>
      <c r="U28" s="0" t="n">
        <f aca="false">MAX(E28-1,0)</f>
        <v>0</v>
      </c>
      <c r="V28" s="0" t="n">
        <f aca="false">MAX(U28-1+F28,0)</f>
        <v>0</v>
      </c>
      <c r="W28" s="0" t="n">
        <f aca="false">MAX(V28-1+G28,0)</f>
        <v>1</v>
      </c>
      <c r="X28" s="0" t="n">
        <f aca="false">MAX(W28-1+H28,0)</f>
        <v>0</v>
      </c>
      <c r="Y28" s="1" t="n">
        <f aca="false">0.5*(E28*I28+F28*J28+G28*K28+H28*L28-1)+(0+$U28*J28+$V28*K28+$W28*L28)</f>
        <v>0</v>
      </c>
      <c r="Z28" s="1" t="n">
        <f aca="false">0.5*(E28*M28+F28*N28+G28*O28+H28*P28-1)+(0+$U28*N28+$V28*O28+$W28*P28)</f>
        <v>0.5</v>
      </c>
      <c r="AA28" s="1" t="n">
        <f aca="false">0.5*(E28*Q28+F28*R28+G28*S28+H28*T28-1)+(0+$U28*R28+$V28*S28+$W28*T28)</f>
        <v>0.5</v>
      </c>
      <c r="AB28" s="0" t="n">
        <f aca="false">IF(B28="V",-2,0)+IF(B28="E",-1,0)+IF(B28="O",0,0)+IF(B28="L",1,0)+Y28</f>
        <v>-1</v>
      </c>
      <c r="AC28" s="0" t="n">
        <f aca="false">IF(C28="V",-2,0)+IF(C28="E",-1,0)+IF(C28="O",0,0)+IF(C28="L",1,0)+Z28</f>
        <v>0.5</v>
      </c>
      <c r="AD28" s="0" t="n">
        <f aca="false">IF(D28="V",-2,0)+IF(D28="E",-1,0)+IF(D28="O",0,0)+IF(D28="L",1,0)+AA28</f>
        <v>0.5</v>
      </c>
      <c r="AE28" s="1" t="n">
        <f aca="false">IF(B28="V",-2,0)+IF(B28="E",-1,0)+IF(B28="O",0,0)+IF(B28="L",1,0)</f>
        <v>-1</v>
      </c>
      <c r="AF28" s="1" t="n">
        <f aca="false">IF(B28="V",-2,0)+IF(B28="E",-1,0)+IF(B28="O",0,0)+IF(B28="L",1,0)+Y28</f>
        <v>-1</v>
      </c>
      <c r="AG28" s="1" t="n">
        <f aca="false">IF(B28="V",-2,0)+IF(B28="E",-1,0)+IF(B28="O",0,0)+IF(B28="L",1,0)+Y28*2</f>
        <v>-1</v>
      </c>
      <c r="AH28" s="1" t="n">
        <f aca="false">IF(C28="V",-2,0)+IF(C28="E",-1,0)+IF(C28="O",0,0)+IF(C28="L",1,0)</f>
        <v>0</v>
      </c>
      <c r="AI28" s="1" t="n">
        <f aca="false">IF(C28="V",-2,0)+IF(C28="E",-1,0)+IF(C28="O",0,0)+IF(C28="L",1,0)+Z28</f>
        <v>0.5</v>
      </c>
      <c r="AJ28" s="1" t="n">
        <f aca="false">IF(C28="V",-2,0)+IF(C28="E",-1,0)+IF(C28="O",0,0)+IF(C28="L",1,0)+Z28*2</f>
        <v>1</v>
      </c>
      <c r="AK28" s="1" t="n">
        <f aca="false">IF(D28="V",-2,0)+IF(D28="E",-1,0)+IF(D28="O",0,0)+IF(D28="L",1,0)</f>
        <v>0</v>
      </c>
      <c r="AL28" s="1" t="n">
        <f aca="false">IF(D28="V",-2,0)+IF(D28="E",-1,0)+IF(D28="O",0,0)+IF(D28="L",1,0)+AA28</f>
        <v>0.5</v>
      </c>
      <c r="AM28" s="1" t="n">
        <f aca="false">IF(D28="V",-2,0)+IF(D28="E",-1,0)+IF(D28="O",0,0)+IF(D28="L",1,0)+AA28*2</f>
        <v>1</v>
      </c>
      <c r="AN28" s="1" t="n">
        <f aca="false">(ABS(IF(AE28&lt;0,AE28*Early,AE28*Late))+ABS(IF(AF28&lt;0,AF28*Early,AF28*Late))+ABS(IF(AG28&lt;0,AG28*Early,AG28*Late)))/3</f>
        <v>3</v>
      </c>
      <c r="AO28" s="1" t="n">
        <f aca="false">(ABS(IF(AH28&lt;0,AH28*Early,AH28*Late))+ABS(IF(AI28&lt;0,AI28*Early,AI28*Late))+ABS(IF(AJ28&lt;0,AJ28*Early,AJ28*Late)))/3</f>
        <v>2</v>
      </c>
      <c r="AP28" s="1" t="n">
        <f aca="false">(ABS(IF(AK28&lt;0,AK28*Early,AK28*Late))+ABS(IF(AL28&lt;0,AL28*Early,AL28*Late))+ABS(IF(AM28&lt;0,AM28*Early,AM28*Late)))/3</f>
        <v>2</v>
      </c>
      <c r="AQ28" s="0" t="n">
        <f aca="false">Y28*Delay+AN28</f>
        <v>3</v>
      </c>
      <c r="AR28" s="0" t="n">
        <f aca="false">Z28*Delay+AO28</f>
        <v>2.5</v>
      </c>
      <c r="AS28" s="0" t="n">
        <f aca="false">AA28*Delay+AP28</f>
        <v>2.5</v>
      </c>
      <c r="AT28" s="1" t="n">
        <f aca="false">VLOOKUP(A28,SortA!$A$1:$AT$65,46,FALSE())</f>
        <v>1</v>
      </c>
      <c r="AU28" s="1" t="n">
        <f aca="false">VLOOKUP(A28,SortB!$A$1:$AT$65,46,FALSE())</f>
        <v>0</v>
      </c>
      <c r="AV28" s="1" t="n">
        <f aca="false">VLOOKUP(A28,SortC!$A$1:$AT$65,46,FALSE())</f>
        <v>0</v>
      </c>
      <c r="AW28" s="0" t="n">
        <f aca="false">IF(SUM(AT28:AV28)=3,1,0)</f>
        <v>0</v>
      </c>
      <c r="AX28" s="0" t="str">
        <f aca="false">B28&amp;C28&amp;D28</f>
        <v>EOO</v>
      </c>
      <c r="AY28" s="1" t="n">
        <f aca="false">AQ28+AR28+AS28</f>
        <v>8</v>
      </c>
      <c r="AZ28" s="1" t="str">
        <f aca="false">RIGHT(AX28,2)</f>
        <v>OO</v>
      </c>
      <c r="BA28" s="1" t="str">
        <f aca="false">LEFT(AX28,1)&amp;RIGHT(AX28,1)</f>
        <v>EO</v>
      </c>
      <c r="BB28" s="1" t="str">
        <f aca="false">LEFT(AX28,2)</f>
        <v>EO</v>
      </c>
      <c r="BC28" s="1" t="n">
        <f aca="false">VLOOKUP(AZ28,TwoPlayers!$AG$1:$AH$17,2,FALSE())</f>
        <v>5</v>
      </c>
      <c r="BD28" s="1" t="n">
        <f aca="false">VLOOKUP(BA28,TwoPlayers!$AG$1:$AH$17,2,FALSE())</f>
        <v>3</v>
      </c>
      <c r="BE28" s="1" t="n">
        <f aca="false">VLOOKUP(BB28,TwoPlayers!$AG$1:$AH$17,2,FALSE())</f>
        <v>3</v>
      </c>
      <c r="BF28" s="1" t="n">
        <f aca="false">$AY28-BC28</f>
        <v>3</v>
      </c>
      <c r="BG28" s="1" t="n">
        <f aca="false">$AY28-BD28</f>
        <v>5</v>
      </c>
      <c r="BH28" s="1" t="n">
        <f aca="false">$AY28-BE28</f>
        <v>5</v>
      </c>
      <c r="BI28" s="0" t="str">
        <f aca="false">AX28</f>
        <v>EOO</v>
      </c>
      <c r="BJ28" s="1" t="n">
        <f aca="false">VLOOKUP(A28,SortA!$A$1:$BM$65,65,FALSE())</f>
        <v>1</v>
      </c>
      <c r="BK28" s="1" t="n">
        <f aca="false">VLOOKUP(A28,SortB!$A$1:$BM$65,65,FALSE())</f>
        <v>1</v>
      </c>
      <c r="BL28" s="1" t="n">
        <f aca="false">VLOOKUP(A28,SortC!$A$1:$BM$65,65,FALSE())</f>
        <v>1</v>
      </c>
      <c r="BM28" s="1" t="n">
        <f aca="false">IF(SUM(BJ28:BL28)=3,1,0)</f>
        <v>1</v>
      </c>
    </row>
    <row r="29" customFormat="false" ht="13" hidden="false" customHeight="false" outlineLevel="0" collapsed="false">
      <c r="A29" s="0" t="n">
        <f aca="false">A28+1</f>
        <v>28</v>
      </c>
      <c r="B29" s="0" t="s">
        <v>2</v>
      </c>
      <c r="C29" s="0" t="s">
        <v>3</v>
      </c>
      <c r="D29" s="0" t="s">
        <v>4</v>
      </c>
      <c r="E29" s="0" t="n">
        <f aca="false">(IF($B29="V",1,0))+IF($C29="V",1,0)+IF($D29="V",1,0)</f>
        <v>0</v>
      </c>
      <c r="F29" s="0" t="n">
        <f aca="false">(IF($B29="E",1,0))+IF($C29="E",1,0)+IF($D29="E",1,0)</f>
        <v>1</v>
      </c>
      <c r="G29" s="0" t="n">
        <f aca="false">(IF($B29="O",1,0))+IF($C29="O",1,0)+IF($D29="O",1,0)</f>
        <v>1</v>
      </c>
      <c r="H29" s="0" t="n">
        <f aca="false">(IF($B29="L",1,0))+IF($C29="L",1,0)+IF($D29="L",1,0)</f>
        <v>1</v>
      </c>
      <c r="I29" s="0" t="n">
        <f aca="false">(IF(B29="V",1,0))</f>
        <v>0</v>
      </c>
      <c r="J29" s="0" t="n">
        <f aca="false">(IF(B29="E",1,0))</f>
        <v>1</v>
      </c>
      <c r="K29" s="0" t="n">
        <f aca="false">(IF(B29="O",1,0))</f>
        <v>0</v>
      </c>
      <c r="L29" s="0" t="n">
        <f aca="false">(IF(B29="L",1,0))</f>
        <v>0</v>
      </c>
      <c r="M29" s="0" t="n">
        <f aca="false">(IF(C29="V",1,0))</f>
        <v>0</v>
      </c>
      <c r="N29" s="0" t="n">
        <f aca="false">(IF(C29="E",1,0))</f>
        <v>0</v>
      </c>
      <c r="O29" s="0" t="n">
        <f aca="false">(IF(C29="O",1,0))</f>
        <v>1</v>
      </c>
      <c r="P29" s="0" t="n">
        <f aca="false">(IF(C29="L",1,0))</f>
        <v>0</v>
      </c>
      <c r="Q29" s="0" t="n">
        <f aca="false">(IF(D29="V",1,0))</f>
        <v>0</v>
      </c>
      <c r="R29" s="0" t="n">
        <f aca="false">(IF(D29="E",1,0))</f>
        <v>0</v>
      </c>
      <c r="S29" s="0" t="n">
        <f aca="false">(IF(D29="O",1,0))</f>
        <v>0</v>
      </c>
      <c r="T29" s="0" t="n">
        <f aca="false">(IF(D29="L",1,0))</f>
        <v>1</v>
      </c>
      <c r="U29" s="0" t="n">
        <f aca="false">MAX(E29-1,0)</f>
        <v>0</v>
      </c>
      <c r="V29" s="0" t="n">
        <f aca="false">MAX(U29-1+F29,0)</f>
        <v>0</v>
      </c>
      <c r="W29" s="0" t="n">
        <f aca="false">MAX(V29-1+G29,0)</f>
        <v>0</v>
      </c>
      <c r="X29" s="0" t="n">
        <f aca="false">MAX(W29-1+H29,0)</f>
        <v>0</v>
      </c>
      <c r="Y29" s="1" t="n">
        <f aca="false">0.5*(E29*I29+F29*J29+G29*K29+H29*L29-1)+(0+$U29*J29+$V29*K29+$W29*L29)</f>
        <v>0</v>
      </c>
      <c r="Z29" s="1" t="n">
        <f aca="false">0.5*(E29*M29+F29*N29+G29*O29+H29*P29-1)+(0+$U29*N29+$V29*O29+$W29*P29)</f>
        <v>0</v>
      </c>
      <c r="AA29" s="1" t="n">
        <f aca="false">0.5*(E29*Q29+F29*R29+G29*S29+H29*T29-1)+(0+$U29*R29+$V29*S29+$W29*T29)</f>
        <v>0</v>
      </c>
      <c r="AB29" s="0" t="n">
        <f aca="false">IF(B29="V",-2,0)+IF(B29="E",-1,0)+IF(B29="O",0,0)+IF(B29="L",1,0)+Y29</f>
        <v>-1</v>
      </c>
      <c r="AC29" s="0" t="n">
        <f aca="false">IF(C29="V",-2,0)+IF(C29="E",-1,0)+IF(C29="O",0,0)+IF(C29="L",1,0)+Z29</f>
        <v>0</v>
      </c>
      <c r="AD29" s="0" t="n">
        <f aca="false">IF(D29="V",-2,0)+IF(D29="E",-1,0)+IF(D29="O",0,0)+IF(D29="L",1,0)+AA29</f>
        <v>1</v>
      </c>
      <c r="AE29" s="1" t="n">
        <f aca="false">IF(B29="V",-2,0)+IF(B29="E",-1,0)+IF(B29="O",0,0)+IF(B29="L",1,0)</f>
        <v>-1</v>
      </c>
      <c r="AF29" s="1" t="n">
        <f aca="false">IF(B29="V",-2,0)+IF(B29="E",-1,0)+IF(B29="O",0,0)+IF(B29="L",1,0)+Y29</f>
        <v>-1</v>
      </c>
      <c r="AG29" s="1" t="n">
        <f aca="false">IF(B29="V",-2,0)+IF(B29="E",-1,0)+IF(B29="O",0,0)+IF(B29="L",1,0)+Y29*2</f>
        <v>-1</v>
      </c>
      <c r="AH29" s="1" t="n">
        <f aca="false">IF(C29="V",-2,0)+IF(C29="E",-1,0)+IF(C29="O",0,0)+IF(C29="L",1,0)</f>
        <v>0</v>
      </c>
      <c r="AI29" s="1" t="n">
        <f aca="false">IF(C29="V",-2,0)+IF(C29="E",-1,0)+IF(C29="O",0,0)+IF(C29="L",1,0)+Z29</f>
        <v>0</v>
      </c>
      <c r="AJ29" s="1" t="n">
        <f aca="false">IF(C29="V",-2,0)+IF(C29="E",-1,0)+IF(C29="O",0,0)+IF(C29="L",1,0)+Z29*2</f>
        <v>0</v>
      </c>
      <c r="AK29" s="1" t="n">
        <f aca="false">IF(D29="V",-2,0)+IF(D29="E",-1,0)+IF(D29="O",0,0)+IF(D29="L",1,0)</f>
        <v>1</v>
      </c>
      <c r="AL29" s="1" t="n">
        <f aca="false">IF(D29="V",-2,0)+IF(D29="E",-1,0)+IF(D29="O",0,0)+IF(D29="L",1,0)+AA29</f>
        <v>1</v>
      </c>
      <c r="AM29" s="1" t="n">
        <f aca="false">IF(D29="V",-2,0)+IF(D29="E",-1,0)+IF(D29="O",0,0)+IF(D29="L",1,0)+AA29*2</f>
        <v>1</v>
      </c>
      <c r="AN29" s="1" t="n">
        <f aca="false">(ABS(IF(AE29&lt;0,AE29*Early,AE29*Late))+ABS(IF(AF29&lt;0,AF29*Early,AF29*Late))+ABS(IF(AG29&lt;0,AG29*Early,AG29*Late)))/3</f>
        <v>3</v>
      </c>
      <c r="AO29" s="1" t="n">
        <f aca="false">(ABS(IF(AH29&lt;0,AH29*Early,AH29*Late))+ABS(IF(AI29&lt;0,AI29*Early,AI29*Late))+ABS(IF(AJ29&lt;0,AJ29*Early,AJ29*Late)))/3</f>
        <v>0</v>
      </c>
      <c r="AP29" s="1" t="n">
        <f aca="false">(ABS(IF(AK29&lt;0,AK29*Early,AK29*Late))+ABS(IF(AL29&lt;0,AL29*Early,AL29*Late))+ABS(IF(AM29&lt;0,AM29*Early,AM29*Late)))/3</f>
        <v>4</v>
      </c>
      <c r="AQ29" s="0" t="n">
        <f aca="false">Y29*Delay+AN29</f>
        <v>3</v>
      </c>
      <c r="AR29" s="0" t="n">
        <f aca="false">Z29*Delay+AO29</f>
        <v>0</v>
      </c>
      <c r="AS29" s="0" t="n">
        <f aca="false">AA29*Delay+AP29</f>
        <v>4</v>
      </c>
      <c r="AT29" s="1" t="n">
        <f aca="false">VLOOKUP(A29,SortA!$A$1:$AT$65,46,FALSE())</f>
        <v>0</v>
      </c>
      <c r="AU29" s="1" t="n">
        <f aca="false">VLOOKUP(A29,SortB!$A$1:$AT$65,46,FALSE())</f>
        <v>1</v>
      </c>
      <c r="AV29" s="1" t="n">
        <f aca="false">VLOOKUP(A29,SortC!$A$1:$AT$65,46,FALSE())</f>
        <v>0</v>
      </c>
      <c r="AW29" s="0" t="n">
        <f aca="false">IF(SUM(AT29:AV29)=3,1,0)</f>
        <v>0</v>
      </c>
      <c r="AX29" s="0" t="str">
        <f aca="false">B29&amp;C29&amp;D29</f>
        <v>EOL</v>
      </c>
      <c r="AY29" s="1" t="n">
        <f aca="false">AQ29+AR29+AS29</f>
        <v>7</v>
      </c>
      <c r="AZ29" s="1" t="str">
        <f aca="false">RIGHT(AX29,2)</f>
        <v>OL</v>
      </c>
      <c r="BA29" s="1" t="str">
        <f aca="false">LEFT(AX29,1)&amp;RIGHT(AX29,1)</f>
        <v>EL</v>
      </c>
      <c r="BB29" s="1" t="str">
        <f aca="false">LEFT(AX29,2)</f>
        <v>EO</v>
      </c>
      <c r="BC29" s="1" t="n">
        <f aca="false">VLOOKUP(AZ29,TwoPlayers!$AG$1:$AH$17,2,FALSE())</f>
        <v>4</v>
      </c>
      <c r="BD29" s="1" t="n">
        <f aca="false">VLOOKUP(BA29,TwoPlayers!$AG$1:$AH$17,2,FALSE())</f>
        <v>7</v>
      </c>
      <c r="BE29" s="1" t="n">
        <f aca="false">VLOOKUP(BB29,TwoPlayers!$AG$1:$AH$17,2,FALSE())</f>
        <v>3</v>
      </c>
      <c r="BF29" s="1" t="n">
        <f aca="false">$AY29-BC29</f>
        <v>3</v>
      </c>
      <c r="BG29" s="1" t="n">
        <f aca="false">$AY29-BD29</f>
        <v>0</v>
      </c>
      <c r="BH29" s="1" t="n">
        <f aca="false">$AY29-BE29</f>
        <v>4</v>
      </c>
      <c r="BI29" s="0" t="str">
        <f aca="false">AX29</f>
        <v>EOL</v>
      </c>
      <c r="BJ29" s="1" t="n">
        <f aca="false">VLOOKUP(A29,SortA!$A$1:$BM$65,65,FALSE())</f>
        <v>1</v>
      </c>
      <c r="BK29" s="1" t="n">
        <f aca="false">VLOOKUP(A29,SortB!$A$1:$BM$65,65,FALSE())</f>
        <v>1</v>
      </c>
      <c r="BL29" s="1" t="n">
        <f aca="false">VLOOKUP(A29,SortC!$A$1:$BM$65,65,FALSE())</f>
        <v>0</v>
      </c>
      <c r="BM29" s="1" t="n">
        <f aca="false">IF(SUM(BJ29:BL29)=3,1,0)</f>
        <v>0</v>
      </c>
    </row>
    <row r="30" customFormat="false" ht="13" hidden="false" customHeight="false" outlineLevel="0" collapsed="false">
      <c r="A30" s="0" t="n">
        <f aca="false">A29+1</f>
        <v>29</v>
      </c>
      <c r="B30" s="0" t="s">
        <v>2</v>
      </c>
      <c r="C30" s="0" t="s">
        <v>4</v>
      </c>
      <c r="D30" s="0" t="s">
        <v>1</v>
      </c>
      <c r="E30" s="0" t="n">
        <f aca="false">(IF($B30="V",1,0))+IF($C30="V",1,0)+IF($D30="V",1,0)</f>
        <v>1</v>
      </c>
      <c r="F30" s="0" t="n">
        <f aca="false">(IF($B30="E",1,0))+IF($C30="E",1,0)+IF($D30="E",1,0)</f>
        <v>1</v>
      </c>
      <c r="G30" s="0" t="n">
        <f aca="false">(IF($B30="O",1,0))+IF($C30="O",1,0)+IF($D30="O",1,0)</f>
        <v>0</v>
      </c>
      <c r="H30" s="0" t="n">
        <f aca="false">(IF($B30="L",1,0))+IF($C30="L",1,0)+IF($D30="L",1,0)</f>
        <v>1</v>
      </c>
      <c r="I30" s="0" t="n">
        <f aca="false">(IF(B30="V",1,0))</f>
        <v>0</v>
      </c>
      <c r="J30" s="0" t="n">
        <f aca="false">(IF(B30="E",1,0))</f>
        <v>1</v>
      </c>
      <c r="K30" s="0" t="n">
        <f aca="false">(IF(B30="O",1,0))</f>
        <v>0</v>
      </c>
      <c r="L30" s="0" t="n">
        <f aca="false">(IF(B30="L",1,0))</f>
        <v>0</v>
      </c>
      <c r="M30" s="0" t="n">
        <f aca="false">(IF(C30="V",1,0))</f>
        <v>0</v>
      </c>
      <c r="N30" s="0" t="n">
        <f aca="false">(IF(C30="E",1,0))</f>
        <v>0</v>
      </c>
      <c r="O30" s="0" t="n">
        <f aca="false">(IF(C30="O",1,0))</f>
        <v>0</v>
      </c>
      <c r="P30" s="0" t="n">
        <f aca="false">(IF(C30="L",1,0))</f>
        <v>1</v>
      </c>
      <c r="Q30" s="0" t="n">
        <f aca="false">(IF(D30="V",1,0))</f>
        <v>1</v>
      </c>
      <c r="R30" s="0" t="n">
        <f aca="false">(IF(D30="E",1,0))</f>
        <v>0</v>
      </c>
      <c r="S30" s="0" t="n">
        <f aca="false">(IF(D30="O",1,0))</f>
        <v>0</v>
      </c>
      <c r="T30" s="0" t="n">
        <f aca="false">(IF(D30="L",1,0))</f>
        <v>0</v>
      </c>
      <c r="U30" s="0" t="n">
        <f aca="false">MAX(E30-1,0)</f>
        <v>0</v>
      </c>
      <c r="V30" s="0" t="n">
        <f aca="false">MAX(U30-1+F30,0)</f>
        <v>0</v>
      </c>
      <c r="W30" s="0" t="n">
        <f aca="false">MAX(V30-1+G30,0)</f>
        <v>0</v>
      </c>
      <c r="X30" s="0" t="n">
        <f aca="false">MAX(W30-1+H30,0)</f>
        <v>0</v>
      </c>
      <c r="Y30" s="1" t="n">
        <f aca="false">0.5*(E30*I30+F30*J30+G30*K30+H30*L30-1)+(0+$U30*J30+$V30*K30+$W30*L30)</f>
        <v>0</v>
      </c>
      <c r="Z30" s="1" t="n">
        <f aca="false">0.5*(E30*M30+F30*N30+G30*O30+H30*P30-1)+(0+$U30*N30+$V30*O30+$W30*P30)</f>
        <v>0</v>
      </c>
      <c r="AA30" s="1" t="n">
        <f aca="false">0.5*(E30*Q30+F30*R30+G30*S30+H30*T30-1)+(0+$U30*R30+$V30*S30+$W30*T30)</f>
        <v>0</v>
      </c>
      <c r="AB30" s="0" t="n">
        <f aca="false">IF(B30="V",-2,0)+IF(B30="E",-1,0)+IF(B30="O",0,0)+IF(B30="L",1,0)+Y30</f>
        <v>-1</v>
      </c>
      <c r="AC30" s="0" t="n">
        <f aca="false">IF(C30="V",-2,0)+IF(C30="E",-1,0)+IF(C30="O",0,0)+IF(C30="L",1,0)+Z30</f>
        <v>1</v>
      </c>
      <c r="AD30" s="0" t="n">
        <f aca="false">IF(D30="V",-2,0)+IF(D30="E",-1,0)+IF(D30="O",0,0)+IF(D30="L",1,0)+AA30</f>
        <v>-2</v>
      </c>
      <c r="AE30" s="1" t="n">
        <f aca="false">IF(B30="V",-2,0)+IF(B30="E",-1,0)+IF(B30="O",0,0)+IF(B30="L",1,0)</f>
        <v>-1</v>
      </c>
      <c r="AF30" s="1" t="n">
        <f aca="false">IF(B30="V",-2,0)+IF(B30="E",-1,0)+IF(B30="O",0,0)+IF(B30="L",1,0)+Y30</f>
        <v>-1</v>
      </c>
      <c r="AG30" s="1" t="n">
        <f aca="false">IF(B30="V",-2,0)+IF(B30="E",-1,0)+IF(B30="O",0,0)+IF(B30="L",1,0)+Y30*2</f>
        <v>-1</v>
      </c>
      <c r="AH30" s="1" t="n">
        <f aca="false">IF(C30="V",-2,0)+IF(C30="E",-1,0)+IF(C30="O",0,0)+IF(C30="L",1,0)</f>
        <v>1</v>
      </c>
      <c r="AI30" s="1" t="n">
        <f aca="false">IF(C30="V",-2,0)+IF(C30="E",-1,0)+IF(C30="O",0,0)+IF(C30="L",1,0)+Z30</f>
        <v>1</v>
      </c>
      <c r="AJ30" s="1" t="n">
        <f aca="false">IF(C30="V",-2,0)+IF(C30="E",-1,0)+IF(C30="O",0,0)+IF(C30="L",1,0)+Z30*2</f>
        <v>1</v>
      </c>
      <c r="AK30" s="1" t="n">
        <f aca="false">IF(D30="V",-2,0)+IF(D30="E",-1,0)+IF(D30="O",0,0)+IF(D30="L",1,0)</f>
        <v>-2</v>
      </c>
      <c r="AL30" s="1" t="n">
        <f aca="false">IF(D30="V",-2,0)+IF(D30="E",-1,0)+IF(D30="O",0,0)+IF(D30="L",1,0)+AA30</f>
        <v>-2</v>
      </c>
      <c r="AM30" s="1" t="n">
        <f aca="false">IF(D30="V",-2,0)+IF(D30="E",-1,0)+IF(D30="O",0,0)+IF(D30="L",1,0)+AA30*2</f>
        <v>-2</v>
      </c>
      <c r="AN30" s="1" t="n">
        <f aca="false">(ABS(IF(AE30&lt;0,AE30*Early,AE30*Late))+ABS(IF(AF30&lt;0,AF30*Early,AF30*Late))+ABS(IF(AG30&lt;0,AG30*Early,AG30*Late)))/3</f>
        <v>3</v>
      </c>
      <c r="AO30" s="1" t="n">
        <f aca="false">(ABS(IF(AH30&lt;0,AH30*Early,AH30*Late))+ABS(IF(AI30&lt;0,AI30*Early,AI30*Late))+ABS(IF(AJ30&lt;0,AJ30*Early,AJ30*Late)))/3</f>
        <v>4</v>
      </c>
      <c r="AP30" s="1" t="n">
        <f aca="false">(ABS(IF(AK30&lt;0,AK30*Early,AK30*Late))+ABS(IF(AL30&lt;0,AL30*Early,AL30*Late))+ABS(IF(AM30&lt;0,AM30*Early,AM30*Late)))/3</f>
        <v>6</v>
      </c>
      <c r="AQ30" s="0" t="n">
        <f aca="false">Y30*Delay+AN30</f>
        <v>3</v>
      </c>
      <c r="AR30" s="0" t="n">
        <f aca="false">Z30*Delay+AO30</f>
        <v>4</v>
      </c>
      <c r="AS30" s="0" t="n">
        <f aca="false">AA30*Delay+AP30</f>
        <v>6</v>
      </c>
      <c r="AT30" s="1" t="n">
        <f aca="false">VLOOKUP(A30,SortA!$A$1:$AT$65,46,FALSE())</f>
        <v>0</v>
      </c>
      <c r="AU30" s="1" t="n">
        <f aca="false">VLOOKUP(A30,SortB!$A$1:$AT$65,46,FALSE())</f>
        <v>0</v>
      </c>
      <c r="AV30" s="1" t="n">
        <f aca="false">VLOOKUP(A30,SortC!$A$1:$AT$65,46,FALSE())</f>
        <v>0</v>
      </c>
      <c r="AW30" s="0" t="n">
        <f aca="false">IF(SUM(AT30:AV30)=3,1,0)</f>
        <v>0</v>
      </c>
      <c r="AX30" s="0" t="str">
        <f aca="false">B30&amp;C30&amp;D30</f>
        <v>ELV</v>
      </c>
      <c r="AY30" s="1" t="n">
        <f aca="false">AQ30+AR30+AS30</f>
        <v>13</v>
      </c>
      <c r="AZ30" s="1" t="str">
        <f aca="false">RIGHT(AX30,2)</f>
        <v>LV</v>
      </c>
      <c r="BA30" s="1" t="str">
        <f aca="false">LEFT(AX30,1)&amp;RIGHT(AX30,1)</f>
        <v>EV</v>
      </c>
      <c r="BB30" s="1" t="str">
        <f aca="false">LEFT(AX30,2)</f>
        <v>EL</v>
      </c>
      <c r="BC30" s="1" t="n">
        <f aca="false">VLOOKUP(AZ30,TwoPlayers!$AG$1:$AH$17,2,FALSE())</f>
        <v>10</v>
      </c>
      <c r="BD30" s="1" t="n">
        <f aca="false">VLOOKUP(BA30,TwoPlayers!$AG$1:$AH$17,2,FALSE())</f>
        <v>9</v>
      </c>
      <c r="BE30" s="1" t="n">
        <f aca="false">VLOOKUP(BB30,TwoPlayers!$AG$1:$AH$17,2,FALSE())</f>
        <v>7</v>
      </c>
      <c r="BF30" s="1" t="n">
        <f aca="false">$AY30-BC30</f>
        <v>3</v>
      </c>
      <c r="BG30" s="1" t="n">
        <f aca="false">$AY30-BD30</f>
        <v>4</v>
      </c>
      <c r="BH30" s="1" t="n">
        <f aca="false">$AY30-BE30</f>
        <v>6</v>
      </c>
      <c r="BI30" s="0" t="str">
        <f aca="false">AX30</f>
        <v>ELV</v>
      </c>
      <c r="BJ30" s="1" t="n">
        <f aca="false">VLOOKUP(A30,SortA!$A$1:$BM$65,65,FALSE())</f>
        <v>0</v>
      </c>
      <c r="BK30" s="1" t="n">
        <f aca="false">VLOOKUP(A30,SortB!$A$1:$BM$65,65,FALSE())</f>
        <v>0</v>
      </c>
      <c r="BL30" s="1" t="n">
        <f aca="false">VLOOKUP(A30,SortC!$A$1:$BM$65,65,FALSE())</f>
        <v>0</v>
      </c>
      <c r="BM30" s="1" t="n">
        <f aca="false">IF(SUM(BJ30:BL30)=3,1,0)</f>
        <v>0</v>
      </c>
    </row>
    <row r="31" customFormat="false" ht="13" hidden="false" customHeight="false" outlineLevel="0" collapsed="false">
      <c r="A31" s="0" t="n">
        <f aca="false">A30+1</f>
        <v>30</v>
      </c>
      <c r="B31" s="0" t="s">
        <v>2</v>
      </c>
      <c r="C31" s="0" t="s">
        <v>4</v>
      </c>
      <c r="D31" s="0" t="s">
        <v>2</v>
      </c>
      <c r="E31" s="0" t="n">
        <f aca="false">(IF($B31="V",1,0))+IF($C31="V",1,0)+IF($D31="V",1,0)</f>
        <v>0</v>
      </c>
      <c r="F31" s="0" t="n">
        <f aca="false">(IF($B31="E",1,0))+IF($C31="E",1,0)+IF($D31="E",1,0)</f>
        <v>2</v>
      </c>
      <c r="G31" s="0" t="n">
        <f aca="false">(IF($B31="O",1,0))+IF($C31="O",1,0)+IF($D31="O",1,0)</f>
        <v>0</v>
      </c>
      <c r="H31" s="0" t="n">
        <f aca="false">(IF($B31="L",1,0))+IF($C31="L",1,0)+IF($D31="L",1,0)</f>
        <v>1</v>
      </c>
      <c r="I31" s="0" t="n">
        <f aca="false">(IF(B31="V",1,0))</f>
        <v>0</v>
      </c>
      <c r="J31" s="0" t="n">
        <f aca="false">(IF(B31="E",1,0))</f>
        <v>1</v>
      </c>
      <c r="K31" s="0" t="n">
        <f aca="false">(IF(B31="O",1,0))</f>
        <v>0</v>
      </c>
      <c r="L31" s="0" t="n">
        <f aca="false">(IF(B31="L",1,0))</f>
        <v>0</v>
      </c>
      <c r="M31" s="0" t="n">
        <f aca="false">(IF(C31="V",1,0))</f>
        <v>0</v>
      </c>
      <c r="N31" s="0" t="n">
        <f aca="false">(IF(C31="E",1,0))</f>
        <v>0</v>
      </c>
      <c r="O31" s="0" t="n">
        <f aca="false">(IF(C31="O",1,0))</f>
        <v>0</v>
      </c>
      <c r="P31" s="0" t="n">
        <f aca="false">(IF(C31="L",1,0))</f>
        <v>1</v>
      </c>
      <c r="Q31" s="0" t="n">
        <f aca="false">(IF(D31="V",1,0))</f>
        <v>0</v>
      </c>
      <c r="R31" s="0" t="n">
        <f aca="false">(IF(D31="E",1,0))</f>
        <v>1</v>
      </c>
      <c r="S31" s="0" t="n">
        <f aca="false">(IF(D31="O",1,0))</f>
        <v>0</v>
      </c>
      <c r="T31" s="0" t="n">
        <f aca="false">(IF(D31="L",1,0))</f>
        <v>0</v>
      </c>
      <c r="U31" s="0" t="n">
        <f aca="false">MAX(E31-1,0)</f>
        <v>0</v>
      </c>
      <c r="V31" s="0" t="n">
        <f aca="false">MAX(U31-1+F31,0)</f>
        <v>1</v>
      </c>
      <c r="W31" s="0" t="n">
        <f aca="false">MAX(V31-1+G31,0)</f>
        <v>0</v>
      </c>
      <c r="X31" s="0" t="n">
        <f aca="false">MAX(W31-1+H31,0)</f>
        <v>0</v>
      </c>
      <c r="Y31" s="1" t="n">
        <f aca="false">0.5*(E31*I31+F31*J31+G31*K31+H31*L31-1)+(0+$U31*J31+$V31*K31+$W31*L31)</f>
        <v>0.5</v>
      </c>
      <c r="Z31" s="1" t="n">
        <f aca="false">0.5*(E31*M31+F31*N31+G31*O31+H31*P31-1)+(0+$U31*N31+$V31*O31+$W31*P31)</f>
        <v>0</v>
      </c>
      <c r="AA31" s="1" t="n">
        <f aca="false">0.5*(E31*Q31+F31*R31+G31*S31+H31*T31-1)+(0+$U31*R31+$V31*S31+$W31*T31)</f>
        <v>0.5</v>
      </c>
      <c r="AB31" s="0" t="n">
        <f aca="false">IF(B31="V",-2,0)+IF(B31="E",-1,0)+IF(B31="O",0,0)+IF(B31="L",1,0)+Y31</f>
        <v>-0.5</v>
      </c>
      <c r="AC31" s="0" t="n">
        <f aca="false">IF(C31="V",-2,0)+IF(C31="E",-1,0)+IF(C31="O",0,0)+IF(C31="L",1,0)+Z31</f>
        <v>1</v>
      </c>
      <c r="AD31" s="0" t="n">
        <f aca="false">IF(D31="V",-2,0)+IF(D31="E",-1,0)+IF(D31="O",0,0)+IF(D31="L",1,0)+AA31</f>
        <v>-0.5</v>
      </c>
      <c r="AE31" s="1" t="n">
        <f aca="false">IF(B31="V",-2,0)+IF(B31="E",-1,0)+IF(B31="O",0,0)+IF(B31="L",1,0)</f>
        <v>-1</v>
      </c>
      <c r="AF31" s="1" t="n">
        <f aca="false">IF(B31="V",-2,0)+IF(B31="E",-1,0)+IF(B31="O",0,0)+IF(B31="L",1,0)+Y31</f>
        <v>-0.5</v>
      </c>
      <c r="AG31" s="1" t="n">
        <f aca="false">IF(B31="V",-2,0)+IF(B31="E",-1,0)+IF(B31="O",0,0)+IF(B31="L",1,0)+Y31*2</f>
        <v>0</v>
      </c>
      <c r="AH31" s="1" t="n">
        <f aca="false">IF(C31="V",-2,0)+IF(C31="E",-1,0)+IF(C31="O",0,0)+IF(C31="L",1,0)</f>
        <v>1</v>
      </c>
      <c r="AI31" s="1" t="n">
        <f aca="false">IF(C31="V",-2,0)+IF(C31="E",-1,0)+IF(C31="O",0,0)+IF(C31="L",1,0)+Z31</f>
        <v>1</v>
      </c>
      <c r="AJ31" s="1" t="n">
        <f aca="false">IF(C31="V",-2,0)+IF(C31="E",-1,0)+IF(C31="O",0,0)+IF(C31="L",1,0)+Z31*2</f>
        <v>1</v>
      </c>
      <c r="AK31" s="1" t="n">
        <f aca="false">IF(D31="V",-2,0)+IF(D31="E",-1,0)+IF(D31="O",0,0)+IF(D31="L",1,0)</f>
        <v>-1</v>
      </c>
      <c r="AL31" s="1" t="n">
        <f aca="false">IF(D31="V",-2,0)+IF(D31="E",-1,0)+IF(D31="O",0,0)+IF(D31="L",1,0)+AA31</f>
        <v>-0.5</v>
      </c>
      <c r="AM31" s="1" t="n">
        <f aca="false">IF(D31="V",-2,0)+IF(D31="E",-1,0)+IF(D31="O",0,0)+IF(D31="L",1,0)+AA31*2</f>
        <v>0</v>
      </c>
      <c r="AN31" s="1" t="n">
        <f aca="false">(ABS(IF(AE31&lt;0,AE31*Early,AE31*Late))+ABS(IF(AF31&lt;0,AF31*Early,AF31*Late))+ABS(IF(AG31&lt;0,AG31*Early,AG31*Late)))/3</f>
        <v>1.5</v>
      </c>
      <c r="AO31" s="1" t="n">
        <f aca="false">(ABS(IF(AH31&lt;0,AH31*Early,AH31*Late))+ABS(IF(AI31&lt;0,AI31*Early,AI31*Late))+ABS(IF(AJ31&lt;0,AJ31*Early,AJ31*Late)))/3</f>
        <v>4</v>
      </c>
      <c r="AP31" s="1" t="n">
        <f aca="false">(ABS(IF(AK31&lt;0,AK31*Early,AK31*Late))+ABS(IF(AL31&lt;0,AL31*Early,AL31*Late))+ABS(IF(AM31&lt;0,AM31*Early,AM31*Late)))/3</f>
        <v>1.5</v>
      </c>
      <c r="AQ31" s="0" t="n">
        <f aca="false">Y31*Delay+AN31</f>
        <v>2</v>
      </c>
      <c r="AR31" s="0" t="n">
        <f aca="false">Z31*Delay+AO31</f>
        <v>4</v>
      </c>
      <c r="AS31" s="0" t="n">
        <f aca="false">AA31*Delay+AP31</f>
        <v>2</v>
      </c>
      <c r="AT31" s="1" t="n">
        <f aca="false">VLOOKUP(A31,SortA!$A$1:$AT$65,46,FALSE())</f>
        <v>0</v>
      </c>
      <c r="AU31" s="1" t="n">
        <f aca="false">VLOOKUP(A31,SortB!$A$1:$AT$65,46,FALSE())</f>
        <v>0</v>
      </c>
      <c r="AV31" s="1" t="n">
        <f aca="false">VLOOKUP(A31,SortC!$A$1:$AT$65,46,FALSE())</f>
        <v>0</v>
      </c>
      <c r="AW31" s="0" t="n">
        <f aca="false">IF(SUM(AT31:AV31)=3,1,0)</f>
        <v>0</v>
      </c>
      <c r="AX31" s="0" t="str">
        <f aca="false">B31&amp;C31&amp;D31</f>
        <v>ELE</v>
      </c>
      <c r="AY31" s="1" t="n">
        <f aca="false">AQ31+AR31+AS31</f>
        <v>8</v>
      </c>
      <c r="AZ31" s="1" t="str">
        <f aca="false">RIGHT(AX31,2)</f>
        <v>LE</v>
      </c>
      <c r="BA31" s="1" t="str">
        <f aca="false">LEFT(AX31,1)&amp;RIGHT(AX31,1)</f>
        <v>EE</v>
      </c>
      <c r="BB31" s="1" t="str">
        <f aca="false">LEFT(AX31,2)</f>
        <v>EL</v>
      </c>
      <c r="BC31" s="1" t="n">
        <f aca="false">VLOOKUP(AZ31,TwoPlayers!$AG$1:$AH$17,2,FALSE())</f>
        <v>7</v>
      </c>
      <c r="BD31" s="1" t="n">
        <f aca="false">VLOOKUP(BA31,TwoPlayers!$AG$1:$AH$17,2,FALSE())</f>
        <v>4</v>
      </c>
      <c r="BE31" s="1" t="n">
        <f aca="false">VLOOKUP(BB31,TwoPlayers!$AG$1:$AH$17,2,FALSE())</f>
        <v>7</v>
      </c>
      <c r="BF31" s="1" t="n">
        <f aca="false">$AY31-BC31</f>
        <v>1</v>
      </c>
      <c r="BG31" s="1" t="n">
        <f aca="false">$AY31-BD31</f>
        <v>4</v>
      </c>
      <c r="BH31" s="1" t="n">
        <f aca="false">$AY31-BE31</f>
        <v>1</v>
      </c>
      <c r="BI31" s="0" t="str">
        <f aca="false">AX31</f>
        <v>ELE</v>
      </c>
      <c r="BJ31" s="1" t="n">
        <f aca="false">VLOOKUP(A31,SortA!$A$1:$BM$65,65,FALSE())</f>
        <v>0</v>
      </c>
      <c r="BK31" s="1" t="n">
        <f aca="false">VLOOKUP(A31,SortB!$A$1:$BM$65,65,FALSE())</f>
        <v>1</v>
      </c>
      <c r="BL31" s="1" t="n">
        <f aca="false">VLOOKUP(A31,SortC!$A$1:$BM$65,65,FALSE())</f>
        <v>0</v>
      </c>
      <c r="BM31" s="1" t="n">
        <f aca="false">IF(SUM(BJ31:BL31)=3,1,0)</f>
        <v>0</v>
      </c>
    </row>
    <row r="32" customFormat="false" ht="13" hidden="false" customHeight="false" outlineLevel="0" collapsed="false">
      <c r="A32" s="0" t="n">
        <f aca="false">A31+1</f>
        <v>31</v>
      </c>
      <c r="B32" s="0" t="s">
        <v>2</v>
      </c>
      <c r="C32" s="0" t="s">
        <v>4</v>
      </c>
      <c r="D32" s="0" t="s">
        <v>3</v>
      </c>
      <c r="E32" s="0" t="n">
        <f aca="false">(IF($B32="V",1,0))+IF($C32="V",1,0)+IF($D32="V",1,0)</f>
        <v>0</v>
      </c>
      <c r="F32" s="0" t="n">
        <f aca="false">(IF($B32="E",1,0))+IF($C32="E",1,0)+IF($D32="E",1,0)</f>
        <v>1</v>
      </c>
      <c r="G32" s="0" t="n">
        <f aca="false">(IF($B32="O",1,0))+IF($C32="O",1,0)+IF($D32="O",1,0)</f>
        <v>1</v>
      </c>
      <c r="H32" s="0" t="n">
        <f aca="false">(IF($B32="L",1,0))+IF($C32="L",1,0)+IF($D32="L",1,0)</f>
        <v>1</v>
      </c>
      <c r="I32" s="0" t="n">
        <f aca="false">(IF(B32="V",1,0))</f>
        <v>0</v>
      </c>
      <c r="J32" s="0" t="n">
        <f aca="false">(IF(B32="E",1,0))</f>
        <v>1</v>
      </c>
      <c r="K32" s="0" t="n">
        <f aca="false">(IF(B32="O",1,0))</f>
        <v>0</v>
      </c>
      <c r="L32" s="0" t="n">
        <f aca="false">(IF(B32="L",1,0))</f>
        <v>0</v>
      </c>
      <c r="M32" s="0" t="n">
        <f aca="false">(IF(C32="V",1,0))</f>
        <v>0</v>
      </c>
      <c r="N32" s="0" t="n">
        <f aca="false">(IF(C32="E",1,0))</f>
        <v>0</v>
      </c>
      <c r="O32" s="0" t="n">
        <f aca="false">(IF(C32="O",1,0))</f>
        <v>0</v>
      </c>
      <c r="P32" s="0" t="n">
        <f aca="false">(IF(C32="L",1,0))</f>
        <v>1</v>
      </c>
      <c r="Q32" s="0" t="n">
        <f aca="false">(IF(D32="V",1,0))</f>
        <v>0</v>
      </c>
      <c r="R32" s="0" t="n">
        <f aca="false">(IF(D32="E",1,0))</f>
        <v>0</v>
      </c>
      <c r="S32" s="0" t="n">
        <f aca="false">(IF(D32="O",1,0))</f>
        <v>1</v>
      </c>
      <c r="T32" s="0" t="n">
        <f aca="false">(IF(D32="L",1,0))</f>
        <v>0</v>
      </c>
      <c r="U32" s="0" t="n">
        <f aca="false">MAX(E32-1,0)</f>
        <v>0</v>
      </c>
      <c r="V32" s="0" t="n">
        <f aca="false">MAX(U32-1+F32,0)</f>
        <v>0</v>
      </c>
      <c r="W32" s="0" t="n">
        <f aca="false">MAX(V32-1+G32,0)</f>
        <v>0</v>
      </c>
      <c r="X32" s="0" t="n">
        <f aca="false">MAX(W32-1+H32,0)</f>
        <v>0</v>
      </c>
      <c r="Y32" s="1" t="n">
        <f aca="false">0.5*(E32*I32+F32*J32+G32*K32+H32*L32-1)+(0+$U32*J32+$V32*K32+$W32*L32)</f>
        <v>0</v>
      </c>
      <c r="Z32" s="1" t="n">
        <f aca="false">0.5*(E32*M32+F32*N32+G32*O32+H32*P32-1)+(0+$U32*N32+$V32*O32+$W32*P32)</f>
        <v>0</v>
      </c>
      <c r="AA32" s="1" t="n">
        <f aca="false">0.5*(E32*Q32+F32*R32+G32*S32+H32*T32-1)+(0+$U32*R32+$V32*S32+$W32*T32)</f>
        <v>0</v>
      </c>
      <c r="AB32" s="0" t="n">
        <f aca="false">IF(B32="V",-2,0)+IF(B32="E",-1,0)+IF(B32="O",0,0)+IF(B32="L",1,0)+Y32</f>
        <v>-1</v>
      </c>
      <c r="AC32" s="0" t="n">
        <f aca="false">IF(C32="V",-2,0)+IF(C32="E",-1,0)+IF(C32="O",0,0)+IF(C32="L",1,0)+Z32</f>
        <v>1</v>
      </c>
      <c r="AD32" s="0" t="n">
        <f aca="false">IF(D32="V",-2,0)+IF(D32="E",-1,0)+IF(D32="O",0,0)+IF(D32="L",1,0)+AA32</f>
        <v>0</v>
      </c>
      <c r="AE32" s="1" t="n">
        <f aca="false">IF(B32="V",-2,0)+IF(B32="E",-1,0)+IF(B32="O",0,0)+IF(B32="L",1,0)</f>
        <v>-1</v>
      </c>
      <c r="AF32" s="1" t="n">
        <f aca="false">IF(B32="V",-2,0)+IF(B32="E",-1,0)+IF(B32="O",0,0)+IF(B32="L",1,0)+Y32</f>
        <v>-1</v>
      </c>
      <c r="AG32" s="1" t="n">
        <f aca="false">IF(B32="V",-2,0)+IF(B32="E",-1,0)+IF(B32="O",0,0)+IF(B32="L",1,0)+Y32*2</f>
        <v>-1</v>
      </c>
      <c r="AH32" s="1" t="n">
        <f aca="false">IF(C32="V",-2,0)+IF(C32="E",-1,0)+IF(C32="O",0,0)+IF(C32="L",1,0)</f>
        <v>1</v>
      </c>
      <c r="AI32" s="1" t="n">
        <f aca="false">IF(C32="V",-2,0)+IF(C32="E",-1,0)+IF(C32="O",0,0)+IF(C32="L",1,0)+Z32</f>
        <v>1</v>
      </c>
      <c r="AJ32" s="1" t="n">
        <f aca="false">IF(C32="V",-2,0)+IF(C32="E",-1,0)+IF(C32="O",0,0)+IF(C32="L",1,0)+Z32*2</f>
        <v>1</v>
      </c>
      <c r="AK32" s="1" t="n">
        <f aca="false">IF(D32="V",-2,0)+IF(D32="E",-1,0)+IF(D32="O",0,0)+IF(D32="L",1,0)</f>
        <v>0</v>
      </c>
      <c r="AL32" s="1" t="n">
        <f aca="false">IF(D32="V",-2,0)+IF(D32="E",-1,0)+IF(D32="O",0,0)+IF(D32="L",1,0)+AA32</f>
        <v>0</v>
      </c>
      <c r="AM32" s="1" t="n">
        <f aca="false">IF(D32="V",-2,0)+IF(D32="E",-1,0)+IF(D32="O",0,0)+IF(D32="L",1,0)+AA32*2</f>
        <v>0</v>
      </c>
      <c r="AN32" s="1" t="n">
        <f aca="false">(ABS(IF(AE32&lt;0,AE32*Early,AE32*Late))+ABS(IF(AF32&lt;0,AF32*Early,AF32*Late))+ABS(IF(AG32&lt;0,AG32*Early,AG32*Late)))/3</f>
        <v>3</v>
      </c>
      <c r="AO32" s="1" t="n">
        <f aca="false">(ABS(IF(AH32&lt;0,AH32*Early,AH32*Late))+ABS(IF(AI32&lt;0,AI32*Early,AI32*Late))+ABS(IF(AJ32&lt;0,AJ32*Early,AJ32*Late)))/3</f>
        <v>4</v>
      </c>
      <c r="AP32" s="1" t="n">
        <f aca="false">(ABS(IF(AK32&lt;0,AK32*Early,AK32*Late))+ABS(IF(AL32&lt;0,AL32*Early,AL32*Late))+ABS(IF(AM32&lt;0,AM32*Early,AM32*Late)))/3</f>
        <v>0</v>
      </c>
      <c r="AQ32" s="0" t="n">
        <f aca="false">Y32*Delay+AN32</f>
        <v>3</v>
      </c>
      <c r="AR32" s="0" t="n">
        <f aca="false">Z32*Delay+AO32</f>
        <v>4</v>
      </c>
      <c r="AS32" s="0" t="n">
        <f aca="false">AA32*Delay+AP32</f>
        <v>0</v>
      </c>
      <c r="AT32" s="1" t="n">
        <f aca="false">VLOOKUP(A32,SortA!$A$1:$AT$65,46,FALSE())</f>
        <v>0</v>
      </c>
      <c r="AU32" s="1" t="n">
        <f aca="false">VLOOKUP(A32,SortB!$A$1:$AT$65,46,FALSE())</f>
        <v>0</v>
      </c>
      <c r="AV32" s="1" t="n">
        <f aca="false">VLOOKUP(A32,SortC!$A$1:$AT$65,46,FALSE())</f>
        <v>1</v>
      </c>
      <c r="AW32" s="0" t="n">
        <f aca="false">IF(SUM(AT32:AV32)=3,1,0)</f>
        <v>0</v>
      </c>
      <c r="AX32" s="0" t="str">
        <f aca="false">B32&amp;C32&amp;D32</f>
        <v>ELO</v>
      </c>
      <c r="AY32" s="1" t="n">
        <f aca="false">AQ32+AR32+AS32</f>
        <v>7</v>
      </c>
      <c r="AZ32" s="1" t="str">
        <f aca="false">RIGHT(AX32,2)</f>
        <v>LO</v>
      </c>
      <c r="BA32" s="1" t="str">
        <f aca="false">LEFT(AX32,1)&amp;RIGHT(AX32,1)</f>
        <v>EO</v>
      </c>
      <c r="BB32" s="1" t="str">
        <f aca="false">LEFT(AX32,2)</f>
        <v>EL</v>
      </c>
      <c r="BC32" s="1" t="n">
        <f aca="false">VLOOKUP(AZ32,TwoPlayers!$AG$1:$AH$17,2,FALSE())</f>
        <v>4</v>
      </c>
      <c r="BD32" s="1" t="n">
        <f aca="false">VLOOKUP(BA32,TwoPlayers!$AG$1:$AH$17,2,FALSE())</f>
        <v>3</v>
      </c>
      <c r="BE32" s="1" t="n">
        <f aca="false">VLOOKUP(BB32,TwoPlayers!$AG$1:$AH$17,2,FALSE())</f>
        <v>7</v>
      </c>
      <c r="BF32" s="1" t="n">
        <f aca="false">$AY32-BC32</f>
        <v>3</v>
      </c>
      <c r="BG32" s="1" t="n">
        <f aca="false">$AY32-BD32</f>
        <v>4</v>
      </c>
      <c r="BH32" s="1" t="n">
        <f aca="false">$AY32-BE32</f>
        <v>0</v>
      </c>
      <c r="BI32" s="0" t="str">
        <f aca="false">AX32</f>
        <v>ELO</v>
      </c>
      <c r="BJ32" s="1" t="n">
        <f aca="false">VLOOKUP(A32,SortA!$A$1:$BM$65,65,FALSE())</f>
        <v>1</v>
      </c>
      <c r="BK32" s="1" t="n">
        <f aca="false">VLOOKUP(A32,SortB!$A$1:$BM$65,65,FALSE())</f>
        <v>0</v>
      </c>
      <c r="BL32" s="1" t="n">
        <f aca="false">VLOOKUP(A32,SortC!$A$1:$BM$65,65,FALSE())</f>
        <v>1</v>
      </c>
      <c r="BM32" s="1" t="n">
        <f aca="false">IF(SUM(BJ32:BL32)=3,1,0)</f>
        <v>0</v>
      </c>
    </row>
    <row r="33" customFormat="false" ht="13" hidden="false" customHeight="false" outlineLevel="0" collapsed="false">
      <c r="A33" s="0" t="n">
        <f aca="false">A32+1</f>
        <v>32</v>
      </c>
      <c r="B33" s="0" t="s">
        <v>2</v>
      </c>
      <c r="C33" s="0" t="s">
        <v>4</v>
      </c>
      <c r="D33" s="0" t="s">
        <v>4</v>
      </c>
      <c r="E33" s="0" t="n">
        <f aca="false">(IF($B33="V",1,0))+IF($C33="V",1,0)+IF($D33="V",1,0)</f>
        <v>0</v>
      </c>
      <c r="F33" s="0" t="n">
        <f aca="false">(IF($B33="E",1,0))+IF($C33="E",1,0)+IF($D33="E",1,0)</f>
        <v>1</v>
      </c>
      <c r="G33" s="0" t="n">
        <f aca="false">(IF($B33="O",1,0))+IF($C33="O",1,0)+IF($D33="O",1,0)</f>
        <v>0</v>
      </c>
      <c r="H33" s="0" t="n">
        <f aca="false">(IF($B33="L",1,0))+IF($C33="L",1,0)+IF($D33="L",1,0)</f>
        <v>2</v>
      </c>
      <c r="I33" s="0" t="n">
        <f aca="false">(IF(B33="V",1,0))</f>
        <v>0</v>
      </c>
      <c r="J33" s="0" t="n">
        <f aca="false">(IF(B33="E",1,0))</f>
        <v>1</v>
      </c>
      <c r="K33" s="0" t="n">
        <f aca="false">(IF(B33="O",1,0))</f>
        <v>0</v>
      </c>
      <c r="L33" s="0" t="n">
        <f aca="false">(IF(B33="L",1,0))</f>
        <v>0</v>
      </c>
      <c r="M33" s="0" t="n">
        <f aca="false">(IF(C33="V",1,0))</f>
        <v>0</v>
      </c>
      <c r="N33" s="0" t="n">
        <f aca="false">(IF(C33="E",1,0))</f>
        <v>0</v>
      </c>
      <c r="O33" s="0" t="n">
        <f aca="false">(IF(C33="O",1,0))</f>
        <v>0</v>
      </c>
      <c r="P33" s="0" t="n">
        <f aca="false">(IF(C33="L",1,0))</f>
        <v>1</v>
      </c>
      <c r="Q33" s="0" t="n">
        <f aca="false">(IF(D33="V",1,0))</f>
        <v>0</v>
      </c>
      <c r="R33" s="0" t="n">
        <f aca="false">(IF(D33="E",1,0))</f>
        <v>0</v>
      </c>
      <c r="S33" s="0" t="n">
        <f aca="false">(IF(D33="O",1,0))</f>
        <v>0</v>
      </c>
      <c r="T33" s="0" t="n">
        <f aca="false">(IF(D33="L",1,0))</f>
        <v>1</v>
      </c>
      <c r="U33" s="0" t="n">
        <f aca="false">MAX(E33-1,0)</f>
        <v>0</v>
      </c>
      <c r="V33" s="0" t="n">
        <f aca="false">MAX(U33-1+F33,0)</f>
        <v>0</v>
      </c>
      <c r="W33" s="0" t="n">
        <f aca="false">MAX(V33-1+G33,0)</f>
        <v>0</v>
      </c>
      <c r="X33" s="0" t="n">
        <f aca="false">MAX(W33-1+H33,0)</f>
        <v>1</v>
      </c>
      <c r="Y33" s="1" t="n">
        <f aca="false">0.5*(E33*I33+F33*J33+G33*K33+H33*L33-1)+(0+$U33*J33+$V33*K33+$W33*L33)</f>
        <v>0</v>
      </c>
      <c r="Z33" s="1" t="n">
        <f aca="false">0.5*(E33*M33+F33*N33+G33*O33+H33*P33-1)+(0+$U33*N33+$V33*O33+$W33*P33)</f>
        <v>0.5</v>
      </c>
      <c r="AA33" s="1" t="n">
        <f aca="false">0.5*(E33*Q33+F33*R33+G33*S33+H33*T33-1)+(0+$U33*R33+$V33*S33+$W33*T33)</f>
        <v>0.5</v>
      </c>
      <c r="AB33" s="0" t="n">
        <f aca="false">IF(B33="V",-2,0)+IF(B33="E",-1,0)+IF(B33="O",0,0)+IF(B33="L",1,0)+Y33</f>
        <v>-1</v>
      </c>
      <c r="AC33" s="0" t="n">
        <f aca="false">IF(C33="V",-2,0)+IF(C33="E",-1,0)+IF(C33="O",0,0)+IF(C33="L",1,0)+Z33</f>
        <v>1.5</v>
      </c>
      <c r="AD33" s="0" t="n">
        <f aca="false">IF(D33="V",-2,0)+IF(D33="E",-1,0)+IF(D33="O",0,0)+IF(D33="L",1,0)+AA33</f>
        <v>1.5</v>
      </c>
      <c r="AE33" s="1" t="n">
        <f aca="false">IF(B33="V",-2,0)+IF(B33="E",-1,0)+IF(B33="O",0,0)+IF(B33="L",1,0)</f>
        <v>-1</v>
      </c>
      <c r="AF33" s="1" t="n">
        <f aca="false">IF(B33="V",-2,0)+IF(B33="E",-1,0)+IF(B33="O",0,0)+IF(B33="L",1,0)+Y33</f>
        <v>-1</v>
      </c>
      <c r="AG33" s="1" t="n">
        <f aca="false">IF(B33="V",-2,0)+IF(B33="E",-1,0)+IF(B33="O",0,0)+IF(B33="L",1,0)+Y33*2</f>
        <v>-1</v>
      </c>
      <c r="AH33" s="1" t="n">
        <f aca="false">IF(C33="V",-2,0)+IF(C33="E",-1,0)+IF(C33="O",0,0)+IF(C33="L",1,0)</f>
        <v>1</v>
      </c>
      <c r="AI33" s="1" t="n">
        <f aca="false">IF(C33="V",-2,0)+IF(C33="E",-1,0)+IF(C33="O",0,0)+IF(C33="L",1,0)+Z33</f>
        <v>1.5</v>
      </c>
      <c r="AJ33" s="1" t="n">
        <f aca="false">IF(C33="V",-2,0)+IF(C33="E",-1,0)+IF(C33="O",0,0)+IF(C33="L",1,0)+Z33*2</f>
        <v>2</v>
      </c>
      <c r="AK33" s="1" t="n">
        <f aca="false">IF(D33="V",-2,0)+IF(D33="E",-1,0)+IF(D33="O",0,0)+IF(D33="L",1,0)</f>
        <v>1</v>
      </c>
      <c r="AL33" s="1" t="n">
        <f aca="false">IF(D33="V",-2,0)+IF(D33="E",-1,0)+IF(D33="O",0,0)+IF(D33="L",1,0)+AA33</f>
        <v>1.5</v>
      </c>
      <c r="AM33" s="1" t="n">
        <f aca="false">IF(D33="V",-2,0)+IF(D33="E",-1,0)+IF(D33="O",0,0)+IF(D33="L",1,0)+AA33*2</f>
        <v>2</v>
      </c>
      <c r="AN33" s="1" t="n">
        <f aca="false">(ABS(IF(AE33&lt;0,AE33*Early,AE33*Late))+ABS(IF(AF33&lt;0,AF33*Early,AF33*Late))+ABS(IF(AG33&lt;0,AG33*Early,AG33*Late)))/3</f>
        <v>3</v>
      </c>
      <c r="AO33" s="1" t="n">
        <f aca="false">(ABS(IF(AH33&lt;0,AH33*Early,AH33*Late))+ABS(IF(AI33&lt;0,AI33*Early,AI33*Late))+ABS(IF(AJ33&lt;0,AJ33*Early,AJ33*Late)))/3</f>
        <v>6</v>
      </c>
      <c r="AP33" s="1" t="n">
        <f aca="false">(ABS(IF(AK33&lt;0,AK33*Early,AK33*Late))+ABS(IF(AL33&lt;0,AL33*Early,AL33*Late))+ABS(IF(AM33&lt;0,AM33*Early,AM33*Late)))/3</f>
        <v>6</v>
      </c>
      <c r="AQ33" s="0" t="n">
        <f aca="false">Y33*Delay+AN33</f>
        <v>3</v>
      </c>
      <c r="AR33" s="0" t="n">
        <f aca="false">Z33*Delay+AO33</f>
        <v>6.5</v>
      </c>
      <c r="AS33" s="0" t="n">
        <f aca="false">AA33*Delay+AP33</f>
        <v>6.5</v>
      </c>
      <c r="AT33" s="1" t="n">
        <f aca="false">VLOOKUP(A33,SortA!$A$1:$AT$65,46,FALSE())</f>
        <v>0</v>
      </c>
      <c r="AU33" s="1" t="n">
        <f aca="false">VLOOKUP(A33,SortB!$A$1:$AT$65,46,FALSE())</f>
        <v>0</v>
      </c>
      <c r="AV33" s="1" t="n">
        <f aca="false">VLOOKUP(A33,SortC!$A$1:$AT$65,46,FALSE())</f>
        <v>0</v>
      </c>
      <c r="AW33" s="0" t="n">
        <f aca="false">IF(SUM(AT33:AV33)=3,1,0)</f>
        <v>0</v>
      </c>
      <c r="AX33" s="0" t="str">
        <f aca="false">B33&amp;C33&amp;D33</f>
        <v>ELL</v>
      </c>
      <c r="AY33" s="1" t="n">
        <f aca="false">AQ33+AR33+AS33</f>
        <v>16</v>
      </c>
      <c r="AZ33" s="1" t="str">
        <f aca="false">RIGHT(AX33,2)</f>
        <v>LL</v>
      </c>
      <c r="BA33" s="1" t="str">
        <f aca="false">LEFT(AX33,1)&amp;RIGHT(AX33,1)</f>
        <v>EL</v>
      </c>
      <c r="BB33" s="1" t="str">
        <f aca="false">LEFT(AX33,2)</f>
        <v>EL</v>
      </c>
      <c r="BC33" s="1" t="n">
        <f aca="false">VLOOKUP(AZ33,TwoPlayers!$AG$1:$AH$17,2,FALSE())</f>
        <v>13</v>
      </c>
      <c r="BD33" s="1" t="n">
        <f aca="false">VLOOKUP(BA33,TwoPlayers!$AG$1:$AH$17,2,FALSE())</f>
        <v>7</v>
      </c>
      <c r="BE33" s="1" t="n">
        <f aca="false">VLOOKUP(BB33,TwoPlayers!$AG$1:$AH$17,2,FALSE())</f>
        <v>7</v>
      </c>
      <c r="BF33" s="1" t="n">
        <f aca="false">$AY33-BC33</f>
        <v>3</v>
      </c>
      <c r="BG33" s="1" t="n">
        <f aca="false">$AY33-BD33</f>
        <v>9</v>
      </c>
      <c r="BH33" s="1" t="n">
        <f aca="false">$AY33-BE33</f>
        <v>9</v>
      </c>
      <c r="BI33" s="0" t="str">
        <f aca="false">AX33</f>
        <v>ELL</v>
      </c>
      <c r="BJ33" s="1" t="n">
        <f aca="false">VLOOKUP(A33,SortA!$A$1:$BM$65,65,FALSE())</f>
        <v>0</v>
      </c>
      <c r="BK33" s="1" t="n">
        <f aca="false">VLOOKUP(A33,SortB!$A$1:$BM$65,65,FALSE())</f>
        <v>0</v>
      </c>
      <c r="BL33" s="1" t="n">
        <f aca="false">VLOOKUP(A33,SortC!$A$1:$BM$65,65,FALSE())</f>
        <v>0</v>
      </c>
      <c r="BM33" s="1" t="n">
        <f aca="false">IF(SUM(BJ33:BL33)=3,1,0)</f>
        <v>0</v>
      </c>
    </row>
    <row r="34" customFormat="false" ht="13" hidden="false" customHeight="false" outlineLevel="0" collapsed="false">
      <c r="A34" s="0" t="n">
        <f aca="false">A33+1</f>
        <v>33</v>
      </c>
      <c r="B34" s="0" t="s">
        <v>3</v>
      </c>
      <c r="C34" s="0" t="s">
        <v>1</v>
      </c>
      <c r="D34" s="0" t="s">
        <v>1</v>
      </c>
      <c r="E34" s="0" t="n">
        <f aca="false">(IF($B34="V",1,0))+IF($C34="V",1,0)+IF($D34="V",1,0)</f>
        <v>2</v>
      </c>
      <c r="F34" s="0" t="n">
        <f aca="false">(IF($B34="E",1,0))+IF($C34="E",1,0)+IF($D34="E",1,0)</f>
        <v>0</v>
      </c>
      <c r="G34" s="0" t="n">
        <f aca="false">(IF($B34="O",1,0))+IF($C34="O",1,0)+IF($D34="O",1,0)</f>
        <v>1</v>
      </c>
      <c r="H34" s="0" t="n">
        <f aca="false">(IF($B34="L",1,0))+IF($C34="L",1,0)+IF($D34="L",1,0)</f>
        <v>0</v>
      </c>
      <c r="I34" s="0" t="n">
        <f aca="false">(IF(B34="V",1,0))</f>
        <v>0</v>
      </c>
      <c r="J34" s="0" t="n">
        <f aca="false">(IF(B34="E",1,0))</f>
        <v>0</v>
      </c>
      <c r="K34" s="0" t="n">
        <f aca="false">(IF(B34="O",1,0))</f>
        <v>1</v>
      </c>
      <c r="L34" s="0" t="n">
        <f aca="false">(IF(B34="L",1,0))</f>
        <v>0</v>
      </c>
      <c r="M34" s="0" t="n">
        <f aca="false">(IF(C34="V",1,0))</f>
        <v>1</v>
      </c>
      <c r="N34" s="0" t="n">
        <f aca="false">(IF(C34="E",1,0))</f>
        <v>0</v>
      </c>
      <c r="O34" s="0" t="n">
        <f aca="false">(IF(C34="O",1,0))</f>
        <v>0</v>
      </c>
      <c r="P34" s="0" t="n">
        <f aca="false">(IF(C34="L",1,0))</f>
        <v>0</v>
      </c>
      <c r="Q34" s="0" t="n">
        <f aca="false">(IF(D34="V",1,0))</f>
        <v>1</v>
      </c>
      <c r="R34" s="0" t="n">
        <f aca="false">(IF(D34="E",1,0))</f>
        <v>0</v>
      </c>
      <c r="S34" s="0" t="n">
        <f aca="false">(IF(D34="O",1,0))</f>
        <v>0</v>
      </c>
      <c r="T34" s="0" t="n">
        <f aca="false">(IF(D34="L",1,0))</f>
        <v>0</v>
      </c>
      <c r="U34" s="0" t="n">
        <f aca="false">MAX(E34-1,0)</f>
        <v>1</v>
      </c>
      <c r="V34" s="0" t="n">
        <f aca="false">MAX(U34-1+F34,0)</f>
        <v>0</v>
      </c>
      <c r="W34" s="0" t="n">
        <f aca="false">MAX(V34-1+G34,0)</f>
        <v>0</v>
      </c>
      <c r="X34" s="0" t="n">
        <f aca="false">MAX(W34-1+H34,0)</f>
        <v>0</v>
      </c>
      <c r="Y34" s="1" t="n">
        <f aca="false">0.5*(E34*I34+F34*J34+G34*K34+H34*L34-1)+(0+$U34*J34+$V34*K34+$W34*L34)</f>
        <v>0</v>
      </c>
      <c r="Z34" s="1" t="n">
        <f aca="false">0.5*(E34*M34+F34*N34+G34*O34+H34*P34-1)+(0+$U34*N34+$V34*O34+$W34*P34)</f>
        <v>0.5</v>
      </c>
      <c r="AA34" s="1" t="n">
        <f aca="false">0.5*(E34*Q34+F34*R34+G34*S34+H34*T34-1)+(0+$U34*R34+$V34*S34+$W34*T34)</f>
        <v>0.5</v>
      </c>
      <c r="AB34" s="0" t="n">
        <f aca="false">IF(B34="V",-2,0)+IF(B34="E",-1,0)+IF(B34="O",0,0)+IF(B34="L",1,0)+Y34</f>
        <v>0</v>
      </c>
      <c r="AC34" s="0" t="n">
        <f aca="false">IF(C34="V",-2,0)+IF(C34="E",-1,0)+IF(C34="O",0,0)+IF(C34="L",1,0)+Z34</f>
        <v>-1.5</v>
      </c>
      <c r="AD34" s="0" t="n">
        <f aca="false">IF(D34="V",-2,0)+IF(D34="E",-1,0)+IF(D34="O",0,0)+IF(D34="L",1,0)+AA34</f>
        <v>-1.5</v>
      </c>
      <c r="AE34" s="1" t="n">
        <f aca="false">IF(B34="V",-2,0)+IF(B34="E",-1,0)+IF(B34="O",0,0)+IF(B34="L",1,0)</f>
        <v>0</v>
      </c>
      <c r="AF34" s="1" t="n">
        <f aca="false">IF(B34="V",-2,0)+IF(B34="E",-1,0)+IF(B34="O",0,0)+IF(B34="L",1,0)+Y34</f>
        <v>0</v>
      </c>
      <c r="AG34" s="1" t="n">
        <f aca="false">IF(B34="V",-2,0)+IF(B34="E",-1,0)+IF(B34="O",0,0)+IF(B34="L",1,0)+Y34*2</f>
        <v>0</v>
      </c>
      <c r="AH34" s="1" t="n">
        <f aca="false">IF(C34="V",-2,0)+IF(C34="E",-1,0)+IF(C34="O",0,0)+IF(C34="L",1,0)</f>
        <v>-2</v>
      </c>
      <c r="AI34" s="1" t="n">
        <f aca="false">IF(C34="V",-2,0)+IF(C34="E",-1,0)+IF(C34="O",0,0)+IF(C34="L",1,0)+Z34</f>
        <v>-1.5</v>
      </c>
      <c r="AJ34" s="1" t="n">
        <f aca="false">IF(C34="V",-2,0)+IF(C34="E",-1,0)+IF(C34="O",0,0)+IF(C34="L",1,0)+Z34*2</f>
        <v>-1</v>
      </c>
      <c r="AK34" s="1" t="n">
        <f aca="false">IF(D34="V",-2,0)+IF(D34="E",-1,0)+IF(D34="O",0,0)+IF(D34="L",1,0)</f>
        <v>-2</v>
      </c>
      <c r="AL34" s="1" t="n">
        <f aca="false">IF(D34="V",-2,0)+IF(D34="E",-1,0)+IF(D34="O",0,0)+IF(D34="L",1,0)+AA34</f>
        <v>-1.5</v>
      </c>
      <c r="AM34" s="1" t="n">
        <f aca="false">IF(D34="V",-2,0)+IF(D34="E",-1,0)+IF(D34="O",0,0)+IF(D34="L",1,0)+AA34*2</f>
        <v>-1</v>
      </c>
      <c r="AN34" s="1" t="n">
        <f aca="false">(ABS(IF(AE34&lt;0,AE34*Early,AE34*Late))+ABS(IF(AF34&lt;0,AF34*Early,AF34*Late))+ABS(IF(AG34&lt;0,AG34*Early,AG34*Late)))/3</f>
        <v>0</v>
      </c>
      <c r="AO34" s="1" t="n">
        <f aca="false">(ABS(IF(AH34&lt;0,AH34*Early,AH34*Late))+ABS(IF(AI34&lt;0,AI34*Early,AI34*Late))+ABS(IF(AJ34&lt;0,AJ34*Early,AJ34*Late)))/3</f>
        <v>4.5</v>
      </c>
      <c r="AP34" s="1" t="n">
        <f aca="false">(ABS(IF(AK34&lt;0,AK34*Early,AK34*Late))+ABS(IF(AL34&lt;0,AL34*Early,AL34*Late))+ABS(IF(AM34&lt;0,AM34*Early,AM34*Late)))/3</f>
        <v>4.5</v>
      </c>
      <c r="AQ34" s="0" t="n">
        <f aca="false">Y34*Delay+AN34</f>
        <v>0</v>
      </c>
      <c r="AR34" s="0" t="n">
        <f aca="false">Z34*Delay+AO34</f>
        <v>5</v>
      </c>
      <c r="AS34" s="0" t="n">
        <f aca="false">AA34*Delay+AP34</f>
        <v>5</v>
      </c>
      <c r="AT34" s="1" t="n">
        <f aca="false">VLOOKUP(A34,SortA!$A$1:$AT$65,46,FALSE())</f>
        <v>1</v>
      </c>
      <c r="AU34" s="1" t="n">
        <f aca="false">VLOOKUP(A34,SortB!$A$1:$AT$65,46,FALSE())</f>
        <v>0</v>
      </c>
      <c r="AV34" s="1" t="n">
        <f aca="false">VLOOKUP(A34,SortC!$A$1:$AT$65,46,FALSE())</f>
        <v>0</v>
      </c>
      <c r="AW34" s="0" t="n">
        <f aca="false">IF(SUM(AT34:AV34)=3,1,0)</f>
        <v>0</v>
      </c>
      <c r="AX34" s="0" t="str">
        <f aca="false">B34&amp;C34&amp;D34</f>
        <v>OVV</v>
      </c>
      <c r="AY34" s="1" t="n">
        <f aca="false">AQ34+AR34+AS34</f>
        <v>10</v>
      </c>
      <c r="AZ34" s="1" t="str">
        <f aca="false">RIGHT(AX34,2)</f>
        <v>VV</v>
      </c>
      <c r="BA34" s="1" t="str">
        <f aca="false">LEFT(AX34,1)&amp;RIGHT(AX34,1)</f>
        <v>OV</v>
      </c>
      <c r="BB34" s="1" t="str">
        <f aca="false">LEFT(AX34,2)</f>
        <v>OV</v>
      </c>
      <c r="BC34" s="1" t="n">
        <f aca="false">VLOOKUP(AZ34,TwoPlayers!$AG$1:$AH$17,2,FALSE())</f>
        <v>10</v>
      </c>
      <c r="BD34" s="1" t="n">
        <f aca="false">VLOOKUP(BA34,TwoPlayers!$AG$1:$AH$17,2,FALSE())</f>
        <v>6</v>
      </c>
      <c r="BE34" s="1" t="n">
        <f aca="false">VLOOKUP(BB34,TwoPlayers!$AG$1:$AH$17,2,FALSE())</f>
        <v>6</v>
      </c>
      <c r="BF34" s="1" t="n">
        <f aca="false">$AY34-BC34</f>
        <v>0</v>
      </c>
      <c r="BG34" s="1" t="n">
        <f aca="false">$AY34-BD34</f>
        <v>4</v>
      </c>
      <c r="BH34" s="1" t="n">
        <f aca="false">$AY34-BE34</f>
        <v>4</v>
      </c>
      <c r="BI34" s="0" t="str">
        <f aca="false">AX34</f>
        <v>OVV</v>
      </c>
      <c r="BJ34" s="1" t="n">
        <f aca="false">VLOOKUP(A34,SortA!$A$1:$BM$65,65,FALSE())</f>
        <v>1</v>
      </c>
      <c r="BK34" s="1" t="n">
        <f aca="false">VLOOKUP(A34,SortB!$A$1:$BM$65,65,FALSE())</f>
        <v>0</v>
      </c>
      <c r="BL34" s="1" t="n">
        <f aca="false">VLOOKUP(A34,SortC!$A$1:$BM$65,65,FALSE())</f>
        <v>0</v>
      </c>
      <c r="BM34" s="1" t="n">
        <f aca="false">IF(SUM(BJ34:BL34)=3,1,0)</f>
        <v>0</v>
      </c>
    </row>
    <row r="35" customFormat="false" ht="13" hidden="false" customHeight="false" outlineLevel="0" collapsed="false">
      <c r="A35" s="0" t="n">
        <f aca="false">A34+1</f>
        <v>34</v>
      </c>
      <c r="B35" s="0" t="s">
        <v>3</v>
      </c>
      <c r="C35" s="0" t="s">
        <v>1</v>
      </c>
      <c r="D35" s="0" t="s">
        <v>2</v>
      </c>
      <c r="E35" s="0" t="n">
        <f aca="false">(IF($B35="V",1,0))+IF($C35="V",1,0)+IF($D35="V",1,0)</f>
        <v>1</v>
      </c>
      <c r="F35" s="0" t="n">
        <f aca="false">(IF($B35="E",1,0))+IF($C35="E",1,0)+IF($D35="E",1,0)</f>
        <v>1</v>
      </c>
      <c r="G35" s="0" t="n">
        <f aca="false">(IF($B35="O",1,0))+IF($C35="O",1,0)+IF($D35="O",1,0)</f>
        <v>1</v>
      </c>
      <c r="H35" s="0" t="n">
        <f aca="false">(IF($B35="L",1,0))+IF($C35="L",1,0)+IF($D35="L",1,0)</f>
        <v>0</v>
      </c>
      <c r="I35" s="0" t="n">
        <f aca="false">(IF(B35="V",1,0))</f>
        <v>0</v>
      </c>
      <c r="J35" s="0" t="n">
        <f aca="false">(IF(B35="E",1,0))</f>
        <v>0</v>
      </c>
      <c r="K35" s="0" t="n">
        <f aca="false">(IF(B35="O",1,0))</f>
        <v>1</v>
      </c>
      <c r="L35" s="0" t="n">
        <f aca="false">(IF(B35="L",1,0))</f>
        <v>0</v>
      </c>
      <c r="M35" s="0" t="n">
        <f aca="false">(IF(C35="V",1,0))</f>
        <v>1</v>
      </c>
      <c r="N35" s="0" t="n">
        <f aca="false">(IF(C35="E",1,0))</f>
        <v>0</v>
      </c>
      <c r="O35" s="0" t="n">
        <f aca="false">(IF(C35="O",1,0))</f>
        <v>0</v>
      </c>
      <c r="P35" s="0" t="n">
        <f aca="false">(IF(C35="L",1,0))</f>
        <v>0</v>
      </c>
      <c r="Q35" s="0" t="n">
        <f aca="false">(IF(D35="V",1,0))</f>
        <v>0</v>
      </c>
      <c r="R35" s="0" t="n">
        <f aca="false">(IF(D35="E",1,0))</f>
        <v>1</v>
      </c>
      <c r="S35" s="0" t="n">
        <f aca="false">(IF(D35="O",1,0))</f>
        <v>0</v>
      </c>
      <c r="T35" s="0" t="n">
        <f aca="false">(IF(D35="L",1,0))</f>
        <v>0</v>
      </c>
      <c r="U35" s="0" t="n">
        <f aca="false">MAX(E35-1,0)</f>
        <v>0</v>
      </c>
      <c r="V35" s="0" t="n">
        <f aca="false">MAX(U35-1+F35,0)</f>
        <v>0</v>
      </c>
      <c r="W35" s="0" t="n">
        <f aca="false">MAX(V35-1+G35,0)</f>
        <v>0</v>
      </c>
      <c r="X35" s="0" t="n">
        <f aca="false">MAX(W35-1+H35,0)</f>
        <v>0</v>
      </c>
      <c r="Y35" s="1" t="n">
        <f aca="false">0.5*(E35*I35+F35*J35+G35*K35+H35*L35-1)+(0+$U35*J35+$V35*K35+$W35*L35)</f>
        <v>0</v>
      </c>
      <c r="Z35" s="1" t="n">
        <f aca="false">0.5*(E35*M35+F35*N35+G35*O35+H35*P35-1)+(0+$U35*N35+$V35*O35+$W35*P35)</f>
        <v>0</v>
      </c>
      <c r="AA35" s="1" t="n">
        <f aca="false">0.5*(E35*Q35+F35*R35+G35*S35+H35*T35-1)+(0+$U35*R35+$V35*S35+$W35*T35)</f>
        <v>0</v>
      </c>
      <c r="AB35" s="0" t="n">
        <f aca="false">IF(B35="V",-2,0)+IF(B35="E",-1,0)+IF(B35="O",0,0)+IF(B35="L",1,0)+Y35</f>
        <v>0</v>
      </c>
      <c r="AC35" s="0" t="n">
        <f aca="false">IF(C35="V",-2,0)+IF(C35="E",-1,0)+IF(C35="O",0,0)+IF(C35="L",1,0)+Z35</f>
        <v>-2</v>
      </c>
      <c r="AD35" s="0" t="n">
        <f aca="false">IF(D35="V",-2,0)+IF(D35="E",-1,0)+IF(D35="O",0,0)+IF(D35="L",1,0)+AA35</f>
        <v>-1</v>
      </c>
      <c r="AE35" s="1" t="n">
        <f aca="false">IF(B35="V",-2,0)+IF(B35="E",-1,0)+IF(B35="O",0,0)+IF(B35="L",1,0)</f>
        <v>0</v>
      </c>
      <c r="AF35" s="1" t="n">
        <f aca="false">IF(B35="V",-2,0)+IF(B35="E",-1,0)+IF(B35="O",0,0)+IF(B35="L",1,0)+Y35</f>
        <v>0</v>
      </c>
      <c r="AG35" s="1" t="n">
        <f aca="false">IF(B35="V",-2,0)+IF(B35="E",-1,0)+IF(B35="O",0,0)+IF(B35="L",1,0)+Y35*2</f>
        <v>0</v>
      </c>
      <c r="AH35" s="1" t="n">
        <f aca="false">IF(C35="V",-2,0)+IF(C35="E",-1,0)+IF(C35="O",0,0)+IF(C35="L",1,0)</f>
        <v>-2</v>
      </c>
      <c r="AI35" s="1" t="n">
        <f aca="false">IF(C35="V",-2,0)+IF(C35="E",-1,0)+IF(C35="O",0,0)+IF(C35="L",1,0)+Z35</f>
        <v>-2</v>
      </c>
      <c r="AJ35" s="1" t="n">
        <f aca="false">IF(C35="V",-2,0)+IF(C35="E",-1,0)+IF(C35="O",0,0)+IF(C35="L",1,0)+Z35*2</f>
        <v>-2</v>
      </c>
      <c r="AK35" s="1" t="n">
        <f aca="false">IF(D35="V",-2,0)+IF(D35="E",-1,0)+IF(D35="O",0,0)+IF(D35="L",1,0)</f>
        <v>-1</v>
      </c>
      <c r="AL35" s="1" t="n">
        <f aca="false">IF(D35="V",-2,0)+IF(D35="E",-1,0)+IF(D35="O",0,0)+IF(D35="L",1,0)+AA35</f>
        <v>-1</v>
      </c>
      <c r="AM35" s="1" t="n">
        <f aca="false">IF(D35="V",-2,0)+IF(D35="E",-1,0)+IF(D35="O",0,0)+IF(D35="L",1,0)+AA35*2</f>
        <v>-1</v>
      </c>
      <c r="AN35" s="1" t="n">
        <f aca="false">(ABS(IF(AE35&lt;0,AE35*Early,AE35*Late))+ABS(IF(AF35&lt;0,AF35*Early,AF35*Late))+ABS(IF(AG35&lt;0,AG35*Early,AG35*Late)))/3</f>
        <v>0</v>
      </c>
      <c r="AO35" s="1" t="n">
        <f aca="false">(ABS(IF(AH35&lt;0,AH35*Early,AH35*Late))+ABS(IF(AI35&lt;0,AI35*Early,AI35*Late))+ABS(IF(AJ35&lt;0,AJ35*Early,AJ35*Late)))/3</f>
        <v>6</v>
      </c>
      <c r="AP35" s="1" t="n">
        <f aca="false">(ABS(IF(AK35&lt;0,AK35*Early,AK35*Late))+ABS(IF(AL35&lt;0,AL35*Early,AL35*Late))+ABS(IF(AM35&lt;0,AM35*Early,AM35*Late)))/3</f>
        <v>3</v>
      </c>
      <c r="AQ35" s="0" t="n">
        <f aca="false">Y35*Delay+AN35</f>
        <v>0</v>
      </c>
      <c r="AR35" s="0" t="n">
        <f aca="false">Z35*Delay+AO35</f>
        <v>6</v>
      </c>
      <c r="AS35" s="0" t="n">
        <f aca="false">AA35*Delay+AP35</f>
        <v>3</v>
      </c>
      <c r="AT35" s="1" t="n">
        <f aca="false">VLOOKUP(A35,SortA!$A$1:$AT$65,46,FALSE())</f>
        <v>1</v>
      </c>
      <c r="AU35" s="1" t="n">
        <f aca="false">VLOOKUP(A35,SortB!$A$1:$AT$65,46,FALSE())</f>
        <v>0</v>
      </c>
      <c r="AV35" s="1" t="n">
        <f aca="false">VLOOKUP(A35,SortC!$A$1:$AT$65,46,FALSE())</f>
        <v>0</v>
      </c>
      <c r="AW35" s="0" t="n">
        <f aca="false">IF(SUM(AT35:AV35)=3,1,0)</f>
        <v>0</v>
      </c>
      <c r="AX35" s="0" t="str">
        <f aca="false">B35&amp;C35&amp;D35</f>
        <v>OVE</v>
      </c>
      <c r="AY35" s="1" t="n">
        <f aca="false">AQ35+AR35+AS35</f>
        <v>9</v>
      </c>
      <c r="AZ35" s="1" t="str">
        <f aca="false">RIGHT(AX35,2)</f>
        <v>VE</v>
      </c>
      <c r="BA35" s="1" t="str">
        <f aca="false">LEFT(AX35,1)&amp;RIGHT(AX35,1)</f>
        <v>OE</v>
      </c>
      <c r="BB35" s="1" t="str">
        <f aca="false">LEFT(AX35,2)</f>
        <v>OV</v>
      </c>
      <c r="BC35" s="1" t="n">
        <f aca="false">VLOOKUP(AZ35,TwoPlayers!$AG$1:$AH$17,2,FALSE())</f>
        <v>9</v>
      </c>
      <c r="BD35" s="1" t="n">
        <f aca="false">VLOOKUP(BA35,TwoPlayers!$AG$1:$AH$17,2,FALSE())</f>
        <v>3</v>
      </c>
      <c r="BE35" s="1" t="n">
        <f aca="false">VLOOKUP(BB35,TwoPlayers!$AG$1:$AH$17,2,FALSE())</f>
        <v>6</v>
      </c>
      <c r="BF35" s="1" t="n">
        <f aca="false">$AY35-BC35</f>
        <v>0</v>
      </c>
      <c r="BG35" s="1" t="n">
        <f aca="false">$AY35-BD35</f>
        <v>6</v>
      </c>
      <c r="BH35" s="1" t="n">
        <f aca="false">$AY35-BE35</f>
        <v>3</v>
      </c>
      <c r="BI35" s="0" t="str">
        <f aca="false">AX35</f>
        <v>OVE</v>
      </c>
      <c r="BJ35" s="1" t="n">
        <f aca="false">VLOOKUP(A35,SortA!$A$1:$BM$65,65,FALSE())</f>
        <v>1</v>
      </c>
      <c r="BK35" s="1" t="n">
        <f aca="false">VLOOKUP(A35,SortB!$A$1:$BM$65,65,FALSE())</f>
        <v>0</v>
      </c>
      <c r="BL35" s="1" t="n">
        <f aca="false">VLOOKUP(A35,SortC!$A$1:$BM$65,65,FALSE())</f>
        <v>1</v>
      </c>
      <c r="BM35" s="1" t="n">
        <f aca="false">IF(SUM(BJ35:BL35)=3,1,0)</f>
        <v>0</v>
      </c>
    </row>
    <row r="36" customFormat="false" ht="13" hidden="false" customHeight="false" outlineLevel="0" collapsed="false">
      <c r="A36" s="0" t="n">
        <f aca="false">A35+1</f>
        <v>35</v>
      </c>
      <c r="B36" s="0" t="s">
        <v>3</v>
      </c>
      <c r="C36" s="0" t="s">
        <v>1</v>
      </c>
      <c r="D36" s="0" t="s">
        <v>3</v>
      </c>
      <c r="E36" s="0" t="n">
        <f aca="false">(IF($B36="V",1,0))+IF($C36="V",1,0)+IF($D36="V",1,0)</f>
        <v>1</v>
      </c>
      <c r="F36" s="0" t="n">
        <f aca="false">(IF($B36="E",1,0))+IF($C36="E",1,0)+IF($D36="E",1,0)</f>
        <v>0</v>
      </c>
      <c r="G36" s="0" t="n">
        <f aca="false">(IF($B36="O",1,0))+IF($C36="O",1,0)+IF($D36="O",1,0)</f>
        <v>2</v>
      </c>
      <c r="H36" s="0" t="n">
        <f aca="false">(IF($B36="L",1,0))+IF($C36="L",1,0)+IF($D36="L",1,0)</f>
        <v>0</v>
      </c>
      <c r="I36" s="0" t="n">
        <f aca="false">(IF(B36="V",1,0))</f>
        <v>0</v>
      </c>
      <c r="J36" s="0" t="n">
        <f aca="false">(IF(B36="E",1,0))</f>
        <v>0</v>
      </c>
      <c r="K36" s="0" t="n">
        <f aca="false">(IF(B36="O",1,0))</f>
        <v>1</v>
      </c>
      <c r="L36" s="0" t="n">
        <f aca="false">(IF(B36="L",1,0))</f>
        <v>0</v>
      </c>
      <c r="M36" s="0" t="n">
        <f aca="false">(IF(C36="V",1,0))</f>
        <v>1</v>
      </c>
      <c r="N36" s="0" t="n">
        <f aca="false">(IF(C36="E",1,0))</f>
        <v>0</v>
      </c>
      <c r="O36" s="0" t="n">
        <f aca="false">(IF(C36="O",1,0))</f>
        <v>0</v>
      </c>
      <c r="P36" s="0" t="n">
        <f aca="false">(IF(C36="L",1,0))</f>
        <v>0</v>
      </c>
      <c r="Q36" s="0" t="n">
        <f aca="false">(IF(D36="V",1,0))</f>
        <v>0</v>
      </c>
      <c r="R36" s="0" t="n">
        <f aca="false">(IF(D36="E",1,0))</f>
        <v>0</v>
      </c>
      <c r="S36" s="0" t="n">
        <f aca="false">(IF(D36="O",1,0))</f>
        <v>1</v>
      </c>
      <c r="T36" s="0" t="n">
        <f aca="false">(IF(D36="L",1,0))</f>
        <v>0</v>
      </c>
      <c r="U36" s="0" t="n">
        <f aca="false">MAX(E36-1,0)</f>
        <v>0</v>
      </c>
      <c r="V36" s="0" t="n">
        <f aca="false">MAX(U36-1+F36,0)</f>
        <v>0</v>
      </c>
      <c r="W36" s="0" t="n">
        <f aca="false">MAX(V36-1+G36,0)</f>
        <v>1</v>
      </c>
      <c r="X36" s="0" t="n">
        <f aca="false">MAX(W36-1+H36,0)</f>
        <v>0</v>
      </c>
      <c r="Y36" s="1" t="n">
        <f aca="false">0.5*(E36*I36+F36*J36+G36*K36+H36*L36-1)+(0+$U36*J36+$V36*K36+$W36*L36)</f>
        <v>0.5</v>
      </c>
      <c r="Z36" s="1" t="n">
        <f aca="false">0.5*(E36*M36+F36*N36+G36*O36+H36*P36-1)+(0+$U36*N36+$V36*O36+$W36*P36)</f>
        <v>0</v>
      </c>
      <c r="AA36" s="1" t="n">
        <f aca="false">0.5*(E36*Q36+F36*R36+G36*S36+H36*T36-1)+(0+$U36*R36+$V36*S36+$W36*T36)</f>
        <v>0.5</v>
      </c>
      <c r="AB36" s="0" t="n">
        <f aca="false">IF(B36="V",-2,0)+IF(B36="E",-1,0)+IF(B36="O",0,0)+IF(B36="L",1,0)+Y36</f>
        <v>0.5</v>
      </c>
      <c r="AC36" s="0" t="n">
        <f aca="false">IF(C36="V",-2,0)+IF(C36="E",-1,0)+IF(C36="O",0,0)+IF(C36="L",1,0)+Z36</f>
        <v>-2</v>
      </c>
      <c r="AD36" s="0" t="n">
        <f aca="false">IF(D36="V",-2,0)+IF(D36="E",-1,0)+IF(D36="O",0,0)+IF(D36="L",1,0)+AA36</f>
        <v>0.5</v>
      </c>
      <c r="AE36" s="1" t="n">
        <f aca="false">IF(B36="V",-2,0)+IF(B36="E",-1,0)+IF(B36="O",0,0)+IF(B36="L",1,0)</f>
        <v>0</v>
      </c>
      <c r="AF36" s="1" t="n">
        <f aca="false">IF(B36="V",-2,0)+IF(B36="E",-1,0)+IF(B36="O",0,0)+IF(B36="L",1,0)+Y36</f>
        <v>0.5</v>
      </c>
      <c r="AG36" s="1" t="n">
        <f aca="false">IF(B36="V",-2,0)+IF(B36="E",-1,0)+IF(B36="O",0,0)+IF(B36="L",1,0)+Y36*2</f>
        <v>1</v>
      </c>
      <c r="AH36" s="1" t="n">
        <f aca="false">IF(C36="V",-2,0)+IF(C36="E",-1,0)+IF(C36="O",0,0)+IF(C36="L",1,0)</f>
        <v>-2</v>
      </c>
      <c r="AI36" s="1" t="n">
        <f aca="false">IF(C36="V",-2,0)+IF(C36="E",-1,0)+IF(C36="O",0,0)+IF(C36="L",1,0)+Z36</f>
        <v>-2</v>
      </c>
      <c r="AJ36" s="1" t="n">
        <f aca="false">IF(C36="V",-2,0)+IF(C36="E",-1,0)+IF(C36="O",0,0)+IF(C36="L",1,0)+Z36*2</f>
        <v>-2</v>
      </c>
      <c r="AK36" s="1" t="n">
        <f aca="false">IF(D36="V",-2,0)+IF(D36="E",-1,0)+IF(D36="O",0,0)+IF(D36="L",1,0)</f>
        <v>0</v>
      </c>
      <c r="AL36" s="1" t="n">
        <f aca="false">IF(D36="V",-2,0)+IF(D36="E",-1,0)+IF(D36="O",0,0)+IF(D36="L",1,0)+AA36</f>
        <v>0.5</v>
      </c>
      <c r="AM36" s="1" t="n">
        <f aca="false">IF(D36="V",-2,0)+IF(D36="E",-1,0)+IF(D36="O",0,0)+IF(D36="L",1,0)+AA36*2</f>
        <v>1</v>
      </c>
      <c r="AN36" s="1" t="n">
        <f aca="false">(ABS(IF(AE36&lt;0,AE36*Early,AE36*Late))+ABS(IF(AF36&lt;0,AF36*Early,AF36*Late))+ABS(IF(AG36&lt;0,AG36*Early,AG36*Late)))/3</f>
        <v>2</v>
      </c>
      <c r="AO36" s="1" t="n">
        <f aca="false">(ABS(IF(AH36&lt;0,AH36*Early,AH36*Late))+ABS(IF(AI36&lt;0,AI36*Early,AI36*Late))+ABS(IF(AJ36&lt;0,AJ36*Early,AJ36*Late)))/3</f>
        <v>6</v>
      </c>
      <c r="AP36" s="1" t="n">
        <f aca="false">(ABS(IF(AK36&lt;0,AK36*Early,AK36*Late))+ABS(IF(AL36&lt;0,AL36*Early,AL36*Late))+ABS(IF(AM36&lt;0,AM36*Early,AM36*Late)))/3</f>
        <v>2</v>
      </c>
      <c r="AQ36" s="0" t="n">
        <f aca="false">Y36*Delay+AN36</f>
        <v>2.5</v>
      </c>
      <c r="AR36" s="0" t="n">
        <f aca="false">Z36*Delay+AO36</f>
        <v>6</v>
      </c>
      <c r="AS36" s="0" t="n">
        <f aca="false">AA36*Delay+AP36</f>
        <v>2.5</v>
      </c>
      <c r="AT36" s="1" t="n">
        <f aca="false">VLOOKUP(A36,SortA!$A$1:$AT$65,46,FALSE())</f>
        <v>1</v>
      </c>
      <c r="AU36" s="1" t="n">
        <f aca="false">VLOOKUP(A36,SortB!$A$1:$AT$65,46,FALSE())</f>
        <v>0</v>
      </c>
      <c r="AV36" s="1" t="n">
        <f aca="false">VLOOKUP(A36,SortC!$A$1:$AT$65,46,FALSE())</f>
        <v>1</v>
      </c>
      <c r="AW36" s="0" t="n">
        <f aca="false">IF(SUM(AT36:AV36)=3,1,0)</f>
        <v>0</v>
      </c>
      <c r="AX36" s="0" t="str">
        <f aca="false">B36&amp;C36&amp;D36</f>
        <v>OVO</v>
      </c>
      <c r="AY36" s="1" t="n">
        <f aca="false">AQ36+AR36+AS36</f>
        <v>11</v>
      </c>
      <c r="AZ36" s="1" t="str">
        <f aca="false">RIGHT(AX36,2)</f>
        <v>VO</v>
      </c>
      <c r="BA36" s="1" t="str">
        <f aca="false">LEFT(AX36,1)&amp;RIGHT(AX36,1)</f>
        <v>OO</v>
      </c>
      <c r="BB36" s="1" t="str">
        <f aca="false">LEFT(AX36,2)</f>
        <v>OV</v>
      </c>
      <c r="BC36" s="1" t="n">
        <f aca="false">VLOOKUP(AZ36,TwoPlayers!$AG$1:$AH$17,2,FALSE())</f>
        <v>6</v>
      </c>
      <c r="BD36" s="1" t="n">
        <f aca="false">VLOOKUP(BA36,TwoPlayers!$AG$1:$AH$17,2,FALSE())</f>
        <v>5</v>
      </c>
      <c r="BE36" s="1" t="n">
        <f aca="false">VLOOKUP(BB36,TwoPlayers!$AG$1:$AH$17,2,FALSE())</f>
        <v>6</v>
      </c>
      <c r="BF36" s="1" t="n">
        <f aca="false">$AY36-BC36</f>
        <v>5</v>
      </c>
      <c r="BG36" s="1" t="n">
        <f aca="false">$AY36-BD36</f>
        <v>6</v>
      </c>
      <c r="BH36" s="1" t="n">
        <f aca="false">$AY36-BE36</f>
        <v>5</v>
      </c>
      <c r="BI36" s="0" t="str">
        <f aca="false">AX36</f>
        <v>OVO</v>
      </c>
      <c r="BJ36" s="1" t="n">
        <f aca="false">VLOOKUP(A36,SortA!$A$1:$BM$65,65,FALSE())</f>
        <v>0</v>
      </c>
      <c r="BK36" s="1" t="n">
        <f aca="false">VLOOKUP(A36,SortB!$A$1:$BM$65,65,FALSE())</f>
        <v>0</v>
      </c>
      <c r="BL36" s="1" t="n">
        <f aca="false">VLOOKUP(A36,SortC!$A$1:$BM$65,65,FALSE())</f>
        <v>0</v>
      </c>
      <c r="BM36" s="1" t="n">
        <f aca="false">IF(SUM(BJ36:BL36)=3,1,0)</f>
        <v>0</v>
      </c>
    </row>
    <row r="37" customFormat="false" ht="13" hidden="false" customHeight="false" outlineLevel="0" collapsed="false">
      <c r="A37" s="0" t="n">
        <f aca="false">A36+1</f>
        <v>36</v>
      </c>
      <c r="B37" s="0" t="s">
        <v>3</v>
      </c>
      <c r="C37" s="0" t="s">
        <v>1</v>
      </c>
      <c r="D37" s="0" t="s">
        <v>4</v>
      </c>
      <c r="E37" s="0" t="n">
        <f aca="false">(IF($B37="V",1,0))+IF($C37="V",1,0)+IF($D37="V",1,0)</f>
        <v>1</v>
      </c>
      <c r="F37" s="0" t="n">
        <f aca="false">(IF($B37="E",1,0))+IF($C37="E",1,0)+IF($D37="E",1,0)</f>
        <v>0</v>
      </c>
      <c r="G37" s="0" t="n">
        <f aca="false">(IF($B37="O",1,0))+IF($C37="O",1,0)+IF($D37="O",1,0)</f>
        <v>1</v>
      </c>
      <c r="H37" s="0" t="n">
        <f aca="false">(IF($B37="L",1,0))+IF($C37="L",1,0)+IF($D37="L",1,0)</f>
        <v>1</v>
      </c>
      <c r="I37" s="0" t="n">
        <f aca="false">(IF(B37="V",1,0))</f>
        <v>0</v>
      </c>
      <c r="J37" s="0" t="n">
        <f aca="false">(IF(B37="E",1,0))</f>
        <v>0</v>
      </c>
      <c r="K37" s="0" t="n">
        <f aca="false">(IF(B37="O",1,0))</f>
        <v>1</v>
      </c>
      <c r="L37" s="0" t="n">
        <f aca="false">(IF(B37="L",1,0))</f>
        <v>0</v>
      </c>
      <c r="M37" s="0" t="n">
        <f aca="false">(IF(C37="V",1,0))</f>
        <v>1</v>
      </c>
      <c r="N37" s="0" t="n">
        <f aca="false">(IF(C37="E",1,0))</f>
        <v>0</v>
      </c>
      <c r="O37" s="0" t="n">
        <f aca="false">(IF(C37="O",1,0))</f>
        <v>0</v>
      </c>
      <c r="P37" s="0" t="n">
        <f aca="false">(IF(C37="L",1,0))</f>
        <v>0</v>
      </c>
      <c r="Q37" s="0" t="n">
        <f aca="false">(IF(D37="V",1,0))</f>
        <v>0</v>
      </c>
      <c r="R37" s="0" t="n">
        <f aca="false">(IF(D37="E",1,0))</f>
        <v>0</v>
      </c>
      <c r="S37" s="0" t="n">
        <f aca="false">(IF(D37="O",1,0))</f>
        <v>0</v>
      </c>
      <c r="T37" s="0" t="n">
        <f aca="false">(IF(D37="L",1,0))</f>
        <v>1</v>
      </c>
      <c r="U37" s="0" t="n">
        <f aca="false">MAX(E37-1,0)</f>
        <v>0</v>
      </c>
      <c r="V37" s="0" t="n">
        <f aca="false">MAX(U37-1+F37,0)</f>
        <v>0</v>
      </c>
      <c r="W37" s="0" t="n">
        <f aca="false">MAX(V37-1+G37,0)</f>
        <v>0</v>
      </c>
      <c r="X37" s="0" t="n">
        <f aca="false">MAX(W37-1+H37,0)</f>
        <v>0</v>
      </c>
      <c r="Y37" s="1" t="n">
        <f aca="false">0.5*(E37*I37+F37*J37+G37*K37+H37*L37-1)+(0+$U37*J37+$V37*K37+$W37*L37)</f>
        <v>0</v>
      </c>
      <c r="Z37" s="1" t="n">
        <f aca="false">0.5*(E37*M37+F37*N37+G37*O37+H37*P37-1)+(0+$U37*N37+$V37*O37+$W37*P37)</f>
        <v>0</v>
      </c>
      <c r="AA37" s="1" t="n">
        <f aca="false">0.5*(E37*Q37+F37*R37+G37*S37+H37*T37-1)+(0+$U37*R37+$V37*S37+$W37*T37)</f>
        <v>0</v>
      </c>
      <c r="AB37" s="0" t="n">
        <f aca="false">IF(B37="V",-2,0)+IF(B37="E",-1,0)+IF(B37="O",0,0)+IF(B37="L",1,0)+Y37</f>
        <v>0</v>
      </c>
      <c r="AC37" s="0" t="n">
        <f aca="false">IF(C37="V",-2,0)+IF(C37="E",-1,0)+IF(C37="O",0,0)+IF(C37="L",1,0)+Z37</f>
        <v>-2</v>
      </c>
      <c r="AD37" s="0" t="n">
        <f aca="false">IF(D37="V",-2,0)+IF(D37="E",-1,0)+IF(D37="O",0,0)+IF(D37="L",1,0)+AA37</f>
        <v>1</v>
      </c>
      <c r="AE37" s="1" t="n">
        <f aca="false">IF(B37="V",-2,0)+IF(B37="E",-1,0)+IF(B37="O",0,0)+IF(B37="L",1,0)</f>
        <v>0</v>
      </c>
      <c r="AF37" s="1" t="n">
        <f aca="false">IF(B37="V",-2,0)+IF(B37="E",-1,0)+IF(B37="O",0,0)+IF(B37="L",1,0)+Y37</f>
        <v>0</v>
      </c>
      <c r="AG37" s="1" t="n">
        <f aca="false">IF(B37="V",-2,0)+IF(B37="E",-1,0)+IF(B37="O",0,0)+IF(B37="L",1,0)+Y37*2</f>
        <v>0</v>
      </c>
      <c r="AH37" s="1" t="n">
        <f aca="false">IF(C37="V",-2,0)+IF(C37="E",-1,0)+IF(C37="O",0,0)+IF(C37="L",1,0)</f>
        <v>-2</v>
      </c>
      <c r="AI37" s="1" t="n">
        <f aca="false">IF(C37="V",-2,0)+IF(C37="E",-1,0)+IF(C37="O",0,0)+IF(C37="L",1,0)+Z37</f>
        <v>-2</v>
      </c>
      <c r="AJ37" s="1" t="n">
        <f aca="false">IF(C37="V",-2,0)+IF(C37="E",-1,0)+IF(C37="O",0,0)+IF(C37="L",1,0)+Z37*2</f>
        <v>-2</v>
      </c>
      <c r="AK37" s="1" t="n">
        <f aca="false">IF(D37="V",-2,0)+IF(D37="E",-1,0)+IF(D37="O",0,0)+IF(D37="L",1,0)</f>
        <v>1</v>
      </c>
      <c r="AL37" s="1" t="n">
        <f aca="false">IF(D37="V",-2,0)+IF(D37="E",-1,0)+IF(D37="O",0,0)+IF(D37="L",1,0)+AA37</f>
        <v>1</v>
      </c>
      <c r="AM37" s="1" t="n">
        <f aca="false">IF(D37="V",-2,0)+IF(D37="E",-1,0)+IF(D37="O",0,0)+IF(D37="L",1,0)+AA37*2</f>
        <v>1</v>
      </c>
      <c r="AN37" s="1" t="n">
        <f aca="false">(ABS(IF(AE37&lt;0,AE37*Early,AE37*Late))+ABS(IF(AF37&lt;0,AF37*Early,AF37*Late))+ABS(IF(AG37&lt;0,AG37*Early,AG37*Late)))/3</f>
        <v>0</v>
      </c>
      <c r="AO37" s="1" t="n">
        <f aca="false">(ABS(IF(AH37&lt;0,AH37*Early,AH37*Late))+ABS(IF(AI37&lt;0,AI37*Early,AI37*Late))+ABS(IF(AJ37&lt;0,AJ37*Early,AJ37*Late)))/3</f>
        <v>6</v>
      </c>
      <c r="AP37" s="1" t="n">
        <f aca="false">(ABS(IF(AK37&lt;0,AK37*Early,AK37*Late))+ABS(IF(AL37&lt;0,AL37*Early,AL37*Late))+ABS(IF(AM37&lt;0,AM37*Early,AM37*Late)))/3</f>
        <v>4</v>
      </c>
      <c r="AQ37" s="0" t="n">
        <f aca="false">Y37*Delay+AN37</f>
        <v>0</v>
      </c>
      <c r="AR37" s="0" t="n">
        <f aca="false">Z37*Delay+AO37</f>
        <v>6</v>
      </c>
      <c r="AS37" s="0" t="n">
        <f aca="false">AA37*Delay+AP37</f>
        <v>4</v>
      </c>
      <c r="AT37" s="1" t="n">
        <f aca="false">VLOOKUP(A37,SortA!$A$1:$AT$65,46,FALSE())</f>
        <v>1</v>
      </c>
      <c r="AU37" s="1" t="n">
        <f aca="false">VLOOKUP(A37,SortB!$A$1:$AT$65,46,FALSE())</f>
        <v>0</v>
      </c>
      <c r="AV37" s="1" t="n">
        <f aca="false">VLOOKUP(A37,SortC!$A$1:$AT$65,46,FALSE())</f>
        <v>0</v>
      </c>
      <c r="AW37" s="0" t="n">
        <f aca="false">IF(SUM(AT37:AV37)=3,1,0)</f>
        <v>0</v>
      </c>
      <c r="AX37" s="0" t="str">
        <f aca="false">B37&amp;C37&amp;D37</f>
        <v>OVL</v>
      </c>
      <c r="AY37" s="1" t="n">
        <f aca="false">AQ37+AR37+AS37</f>
        <v>10</v>
      </c>
      <c r="AZ37" s="1" t="str">
        <f aca="false">RIGHT(AX37,2)</f>
        <v>VL</v>
      </c>
      <c r="BA37" s="1" t="str">
        <f aca="false">LEFT(AX37,1)&amp;RIGHT(AX37,1)</f>
        <v>OL</v>
      </c>
      <c r="BB37" s="1" t="str">
        <f aca="false">LEFT(AX37,2)</f>
        <v>OV</v>
      </c>
      <c r="BC37" s="1" t="n">
        <f aca="false">VLOOKUP(AZ37,TwoPlayers!$AG$1:$AH$17,2,FALSE())</f>
        <v>10</v>
      </c>
      <c r="BD37" s="1" t="n">
        <f aca="false">VLOOKUP(BA37,TwoPlayers!$AG$1:$AH$17,2,FALSE())</f>
        <v>4</v>
      </c>
      <c r="BE37" s="1" t="n">
        <f aca="false">VLOOKUP(BB37,TwoPlayers!$AG$1:$AH$17,2,FALSE())</f>
        <v>6</v>
      </c>
      <c r="BF37" s="1" t="n">
        <f aca="false">$AY37-BC37</f>
        <v>0</v>
      </c>
      <c r="BG37" s="1" t="n">
        <f aca="false">$AY37-BD37</f>
        <v>6</v>
      </c>
      <c r="BH37" s="1" t="n">
        <f aca="false">$AY37-BE37</f>
        <v>4</v>
      </c>
      <c r="BI37" s="0" t="str">
        <f aca="false">AX37</f>
        <v>OVL</v>
      </c>
      <c r="BJ37" s="1" t="n">
        <f aca="false">VLOOKUP(A37,SortA!$A$1:$BM$65,65,FALSE())</f>
        <v>1</v>
      </c>
      <c r="BK37" s="1" t="n">
        <f aca="false">VLOOKUP(A37,SortB!$A$1:$BM$65,65,FALSE())</f>
        <v>0</v>
      </c>
      <c r="BL37" s="1" t="n">
        <f aca="false">VLOOKUP(A37,SortC!$A$1:$BM$65,65,FALSE())</f>
        <v>0</v>
      </c>
      <c r="BM37" s="1" t="n">
        <f aca="false">IF(SUM(BJ37:BL37)=3,1,0)</f>
        <v>0</v>
      </c>
    </row>
    <row r="38" customFormat="false" ht="13" hidden="false" customHeight="false" outlineLevel="0" collapsed="false">
      <c r="A38" s="0" t="n">
        <f aca="false">A37+1</f>
        <v>37</v>
      </c>
      <c r="B38" s="0" t="s">
        <v>3</v>
      </c>
      <c r="C38" s="0" t="s">
        <v>2</v>
      </c>
      <c r="D38" s="0" t="s">
        <v>1</v>
      </c>
      <c r="E38" s="0" t="n">
        <f aca="false">(IF($B38="V",1,0))+IF($C38="V",1,0)+IF($D38="V",1,0)</f>
        <v>1</v>
      </c>
      <c r="F38" s="0" t="n">
        <f aca="false">(IF($B38="E",1,0))+IF($C38="E",1,0)+IF($D38="E",1,0)</f>
        <v>1</v>
      </c>
      <c r="G38" s="0" t="n">
        <f aca="false">(IF($B38="O",1,0))+IF($C38="O",1,0)+IF($D38="O",1,0)</f>
        <v>1</v>
      </c>
      <c r="H38" s="0" t="n">
        <f aca="false">(IF($B38="L",1,0))+IF($C38="L",1,0)+IF($D38="L",1,0)</f>
        <v>0</v>
      </c>
      <c r="I38" s="0" t="n">
        <f aca="false">(IF(B38="V",1,0))</f>
        <v>0</v>
      </c>
      <c r="J38" s="0" t="n">
        <f aca="false">(IF(B38="E",1,0))</f>
        <v>0</v>
      </c>
      <c r="K38" s="0" t="n">
        <f aca="false">(IF(B38="O",1,0))</f>
        <v>1</v>
      </c>
      <c r="L38" s="0" t="n">
        <f aca="false">(IF(B38="L",1,0))</f>
        <v>0</v>
      </c>
      <c r="M38" s="0" t="n">
        <f aca="false">(IF(C38="V",1,0))</f>
        <v>0</v>
      </c>
      <c r="N38" s="0" t="n">
        <f aca="false">(IF(C38="E",1,0))</f>
        <v>1</v>
      </c>
      <c r="O38" s="0" t="n">
        <f aca="false">(IF(C38="O",1,0))</f>
        <v>0</v>
      </c>
      <c r="P38" s="0" t="n">
        <f aca="false">(IF(C38="L",1,0))</f>
        <v>0</v>
      </c>
      <c r="Q38" s="0" t="n">
        <f aca="false">(IF(D38="V",1,0))</f>
        <v>1</v>
      </c>
      <c r="R38" s="0" t="n">
        <f aca="false">(IF(D38="E",1,0))</f>
        <v>0</v>
      </c>
      <c r="S38" s="0" t="n">
        <f aca="false">(IF(D38="O",1,0))</f>
        <v>0</v>
      </c>
      <c r="T38" s="0" t="n">
        <f aca="false">(IF(D38="L",1,0))</f>
        <v>0</v>
      </c>
      <c r="U38" s="0" t="n">
        <f aca="false">MAX(E38-1,0)</f>
        <v>0</v>
      </c>
      <c r="V38" s="0" t="n">
        <f aca="false">MAX(U38-1+F38,0)</f>
        <v>0</v>
      </c>
      <c r="W38" s="0" t="n">
        <f aca="false">MAX(V38-1+G38,0)</f>
        <v>0</v>
      </c>
      <c r="X38" s="0" t="n">
        <f aca="false">MAX(W38-1+H38,0)</f>
        <v>0</v>
      </c>
      <c r="Y38" s="1" t="n">
        <f aca="false">0.5*(E38*I38+F38*J38+G38*K38+H38*L38-1)+(0+$U38*J38+$V38*K38+$W38*L38)</f>
        <v>0</v>
      </c>
      <c r="Z38" s="1" t="n">
        <f aca="false">0.5*(E38*M38+F38*N38+G38*O38+H38*P38-1)+(0+$U38*N38+$V38*O38+$W38*P38)</f>
        <v>0</v>
      </c>
      <c r="AA38" s="1" t="n">
        <f aca="false">0.5*(E38*Q38+F38*R38+G38*S38+H38*T38-1)+(0+$U38*R38+$V38*S38+$W38*T38)</f>
        <v>0</v>
      </c>
      <c r="AB38" s="0" t="n">
        <f aca="false">IF(B38="V",-2,0)+IF(B38="E",-1,0)+IF(B38="O",0,0)+IF(B38="L",1,0)+Y38</f>
        <v>0</v>
      </c>
      <c r="AC38" s="0" t="n">
        <f aca="false">IF(C38="V",-2,0)+IF(C38="E",-1,0)+IF(C38="O",0,0)+IF(C38="L",1,0)+Z38</f>
        <v>-1</v>
      </c>
      <c r="AD38" s="0" t="n">
        <f aca="false">IF(D38="V",-2,0)+IF(D38="E",-1,0)+IF(D38="O",0,0)+IF(D38="L",1,0)+AA38</f>
        <v>-2</v>
      </c>
      <c r="AE38" s="1" t="n">
        <f aca="false">IF(B38="V",-2,0)+IF(B38="E",-1,0)+IF(B38="O",0,0)+IF(B38="L",1,0)</f>
        <v>0</v>
      </c>
      <c r="AF38" s="1" t="n">
        <f aca="false">IF(B38="V",-2,0)+IF(B38="E",-1,0)+IF(B38="O",0,0)+IF(B38="L",1,0)+Y38</f>
        <v>0</v>
      </c>
      <c r="AG38" s="1" t="n">
        <f aca="false">IF(B38="V",-2,0)+IF(B38="E",-1,0)+IF(B38="O",0,0)+IF(B38="L",1,0)+Y38*2</f>
        <v>0</v>
      </c>
      <c r="AH38" s="1" t="n">
        <f aca="false">IF(C38="V",-2,0)+IF(C38="E",-1,0)+IF(C38="O",0,0)+IF(C38="L",1,0)</f>
        <v>-1</v>
      </c>
      <c r="AI38" s="1" t="n">
        <f aca="false">IF(C38="V",-2,0)+IF(C38="E",-1,0)+IF(C38="O",0,0)+IF(C38="L",1,0)+Z38</f>
        <v>-1</v>
      </c>
      <c r="AJ38" s="1" t="n">
        <f aca="false">IF(C38="V",-2,0)+IF(C38="E",-1,0)+IF(C38="O",0,0)+IF(C38="L",1,0)+Z38*2</f>
        <v>-1</v>
      </c>
      <c r="AK38" s="1" t="n">
        <f aca="false">IF(D38="V",-2,0)+IF(D38="E",-1,0)+IF(D38="O",0,0)+IF(D38="L",1,0)</f>
        <v>-2</v>
      </c>
      <c r="AL38" s="1" t="n">
        <f aca="false">IF(D38="V",-2,0)+IF(D38="E",-1,0)+IF(D38="O",0,0)+IF(D38="L",1,0)+AA38</f>
        <v>-2</v>
      </c>
      <c r="AM38" s="1" t="n">
        <f aca="false">IF(D38="V",-2,0)+IF(D38="E",-1,0)+IF(D38="O",0,0)+IF(D38="L",1,0)+AA38*2</f>
        <v>-2</v>
      </c>
      <c r="AN38" s="1" t="n">
        <f aca="false">(ABS(IF(AE38&lt;0,AE38*Early,AE38*Late))+ABS(IF(AF38&lt;0,AF38*Early,AF38*Late))+ABS(IF(AG38&lt;0,AG38*Early,AG38*Late)))/3</f>
        <v>0</v>
      </c>
      <c r="AO38" s="1" t="n">
        <f aca="false">(ABS(IF(AH38&lt;0,AH38*Early,AH38*Late))+ABS(IF(AI38&lt;0,AI38*Early,AI38*Late))+ABS(IF(AJ38&lt;0,AJ38*Early,AJ38*Late)))/3</f>
        <v>3</v>
      </c>
      <c r="AP38" s="1" t="n">
        <f aca="false">(ABS(IF(AK38&lt;0,AK38*Early,AK38*Late))+ABS(IF(AL38&lt;0,AL38*Early,AL38*Late))+ABS(IF(AM38&lt;0,AM38*Early,AM38*Late)))/3</f>
        <v>6</v>
      </c>
      <c r="AQ38" s="0" t="n">
        <f aca="false">Y38*Delay+AN38</f>
        <v>0</v>
      </c>
      <c r="AR38" s="0" t="n">
        <f aca="false">Z38*Delay+AO38</f>
        <v>3</v>
      </c>
      <c r="AS38" s="0" t="n">
        <f aca="false">AA38*Delay+AP38</f>
        <v>6</v>
      </c>
      <c r="AT38" s="1" t="n">
        <f aca="false">VLOOKUP(A38,SortA!$A$1:$AT$65,46,FALSE())</f>
        <v>1</v>
      </c>
      <c r="AU38" s="1" t="n">
        <f aca="false">VLOOKUP(A38,SortB!$A$1:$AT$65,46,FALSE())</f>
        <v>0</v>
      </c>
      <c r="AV38" s="1" t="n">
        <f aca="false">VLOOKUP(A38,SortC!$A$1:$AT$65,46,FALSE())</f>
        <v>0</v>
      </c>
      <c r="AW38" s="0" t="n">
        <f aca="false">IF(SUM(AT38:AV38)=3,1,0)</f>
        <v>0</v>
      </c>
      <c r="AX38" s="0" t="str">
        <f aca="false">B38&amp;C38&amp;D38</f>
        <v>OEV</v>
      </c>
      <c r="AY38" s="1" t="n">
        <f aca="false">AQ38+AR38+AS38</f>
        <v>9</v>
      </c>
      <c r="AZ38" s="1" t="str">
        <f aca="false">RIGHT(AX38,2)</f>
        <v>EV</v>
      </c>
      <c r="BA38" s="1" t="str">
        <f aca="false">LEFT(AX38,1)&amp;RIGHT(AX38,1)</f>
        <v>OV</v>
      </c>
      <c r="BB38" s="1" t="str">
        <f aca="false">LEFT(AX38,2)</f>
        <v>OE</v>
      </c>
      <c r="BC38" s="1" t="n">
        <f aca="false">VLOOKUP(AZ38,TwoPlayers!$AG$1:$AH$17,2,FALSE())</f>
        <v>9</v>
      </c>
      <c r="BD38" s="1" t="n">
        <f aca="false">VLOOKUP(BA38,TwoPlayers!$AG$1:$AH$17,2,FALSE())</f>
        <v>6</v>
      </c>
      <c r="BE38" s="1" t="n">
        <f aca="false">VLOOKUP(BB38,TwoPlayers!$AG$1:$AH$17,2,FALSE())</f>
        <v>3</v>
      </c>
      <c r="BF38" s="1" t="n">
        <f aca="false">$AY38-BC38</f>
        <v>0</v>
      </c>
      <c r="BG38" s="1" t="n">
        <f aca="false">$AY38-BD38</f>
        <v>3</v>
      </c>
      <c r="BH38" s="1" t="n">
        <f aca="false">$AY38-BE38</f>
        <v>6</v>
      </c>
      <c r="BI38" s="0" t="str">
        <f aca="false">AX38</f>
        <v>OEV</v>
      </c>
      <c r="BJ38" s="1" t="n">
        <f aca="false">VLOOKUP(A38,SortA!$A$1:$BM$65,65,FALSE())</f>
        <v>1</v>
      </c>
      <c r="BK38" s="1" t="n">
        <f aca="false">VLOOKUP(A38,SortB!$A$1:$BM$65,65,FALSE())</f>
        <v>1</v>
      </c>
      <c r="BL38" s="1" t="n">
        <f aca="false">VLOOKUP(A38,SortC!$A$1:$BM$65,65,FALSE())</f>
        <v>0</v>
      </c>
      <c r="BM38" s="1" t="n">
        <f aca="false">IF(SUM(BJ38:BL38)=3,1,0)</f>
        <v>0</v>
      </c>
    </row>
    <row r="39" customFormat="false" ht="13" hidden="false" customHeight="false" outlineLevel="0" collapsed="false">
      <c r="A39" s="0" t="n">
        <f aca="false">A38+1</f>
        <v>38</v>
      </c>
      <c r="B39" s="0" t="s">
        <v>3</v>
      </c>
      <c r="C39" s="0" t="s">
        <v>2</v>
      </c>
      <c r="D39" s="0" t="s">
        <v>2</v>
      </c>
      <c r="E39" s="0" t="n">
        <f aca="false">(IF($B39="V",1,0))+IF($C39="V",1,0)+IF($D39="V",1,0)</f>
        <v>0</v>
      </c>
      <c r="F39" s="0" t="n">
        <f aca="false">(IF($B39="E",1,0))+IF($C39="E",1,0)+IF($D39="E",1,0)</f>
        <v>2</v>
      </c>
      <c r="G39" s="0" t="n">
        <f aca="false">(IF($B39="O",1,0))+IF($C39="O",1,0)+IF($D39="O",1,0)</f>
        <v>1</v>
      </c>
      <c r="H39" s="0" t="n">
        <f aca="false">(IF($B39="L",1,0))+IF($C39="L",1,0)+IF($D39="L",1,0)</f>
        <v>0</v>
      </c>
      <c r="I39" s="0" t="n">
        <f aca="false">(IF(B39="V",1,0))</f>
        <v>0</v>
      </c>
      <c r="J39" s="0" t="n">
        <f aca="false">(IF(B39="E",1,0))</f>
        <v>0</v>
      </c>
      <c r="K39" s="0" t="n">
        <f aca="false">(IF(B39="O",1,0))</f>
        <v>1</v>
      </c>
      <c r="L39" s="0" t="n">
        <f aca="false">(IF(B39="L",1,0))</f>
        <v>0</v>
      </c>
      <c r="M39" s="0" t="n">
        <f aca="false">(IF(C39="V",1,0))</f>
        <v>0</v>
      </c>
      <c r="N39" s="0" t="n">
        <f aca="false">(IF(C39="E",1,0))</f>
        <v>1</v>
      </c>
      <c r="O39" s="0" t="n">
        <f aca="false">(IF(C39="O",1,0))</f>
        <v>0</v>
      </c>
      <c r="P39" s="0" t="n">
        <f aca="false">(IF(C39="L",1,0))</f>
        <v>0</v>
      </c>
      <c r="Q39" s="0" t="n">
        <f aca="false">(IF(D39="V",1,0))</f>
        <v>0</v>
      </c>
      <c r="R39" s="0" t="n">
        <f aca="false">(IF(D39="E",1,0))</f>
        <v>1</v>
      </c>
      <c r="S39" s="0" t="n">
        <f aca="false">(IF(D39="O",1,0))</f>
        <v>0</v>
      </c>
      <c r="T39" s="0" t="n">
        <f aca="false">(IF(D39="L",1,0))</f>
        <v>0</v>
      </c>
      <c r="U39" s="0" t="n">
        <f aca="false">MAX(E39-1,0)</f>
        <v>0</v>
      </c>
      <c r="V39" s="0" t="n">
        <f aca="false">MAX(U39-1+F39,0)</f>
        <v>1</v>
      </c>
      <c r="W39" s="0" t="n">
        <f aca="false">MAX(V39-1+G39,0)</f>
        <v>1</v>
      </c>
      <c r="X39" s="0" t="n">
        <f aca="false">MAX(W39-1+H39,0)</f>
        <v>0</v>
      </c>
      <c r="Y39" s="1" t="n">
        <f aca="false">0.5*(E39*I39+F39*J39+G39*K39+H39*L39-1)+(0+$U39*J39+$V39*K39+$W39*L39)</f>
        <v>1</v>
      </c>
      <c r="Z39" s="1" t="n">
        <f aca="false">0.5*(E39*M39+F39*N39+G39*O39+H39*P39-1)+(0+$U39*N39+$V39*O39+$W39*P39)</f>
        <v>0.5</v>
      </c>
      <c r="AA39" s="1" t="n">
        <f aca="false">0.5*(E39*Q39+F39*R39+G39*S39+H39*T39-1)+(0+$U39*R39+$V39*S39+$W39*T39)</f>
        <v>0.5</v>
      </c>
      <c r="AB39" s="0" t="n">
        <f aca="false">IF(B39="V",-2,0)+IF(B39="E",-1,0)+IF(B39="O",0,0)+IF(B39="L",1,0)+Y39</f>
        <v>1</v>
      </c>
      <c r="AC39" s="0" t="n">
        <f aca="false">IF(C39="V",-2,0)+IF(C39="E",-1,0)+IF(C39="O",0,0)+IF(C39="L",1,0)+Z39</f>
        <v>-0.5</v>
      </c>
      <c r="AD39" s="0" t="n">
        <f aca="false">IF(D39="V",-2,0)+IF(D39="E",-1,0)+IF(D39="O",0,0)+IF(D39="L",1,0)+AA39</f>
        <v>-0.5</v>
      </c>
      <c r="AE39" s="1" t="n">
        <f aca="false">IF(B39="V",-2,0)+IF(B39="E",-1,0)+IF(B39="O",0,0)+IF(B39="L",1,0)</f>
        <v>0</v>
      </c>
      <c r="AF39" s="1" t="n">
        <f aca="false">IF(B39="V",-2,0)+IF(B39="E",-1,0)+IF(B39="O",0,0)+IF(B39="L",1,0)+Y39</f>
        <v>1</v>
      </c>
      <c r="AG39" s="1" t="n">
        <f aca="false">IF(B39="V",-2,0)+IF(B39="E",-1,0)+IF(B39="O",0,0)+IF(B39="L",1,0)+Y39*2</f>
        <v>2</v>
      </c>
      <c r="AH39" s="1" t="n">
        <f aca="false">IF(C39="V",-2,0)+IF(C39="E",-1,0)+IF(C39="O",0,0)+IF(C39="L",1,0)</f>
        <v>-1</v>
      </c>
      <c r="AI39" s="1" t="n">
        <f aca="false">IF(C39="V",-2,0)+IF(C39="E",-1,0)+IF(C39="O",0,0)+IF(C39="L",1,0)+Z39</f>
        <v>-0.5</v>
      </c>
      <c r="AJ39" s="1" t="n">
        <f aca="false">IF(C39="V",-2,0)+IF(C39="E",-1,0)+IF(C39="O",0,0)+IF(C39="L",1,0)+Z39*2</f>
        <v>0</v>
      </c>
      <c r="AK39" s="1" t="n">
        <f aca="false">IF(D39="V",-2,0)+IF(D39="E",-1,0)+IF(D39="O",0,0)+IF(D39="L",1,0)</f>
        <v>-1</v>
      </c>
      <c r="AL39" s="1" t="n">
        <f aca="false">IF(D39="V",-2,0)+IF(D39="E",-1,0)+IF(D39="O",0,0)+IF(D39="L",1,0)+AA39</f>
        <v>-0.5</v>
      </c>
      <c r="AM39" s="1" t="n">
        <f aca="false">IF(D39="V",-2,0)+IF(D39="E",-1,0)+IF(D39="O",0,0)+IF(D39="L",1,0)+AA39*2</f>
        <v>0</v>
      </c>
      <c r="AN39" s="1" t="n">
        <f aca="false">(ABS(IF(AE39&lt;0,AE39*Early,AE39*Late))+ABS(IF(AF39&lt;0,AF39*Early,AF39*Late))+ABS(IF(AG39&lt;0,AG39*Early,AG39*Late)))/3</f>
        <v>4</v>
      </c>
      <c r="AO39" s="1" t="n">
        <f aca="false">(ABS(IF(AH39&lt;0,AH39*Early,AH39*Late))+ABS(IF(AI39&lt;0,AI39*Early,AI39*Late))+ABS(IF(AJ39&lt;0,AJ39*Early,AJ39*Late)))/3</f>
        <v>1.5</v>
      </c>
      <c r="AP39" s="1" t="n">
        <f aca="false">(ABS(IF(AK39&lt;0,AK39*Early,AK39*Late))+ABS(IF(AL39&lt;0,AL39*Early,AL39*Late))+ABS(IF(AM39&lt;0,AM39*Early,AM39*Late)))/3</f>
        <v>1.5</v>
      </c>
      <c r="AQ39" s="0" t="n">
        <f aca="false">Y39*Delay+AN39</f>
        <v>5</v>
      </c>
      <c r="AR39" s="0" t="n">
        <f aca="false">Z39*Delay+AO39</f>
        <v>2</v>
      </c>
      <c r="AS39" s="0" t="n">
        <f aca="false">AA39*Delay+AP39</f>
        <v>2</v>
      </c>
      <c r="AT39" s="1" t="n">
        <f aca="false">VLOOKUP(A39,SortA!$A$1:$AT$65,46,FALSE())</f>
        <v>0</v>
      </c>
      <c r="AU39" s="1" t="n">
        <f aca="false">VLOOKUP(A39,SortB!$A$1:$AT$65,46,FALSE())</f>
        <v>1</v>
      </c>
      <c r="AV39" s="1" t="n">
        <f aca="false">VLOOKUP(A39,SortC!$A$1:$AT$65,46,FALSE())</f>
        <v>1</v>
      </c>
      <c r="AW39" s="0" t="n">
        <f aca="false">IF(SUM(AT39:AV39)=3,1,0)</f>
        <v>0</v>
      </c>
      <c r="AX39" s="0" t="str">
        <f aca="false">B39&amp;C39&amp;D39</f>
        <v>OEE</v>
      </c>
      <c r="AY39" s="1" t="n">
        <f aca="false">AQ39+AR39+AS39</f>
        <v>9</v>
      </c>
      <c r="AZ39" s="1" t="str">
        <f aca="false">RIGHT(AX39,2)</f>
        <v>EE</v>
      </c>
      <c r="BA39" s="1" t="str">
        <f aca="false">LEFT(AX39,1)&amp;RIGHT(AX39,1)</f>
        <v>OE</v>
      </c>
      <c r="BB39" s="1" t="str">
        <f aca="false">LEFT(AX39,2)</f>
        <v>OE</v>
      </c>
      <c r="BC39" s="1" t="n">
        <f aca="false">VLOOKUP(AZ39,TwoPlayers!$AG$1:$AH$17,2,FALSE())</f>
        <v>4</v>
      </c>
      <c r="BD39" s="1" t="n">
        <f aca="false">VLOOKUP(BA39,TwoPlayers!$AG$1:$AH$17,2,FALSE())</f>
        <v>3</v>
      </c>
      <c r="BE39" s="1" t="n">
        <f aca="false">VLOOKUP(BB39,TwoPlayers!$AG$1:$AH$17,2,FALSE())</f>
        <v>3</v>
      </c>
      <c r="BF39" s="1" t="n">
        <f aca="false">$AY39-BC39</f>
        <v>5</v>
      </c>
      <c r="BG39" s="1" t="n">
        <f aca="false">$AY39-BD39</f>
        <v>6</v>
      </c>
      <c r="BH39" s="1" t="n">
        <f aca="false">$AY39-BE39</f>
        <v>6</v>
      </c>
      <c r="BI39" s="0" t="str">
        <f aca="false">AX39</f>
        <v>OEE</v>
      </c>
      <c r="BJ39" s="1" t="n">
        <f aca="false">VLOOKUP(A39,SortA!$A$1:$BM$65,65,FALSE())</f>
        <v>0</v>
      </c>
      <c r="BK39" s="1" t="n">
        <f aca="false">VLOOKUP(A39,SortB!$A$1:$BM$65,65,FALSE())</f>
        <v>0</v>
      </c>
      <c r="BL39" s="1" t="n">
        <f aca="false">VLOOKUP(A39,SortC!$A$1:$BM$65,65,FALSE())</f>
        <v>0</v>
      </c>
      <c r="BM39" s="1" t="n">
        <f aca="false">IF(SUM(BJ39:BL39)=3,1,0)</f>
        <v>0</v>
      </c>
    </row>
    <row r="40" customFormat="false" ht="13" hidden="false" customHeight="false" outlineLevel="0" collapsed="false">
      <c r="A40" s="0" t="n">
        <f aca="false">A39+1</f>
        <v>39</v>
      </c>
      <c r="B40" s="0" t="s">
        <v>3</v>
      </c>
      <c r="C40" s="0" t="s">
        <v>2</v>
      </c>
      <c r="D40" s="0" t="s">
        <v>3</v>
      </c>
      <c r="E40" s="0" t="n">
        <f aca="false">(IF($B40="V",1,0))+IF($C40="V",1,0)+IF($D40="V",1,0)</f>
        <v>0</v>
      </c>
      <c r="F40" s="0" t="n">
        <f aca="false">(IF($B40="E",1,0))+IF($C40="E",1,0)+IF($D40="E",1,0)</f>
        <v>1</v>
      </c>
      <c r="G40" s="0" t="n">
        <f aca="false">(IF($B40="O",1,0))+IF($C40="O",1,0)+IF($D40="O",1,0)</f>
        <v>2</v>
      </c>
      <c r="H40" s="0" t="n">
        <f aca="false">(IF($B40="L",1,0))+IF($C40="L",1,0)+IF($D40="L",1,0)</f>
        <v>0</v>
      </c>
      <c r="I40" s="0" t="n">
        <f aca="false">(IF(B40="V",1,0))</f>
        <v>0</v>
      </c>
      <c r="J40" s="0" t="n">
        <f aca="false">(IF(B40="E",1,0))</f>
        <v>0</v>
      </c>
      <c r="K40" s="0" t="n">
        <f aca="false">(IF(B40="O",1,0))</f>
        <v>1</v>
      </c>
      <c r="L40" s="0" t="n">
        <f aca="false">(IF(B40="L",1,0))</f>
        <v>0</v>
      </c>
      <c r="M40" s="0" t="n">
        <f aca="false">(IF(C40="V",1,0))</f>
        <v>0</v>
      </c>
      <c r="N40" s="0" t="n">
        <f aca="false">(IF(C40="E",1,0))</f>
        <v>1</v>
      </c>
      <c r="O40" s="0" t="n">
        <f aca="false">(IF(C40="O",1,0))</f>
        <v>0</v>
      </c>
      <c r="P40" s="0" t="n">
        <f aca="false">(IF(C40="L",1,0))</f>
        <v>0</v>
      </c>
      <c r="Q40" s="0" t="n">
        <f aca="false">(IF(D40="V",1,0))</f>
        <v>0</v>
      </c>
      <c r="R40" s="0" t="n">
        <f aca="false">(IF(D40="E",1,0))</f>
        <v>0</v>
      </c>
      <c r="S40" s="0" t="n">
        <f aca="false">(IF(D40="O",1,0))</f>
        <v>1</v>
      </c>
      <c r="T40" s="0" t="n">
        <f aca="false">(IF(D40="L",1,0))</f>
        <v>0</v>
      </c>
      <c r="U40" s="0" t="n">
        <f aca="false">MAX(E40-1,0)</f>
        <v>0</v>
      </c>
      <c r="V40" s="0" t="n">
        <f aca="false">MAX(U40-1+F40,0)</f>
        <v>0</v>
      </c>
      <c r="W40" s="0" t="n">
        <f aca="false">MAX(V40-1+G40,0)</f>
        <v>1</v>
      </c>
      <c r="X40" s="0" t="n">
        <f aca="false">MAX(W40-1+H40,0)</f>
        <v>0</v>
      </c>
      <c r="Y40" s="1" t="n">
        <f aca="false">0.5*(E40*I40+F40*J40+G40*K40+H40*L40-1)+(0+$U40*J40+$V40*K40+$W40*L40)</f>
        <v>0.5</v>
      </c>
      <c r="Z40" s="1" t="n">
        <f aca="false">0.5*(E40*M40+F40*N40+G40*O40+H40*P40-1)+(0+$U40*N40+$V40*O40+$W40*P40)</f>
        <v>0</v>
      </c>
      <c r="AA40" s="1" t="n">
        <f aca="false">0.5*(E40*Q40+F40*R40+G40*S40+H40*T40-1)+(0+$U40*R40+$V40*S40+$W40*T40)</f>
        <v>0.5</v>
      </c>
      <c r="AB40" s="0" t="n">
        <f aca="false">IF(B40="V",-2,0)+IF(B40="E",-1,0)+IF(B40="O",0,0)+IF(B40="L",1,0)+Y40</f>
        <v>0.5</v>
      </c>
      <c r="AC40" s="0" t="n">
        <f aca="false">IF(C40="V",-2,0)+IF(C40="E",-1,0)+IF(C40="O",0,0)+IF(C40="L",1,0)+Z40</f>
        <v>-1</v>
      </c>
      <c r="AD40" s="0" t="n">
        <f aca="false">IF(D40="V",-2,0)+IF(D40="E",-1,0)+IF(D40="O",0,0)+IF(D40="L",1,0)+AA40</f>
        <v>0.5</v>
      </c>
      <c r="AE40" s="1" t="n">
        <f aca="false">IF(B40="V",-2,0)+IF(B40="E",-1,0)+IF(B40="O",0,0)+IF(B40="L",1,0)</f>
        <v>0</v>
      </c>
      <c r="AF40" s="1" t="n">
        <f aca="false">IF(B40="V",-2,0)+IF(B40="E",-1,0)+IF(B40="O",0,0)+IF(B40="L",1,0)+Y40</f>
        <v>0.5</v>
      </c>
      <c r="AG40" s="1" t="n">
        <f aca="false">IF(B40="V",-2,0)+IF(B40="E",-1,0)+IF(B40="O",0,0)+IF(B40="L",1,0)+Y40*2</f>
        <v>1</v>
      </c>
      <c r="AH40" s="1" t="n">
        <f aca="false">IF(C40="V",-2,0)+IF(C40="E",-1,0)+IF(C40="O",0,0)+IF(C40="L",1,0)</f>
        <v>-1</v>
      </c>
      <c r="AI40" s="1" t="n">
        <f aca="false">IF(C40="V",-2,0)+IF(C40="E",-1,0)+IF(C40="O",0,0)+IF(C40="L",1,0)+Z40</f>
        <v>-1</v>
      </c>
      <c r="AJ40" s="1" t="n">
        <f aca="false">IF(C40="V",-2,0)+IF(C40="E",-1,0)+IF(C40="O",0,0)+IF(C40="L",1,0)+Z40*2</f>
        <v>-1</v>
      </c>
      <c r="AK40" s="1" t="n">
        <f aca="false">IF(D40="V",-2,0)+IF(D40="E",-1,0)+IF(D40="O",0,0)+IF(D40="L",1,0)</f>
        <v>0</v>
      </c>
      <c r="AL40" s="1" t="n">
        <f aca="false">IF(D40="V",-2,0)+IF(D40="E",-1,0)+IF(D40="O",0,0)+IF(D40="L",1,0)+AA40</f>
        <v>0.5</v>
      </c>
      <c r="AM40" s="1" t="n">
        <f aca="false">IF(D40="V",-2,0)+IF(D40="E",-1,0)+IF(D40="O",0,0)+IF(D40="L",1,0)+AA40*2</f>
        <v>1</v>
      </c>
      <c r="AN40" s="1" t="n">
        <f aca="false">(ABS(IF(AE40&lt;0,AE40*Early,AE40*Late))+ABS(IF(AF40&lt;0,AF40*Early,AF40*Late))+ABS(IF(AG40&lt;0,AG40*Early,AG40*Late)))/3</f>
        <v>2</v>
      </c>
      <c r="AO40" s="1" t="n">
        <f aca="false">(ABS(IF(AH40&lt;0,AH40*Early,AH40*Late))+ABS(IF(AI40&lt;0,AI40*Early,AI40*Late))+ABS(IF(AJ40&lt;0,AJ40*Early,AJ40*Late)))/3</f>
        <v>3</v>
      </c>
      <c r="AP40" s="1" t="n">
        <f aca="false">(ABS(IF(AK40&lt;0,AK40*Early,AK40*Late))+ABS(IF(AL40&lt;0,AL40*Early,AL40*Late))+ABS(IF(AM40&lt;0,AM40*Early,AM40*Late)))/3</f>
        <v>2</v>
      </c>
      <c r="AQ40" s="0" t="n">
        <f aca="false">Y40*Delay+AN40</f>
        <v>2.5</v>
      </c>
      <c r="AR40" s="0" t="n">
        <f aca="false">Z40*Delay+AO40</f>
        <v>3</v>
      </c>
      <c r="AS40" s="0" t="n">
        <f aca="false">AA40*Delay+AP40</f>
        <v>2.5</v>
      </c>
      <c r="AT40" s="1" t="n">
        <f aca="false">VLOOKUP(A40,SortA!$A$1:$AT$65,46,FALSE())</f>
        <v>0</v>
      </c>
      <c r="AU40" s="1" t="n">
        <f aca="false">VLOOKUP(A40,SortB!$A$1:$AT$65,46,FALSE())</f>
        <v>1</v>
      </c>
      <c r="AV40" s="1" t="n">
        <f aca="false">VLOOKUP(A40,SortC!$A$1:$AT$65,46,FALSE())</f>
        <v>0</v>
      </c>
      <c r="AW40" s="0" t="n">
        <f aca="false">IF(SUM(AT40:AV40)=3,1,0)</f>
        <v>0</v>
      </c>
      <c r="AX40" s="0" t="str">
        <f aca="false">B40&amp;C40&amp;D40</f>
        <v>OEO</v>
      </c>
      <c r="AY40" s="1" t="n">
        <f aca="false">AQ40+AR40+AS40</f>
        <v>8</v>
      </c>
      <c r="AZ40" s="1" t="str">
        <f aca="false">RIGHT(AX40,2)</f>
        <v>EO</v>
      </c>
      <c r="BA40" s="1" t="str">
        <f aca="false">LEFT(AX40,1)&amp;RIGHT(AX40,1)</f>
        <v>OO</v>
      </c>
      <c r="BB40" s="1" t="str">
        <f aca="false">LEFT(AX40,2)</f>
        <v>OE</v>
      </c>
      <c r="BC40" s="1" t="n">
        <f aca="false">VLOOKUP(AZ40,TwoPlayers!$AG$1:$AH$17,2,FALSE())</f>
        <v>3</v>
      </c>
      <c r="BD40" s="1" t="n">
        <f aca="false">VLOOKUP(BA40,TwoPlayers!$AG$1:$AH$17,2,FALSE())</f>
        <v>5</v>
      </c>
      <c r="BE40" s="1" t="n">
        <f aca="false">VLOOKUP(BB40,TwoPlayers!$AG$1:$AH$17,2,FALSE())</f>
        <v>3</v>
      </c>
      <c r="BF40" s="1" t="n">
        <f aca="false">$AY40-BC40</f>
        <v>5</v>
      </c>
      <c r="BG40" s="1" t="n">
        <f aca="false">$AY40-BD40</f>
        <v>3</v>
      </c>
      <c r="BH40" s="1" t="n">
        <f aca="false">$AY40-BE40</f>
        <v>5</v>
      </c>
      <c r="BI40" s="0" t="str">
        <f aca="false">AX40</f>
        <v>OEO</v>
      </c>
      <c r="BJ40" s="1" t="n">
        <f aca="false">VLOOKUP(A40,SortA!$A$1:$BM$65,65,FALSE())</f>
        <v>1</v>
      </c>
      <c r="BK40" s="1" t="n">
        <f aca="false">VLOOKUP(A40,SortB!$A$1:$BM$65,65,FALSE())</f>
        <v>1</v>
      </c>
      <c r="BL40" s="1" t="n">
        <f aca="false">VLOOKUP(A40,SortC!$A$1:$BM$65,65,FALSE())</f>
        <v>1</v>
      </c>
      <c r="BM40" s="1" t="n">
        <f aca="false">IF(SUM(BJ40:BL40)=3,1,0)</f>
        <v>1</v>
      </c>
    </row>
    <row r="41" customFormat="false" ht="13" hidden="false" customHeight="false" outlineLevel="0" collapsed="false">
      <c r="A41" s="0" t="n">
        <f aca="false">A40+1</f>
        <v>40</v>
      </c>
      <c r="B41" s="0" t="s">
        <v>3</v>
      </c>
      <c r="C41" s="0" t="s">
        <v>2</v>
      </c>
      <c r="D41" s="0" t="s">
        <v>4</v>
      </c>
      <c r="E41" s="0" t="n">
        <f aca="false">(IF($B41="V",1,0))+IF($C41="V",1,0)+IF($D41="V",1,0)</f>
        <v>0</v>
      </c>
      <c r="F41" s="0" t="n">
        <f aca="false">(IF($B41="E",1,0))+IF($C41="E",1,0)+IF($D41="E",1,0)</f>
        <v>1</v>
      </c>
      <c r="G41" s="0" t="n">
        <f aca="false">(IF($B41="O",1,0))+IF($C41="O",1,0)+IF($D41="O",1,0)</f>
        <v>1</v>
      </c>
      <c r="H41" s="0" t="n">
        <f aca="false">(IF($B41="L",1,0))+IF($C41="L",1,0)+IF($D41="L",1,0)</f>
        <v>1</v>
      </c>
      <c r="I41" s="0" t="n">
        <f aca="false">(IF(B41="V",1,0))</f>
        <v>0</v>
      </c>
      <c r="J41" s="0" t="n">
        <f aca="false">(IF(B41="E",1,0))</f>
        <v>0</v>
      </c>
      <c r="K41" s="0" t="n">
        <f aca="false">(IF(B41="O",1,0))</f>
        <v>1</v>
      </c>
      <c r="L41" s="0" t="n">
        <f aca="false">(IF(B41="L",1,0))</f>
        <v>0</v>
      </c>
      <c r="M41" s="0" t="n">
        <f aca="false">(IF(C41="V",1,0))</f>
        <v>0</v>
      </c>
      <c r="N41" s="0" t="n">
        <f aca="false">(IF(C41="E",1,0))</f>
        <v>1</v>
      </c>
      <c r="O41" s="0" t="n">
        <f aca="false">(IF(C41="O",1,0))</f>
        <v>0</v>
      </c>
      <c r="P41" s="0" t="n">
        <f aca="false">(IF(C41="L",1,0))</f>
        <v>0</v>
      </c>
      <c r="Q41" s="0" t="n">
        <f aca="false">(IF(D41="V",1,0))</f>
        <v>0</v>
      </c>
      <c r="R41" s="0" t="n">
        <f aca="false">(IF(D41="E",1,0))</f>
        <v>0</v>
      </c>
      <c r="S41" s="0" t="n">
        <f aca="false">(IF(D41="O",1,0))</f>
        <v>0</v>
      </c>
      <c r="T41" s="0" t="n">
        <f aca="false">(IF(D41="L",1,0))</f>
        <v>1</v>
      </c>
      <c r="U41" s="0" t="n">
        <f aca="false">MAX(E41-1,0)</f>
        <v>0</v>
      </c>
      <c r="V41" s="0" t="n">
        <f aca="false">MAX(U41-1+F41,0)</f>
        <v>0</v>
      </c>
      <c r="W41" s="0" t="n">
        <f aca="false">MAX(V41-1+G41,0)</f>
        <v>0</v>
      </c>
      <c r="X41" s="0" t="n">
        <f aca="false">MAX(W41-1+H41,0)</f>
        <v>0</v>
      </c>
      <c r="Y41" s="1" t="n">
        <f aca="false">0.5*(E41*I41+F41*J41+G41*K41+H41*L41-1)+(0+$U41*J41+$V41*K41+$W41*L41)</f>
        <v>0</v>
      </c>
      <c r="Z41" s="1" t="n">
        <f aca="false">0.5*(E41*M41+F41*N41+G41*O41+H41*P41-1)+(0+$U41*N41+$V41*O41+$W41*P41)</f>
        <v>0</v>
      </c>
      <c r="AA41" s="1" t="n">
        <f aca="false">0.5*(E41*Q41+F41*R41+G41*S41+H41*T41-1)+(0+$U41*R41+$V41*S41+$W41*T41)</f>
        <v>0</v>
      </c>
      <c r="AB41" s="0" t="n">
        <f aca="false">IF(B41="V",-2,0)+IF(B41="E",-1,0)+IF(B41="O",0,0)+IF(B41="L",1,0)+Y41</f>
        <v>0</v>
      </c>
      <c r="AC41" s="0" t="n">
        <f aca="false">IF(C41="V",-2,0)+IF(C41="E",-1,0)+IF(C41="O",0,0)+IF(C41="L",1,0)+Z41</f>
        <v>-1</v>
      </c>
      <c r="AD41" s="0" t="n">
        <f aca="false">IF(D41="V",-2,0)+IF(D41="E",-1,0)+IF(D41="O",0,0)+IF(D41="L",1,0)+AA41</f>
        <v>1</v>
      </c>
      <c r="AE41" s="1" t="n">
        <f aca="false">IF(B41="V",-2,0)+IF(B41="E",-1,0)+IF(B41="O",0,0)+IF(B41="L",1,0)</f>
        <v>0</v>
      </c>
      <c r="AF41" s="1" t="n">
        <f aca="false">IF(B41="V",-2,0)+IF(B41="E",-1,0)+IF(B41="O",0,0)+IF(B41="L",1,0)+Y41</f>
        <v>0</v>
      </c>
      <c r="AG41" s="1" t="n">
        <f aca="false">IF(B41="V",-2,0)+IF(B41="E",-1,0)+IF(B41="O",0,0)+IF(B41="L",1,0)+Y41*2</f>
        <v>0</v>
      </c>
      <c r="AH41" s="1" t="n">
        <f aca="false">IF(C41="V",-2,0)+IF(C41="E",-1,0)+IF(C41="O",0,0)+IF(C41="L",1,0)</f>
        <v>-1</v>
      </c>
      <c r="AI41" s="1" t="n">
        <f aca="false">IF(C41="V",-2,0)+IF(C41="E",-1,0)+IF(C41="O",0,0)+IF(C41="L",1,0)+Z41</f>
        <v>-1</v>
      </c>
      <c r="AJ41" s="1" t="n">
        <f aca="false">IF(C41="V",-2,0)+IF(C41="E",-1,0)+IF(C41="O",0,0)+IF(C41="L",1,0)+Z41*2</f>
        <v>-1</v>
      </c>
      <c r="AK41" s="1" t="n">
        <f aca="false">IF(D41="V",-2,0)+IF(D41="E",-1,0)+IF(D41="O",0,0)+IF(D41="L",1,0)</f>
        <v>1</v>
      </c>
      <c r="AL41" s="1" t="n">
        <f aca="false">IF(D41="V",-2,0)+IF(D41="E",-1,0)+IF(D41="O",0,0)+IF(D41="L",1,0)+AA41</f>
        <v>1</v>
      </c>
      <c r="AM41" s="1" t="n">
        <f aca="false">IF(D41="V",-2,0)+IF(D41="E",-1,0)+IF(D41="O",0,0)+IF(D41="L",1,0)+AA41*2</f>
        <v>1</v>
      </c>
      <c r="AN41" s="1" t="n">
        <f aca="false">(ABS(IF(AE41&lt;0,AE41*Early,AE41*Late))+ABS(IF(AF41&lt;0,AF41*Early,AF41*Late))+ABS(IF(AG41&lt;0,AG41*Early,AG41*Late)))/3</f>
        <v>0</v>
      </c>
      <c r="AO41" s="1" t="n">
        <f aca="false">(ABS(IF(AH41&lt;0,AH41*Early,AH41*Late))+ABS(IF(AI41&lt;0,AI41*Early,AI41*Late))+ABS(IF(AJ41&lt;0,AJ41*Early,AJ41*Late)))/3</f>
        <v>3</v>
      </c>
      <c r="AP41" s="1" t="n">
        <f aca="false">(ABS(IF(AK41&lt;0,AK41*Early,AK41*Late))+ABS(IF(AL41&lt;0,AL41*Early,AL41*Late))+ABS(IF(AM41&lt;0,AM41*Early,AM41*Late)))/3</f>
        <v>4</v>
      </c>
      <c r="AQ41" s="0" t="n">
        <f aca="false">Y41*Delay+AN41</f>
        <v>0</v>
      </c>
      <c r="AR41" s="0" t="n">
        <f aca="false">Z41*Delay+AO41</f>
        <v>3</v>
      </c>
      <c r="AS41" s="0" t="n">
        <f aca="false">AA41*Delay+AP41</f>
        <v>4</v>
      </c>
      <c r="AT41" s="1" t="n">
        <f aca="false">VLOOKUP(A41,SortA!$A$1:$AT$65,46,FALSE())</f>
        <v>1</v>
      </c>
      <c r="AU41" s="1" t="n">
        <f aca="false">VLOOKUP(A41,SortB!$A$1:$AT$65,46,FALSE())</f>
        <v>0</v>
      </c>
      <c r="AV41" s="1" t="n">
        <f aca="false">VLOOKUP(A41,SortC!$A$1:$AT$65,46,FALSE())</f>
        <v>0</v>
      </c>
      <c r="AW41" s="0" t="n">
        <f aca="false">IF(SUM(AT41:AV41)=3,1,0)</f>
        <v>0</v>
      </c>
      <c r="AX41" s="0" t="str">
        <f aca="false">B41&amp;C41&amp;D41</f>
        <v>OEL</v>
      </c>
      <c r="AY41" s="1" t="n">
        <f aca="false">AQ41+AR41+AS41</f>
        <v>7</v>
      </c>
      <c r="AZ41" s="1" t="str">
        <f aca="false">RIGHT(AX41,2)</f>
        <v>EL</v>
      </c>
      <c r="BA41" s="1" t="str">
        <f aca="false">LEFT(AX41,1)&amp;RIGHT(AX41,1)</f>
        <v>OL</v>
      </c>
      <c r="BB41" s="1" t="str">
        <f aca="false">LEFT(AX41,2)</f>
        <v>OE</v>
      </c>
      <c r="BC41" s="1" t="n">
        <f aca="false">VLOOKUP(AZ41,TwoPlayers!$AG$1:$AH$17,2,FALSE())</f>
        <v>7</v>
      </c>
      <c r="BD41" s="1" t="n">
        <f aca="false">VLOOKUP(BA41,TwoPlayers!$AG$1:$AH$17,2,FALSE())</f>
        <v>4</v>
      </c>
      <c r="BE41" s="1" t="n">
        <f aca="false">VLOOKUP(BB41,TwoPlayers!$AG$1:$AH$17,2,FALSE())</f>
        <v>3</v>
      </c>
      <c r="BF41" s="1" t="n">
        <f aca="false">$AY41-BC41</f>
        <v>0</v>
      </c>
      <c r="BG41" s="1" t="n">
        <f aca="false">$AY41-BD41</f>
        <v>3</v>
      </c>
      <c r="BH41" s="1" t="n">
        <f aca="false">$AY41-BE41</f>
        <v>4</v>
      </c>
      <c r="BI41" s="0" t="str">
        <f aca="false">AX41</f>
        <v>OEL</v>
      </c>
      <c r="BJ41" s="1" t="n">
        <f aca="false">VLOOKUP(A41,SortA!$A$1:$BM$65,65,FALSE())</f>
        <v>1</v>
      </c>
      <c r="BK41" s="1" t="n">
        <f aca="false">VLOOKUP(A41,SortB!$A$1:$BM$65,65,FALSE())</f>
        <v>1</v>
      </c>
      <c r="BL41" s="1" t="n">
        <f aca="false">VLOOKUP(A41,SortC!$A$1:$BM$65,65,FALSE())</f>
        <v>0</v>
      </c>
      <c r="BM41" s="1" t="n">
        <f aca="false">IF(SUM(BJ41:BL41)=3,1,0)</f>
        <v>0</v>
      </c>
    </row>
    <row r="42" customFormat="false" ht="13" hidden="false" customHeight="false" outlineLevel="0" collapsed="false">
      <c r="A42" s="0" t="n">
        <f aca="false">A41+1</f>
        <v>41</v>
      </c>
      <c r="B42" s="0" t="s">
        <v>3</v>
      </c>
      <c r="C42" s="0" t="s">
        <v>3</v>
      </c>
      <c r="D42" s="0" t="s">
        <v>1</v>
      </c>
      <c r="E42" s="0" t="n">
        <f aca="false">(IF($B42="V",1,0))+IF($C42="V",1,0)+IF($D42="V",1,0)</f>
        <v>1</v>
      </c>
      <c r="F42" s="0" t="n">
        <f aca="false">(IF($B42="E",1,0))+IF($C42="E",1,0)+IF($D42="E",1,0)</f>
        <v>0</v>
      </c>
      <c r="G42" s="0" t="n">
        <f aca="false">(IF($B42="O",1,0))+IF($C42="O",1,0)+IF($D42="O",1,0)</f>
        <v>2</v>
      </c>
      <c r="H42" s="0" t="n">
        <f aca="false">(IF($B42="L",1,0))+IF($C42="L",1,0)+IF($D42="L",1,0)</f>
        <v>0</v>
      </c>
      <c r="I42" s="0" t="n">
        <f aca="false">(IF(B42="V",1,0))</f>
        <v>0</v>
      </c>
      <c r="J42" s="0" t="n">
        <f aca="false">(IF(B42="E",1,0))</f>
        <v>0</v>
      </c>
      <c r="K42" s="0" t="n">
        <f aca="false">(IF(B42="O",1,0))</f>
        <v>1</v>
      </c>
      <c r="L42" s="0" t="n">
        <f aca="false">(IF(B42="L",1,0))</f>
        <v>0</v>
      </c>
      <c r="M42" s="0" t="n">
        <f aca="false">(IF(C42="V",1,0))</f>
        <v>0</v>
      </c>
      <c r="N42" s="0" t="n">
        <f aca="false">(IF(C42="E",1,0))</f>
        <v>0</v>
      </c>
      <c r="O42" s="0" t="n">
        <f aca="false">(IF(C42="O",1,0))</f>
        <v>1</v>
      </c>
      <c r="P42" s="0" t="n">
        <f aca="false">(IF(C42="L",1,0))</f>
        <v>0</v>
      </c>
      <c r="Q42" s="0" t="n">
        <f aca="false">(IF(D42="V",1,0))</f>
        <v>1</v>
      </c>
      <c r="R42" s="0" t="n">
        <f aca="false">(IF(D42="E",1,0))</f>
        <v>0</v>
      </c>
      <c r="S42" s="0" t="n">
        <f aca="false">(IF(D42="O",1,0))</f>
        <v>0</v>
      </c>
      <c r="T42" s="0" t="n">
        <f aca="false">(IF(D42="L",1,0))</f>
        <v>0</v>
      </c>
      <c r="U42" s="0" t="n">
        <f aca="false">MAX(E42-1,0)</f>
        <v>0</v>
      </c>
      <c r="V42" s="0" t="n">
        <f aca="false">MAX(U42-1+F42,0)</f>
        <v>0</v>
      </c>
      <c r="W42" s="0" t="n">
        <f aca="false">MAX(V42-1+G42,0)</f>
        <v>1</v>
      </c>
      <c r="X42" s="0" t="n">
        <f aca="false">MAX(W42-1+H42,0)</f>
        <v>0</v>
      </c>
      <c r="Y42" s="1" t="n">
        <f aca="false">0.5*(E42*I42+F42*J42+G42*K42+H42*L42-1)+(0+$U42*J42+$V42*K42+$W42*L42)</f>
        <v>0.5</v>
      </c>
      <c r="Z42" s="1" t="n">
        <f aca="false">0.5*(E42*M42+F42*N42+G42*O42+H42*P42-1)+(0+$U42*N42+$V42*O42+$W42*P42)</f>
        <v>0.5</v>
      </c>
      <c r="AA42" s="1" t="n">
        <f aca="false">0.5*(E42*Q42+F42*R42+G42*S42+H42*T42-1)+(0+$U42*R42+$V42*S42+$W42*T42)</f>
        <v>0</v>
      </c>
      <c r="AB42" s="0" t="n">
        <f aca="false">IF(B42="V",-2,0)+IF(B42="E",-1,0)+IF(B42="O",0,0)+IF(B42="L",1,0)+Y42</f>
        <v>0.5</v>
      </c>
      <c r="AC42" s="0" t="n">
        <f aca="false">IF(C42="V",-2,0)+IF(C42="E",-1,0)+IF(C42="O",0,0)+IF(C42="L",1,0)+Z42</f>
        <v>0.5</v>
      </c>
      <c r="AD42" s="0" t="n">
        <f aca="false">IF(D42="V",-2,0)+IF(D42="E",-1,0)+IF(D42="O",0,0)+IF(D42="L",1,0)+AA42</f>
        <v>-2</v>
      </c>
      <c r="AE42" s="1" t="n">
        <f aca="false">IF(B42="V",-2,0)+IF(B42="E",-1,0)+IF(B42="O",0,0)+IF(B42="L",1,0)</f>
        <v>0</v>
      </c>
      <c r="AF42" s="1" t="n">
        <f aca="false">IF(B42="V",-2,0)+IF(B42="E",-1,0)+IF(B42="O",0,0)+IF(B42="L",1,0)+Y42</f>
        <v>0.5</v>
      </c>
      <c r="AG42" s="1" t="n">
        <f aca="false">IF(B42="V",-2,0)+IF(B42="E",-1,0)+IF(B42="O",0,0)+IF(B42="L",1,0)+Y42*2</f>
        <v>1</v>
      </c>
      <c r="AH42" s="1" t="n">
        <f aca="false">IF(C42="V",-2,0)+IF(C42="E",-1,0)+IF(C42="O",0,0)+IF(C42="L",1,0)</f>
        <v>0</v>
      </c>
      <c r="AI42" s="1" t="n">
        <f aca="false">IF(C42="V",-2,0)+IF(C42="E",-1,0)+IF(C42="O",0,0)+IF(C42="L",1,0)+Z42</f>
        <v>0.5</v>
      </c>
      <c r="AJ42" s="1" t="n">
        <f aca="false">IF(C42="V",-2,0)+IF(C42="E",-1,0)+IF(C42="O",0,0)+IF(C42="L",1,0)+Z42*2</f>
        <v>1</v>
      </c>
      <c r="AK42" s="1" t="n">
        <f aca="false">IF(D42="V",-2,0)+IF(D42="E",-1,0)+IF(D42="O",0,0)+IF(D42="L",1,0)</f>
        <v>-2</v>
      </c>
      <c r="AL42" s="1" t="n">
        <f aca="false">IF(D42="V",-2,0)+IF(D42="E",-1,0)+IF(D42="O",0,0)+IF(D42="L",1,0)+AA42</f>
        <v>-2</v>
      </c>
      <c r="AM42" s="1" t="n">
        <f aca="false">IF(D42="V",-2,0)+IF(D42="E",-1,0)+IF(D42="O",0,0)+IF(D42="L",1,0)+AA42*2</f>
        <v>-2</v>
      </c>
      <c r="AN42" s="1" t="n">
        <f aca="false">(ABS(IF(AE42&lt;0,AE42*Early,AE42*Late))+ABS(IF(AF42&lt;0,AF42*Early,AF42*Late))+ABS(IF(AG42&lt;0,AG42*Early,AG42*Late)))/3</f>
        <v>2</v>
      </c>
      <c r="AO42" s="1" t="n">
        <f aca="false">(ABS(IF(AH42&lt;0,AH42*Early,AH42*Late))+ABS(IF(AI42&lt;0,AI42*Early,AI42*Late))+ABS(IF(AJ42&lt;0,AJ42*Early,AJ42*Late)))/3</f>
        <v>2</v>
      </c>
      <c r="AP42" s="1" t="n">
        <f aca="false">(ABS(IF(AK42&lt;0,AK42*Early,AK42*Late))+ABS(IF(AL42&lt;0,AL42*Early,AL42*Late))+ABS(IF(AM42&lt;0,AM42*Early,AM42*Late)))/3</f>
        <v>6</v>
      </c>
      <c r="AQ42" s="0" t="n">
        <f aca="false">Y42*Delay+AN42</f>
        <v>2.5</v>
      </c>
      <c r="AR42" s="0" t="n">
        <f aca="false">Z42*Delay+AO42</f>
        <v>2.5</v>
      </c>
      <c r="AS42" s="0" t="n">
        <f aca="false">AA42*Delay+AP42</f>
        <v>6</v>
      </c>
      <c r="AT42" s="1" t="n">
        <f aca="false">VLOOKUP(A42,SortA!$A$1:$AT$65,46,FALSE())</f>
        <v>1</v>
      </c>
      <c r="AU42" s="1" t="n">
        <f aca="false">VLOOKUP(A42,SortB!$A$1:$AT$65,46,FALSE())</f>
        <v>1</v>
      </c>
      <c r="AV42" s="1" t="n">
        <f aca="false">VLOOKUP(A42,SortC!$A$1:$AT$65,46,FALSE())</f>
        <v>0</v>
      </c>
      <c r="AW42" s="0" t="n">
        <f aca="false">IF(SUM(AT42:AV42)=3,1,0)</f>
        <v>0</v>
      </c>
      <c r="AX42" s="0" t="str">
        <f aca="false">B42&amp;C42&amp;D42</f>
        <v>OOV</v>
      </c>
      <c r="AY42" s="1" t="n">
        <f aca="false">AQ42+AR42+AS42</f>
        <v>11</v>
      </c>
      <c r="AZ42" s="1" t="str">
        <f aca="false">RIGHT(AX42,2)</f>
        <v>OV</v>
      </c>
      <c r="BA42" s="1" t="str">
        <f aca="false">LEFT(AX42,1)&amp;RIGHT(AX42,1)</f>
        <v>OV</v>
      </c>
      <c r="BB42" s="1" t="str">
        <f aca="false">LEFT(AX42,2)</f>
        <v>OO</v>
      </c>
      <c r="BC42" s="1" t="n">
        <f aca="false">VLOOKUP(AZ42,TwoPlayers!$AG$1:$AH$17,2,FALSE())</f>
        <v>6</v>
      </c>
      <c r="BD42" s="1" t="n">
        <f aca="false">VLOOKUP(BA42,TwoPlayers!$AG$1:$AH$17,2,FALSE())</f>
        <v>6</v>
      </c>
      <c r="BE42" s="1" t="n">
        <f aca="false">VLOOKUP(BB42,TwoPlayers!$AG$1:$AH$17,2,FALSE())</f>
        <v>5</v>
      </c>
      <c r="BF42" s="1" t="n">
        <f aca="false">$AY42-BC42</f>
        <v>5</v>
      </c>
      <c r="BG42" s="1" t="n">
        <f aca="false">$AY42-BD42</f>
        <v>5</v>
      </c>
      <c r="BH42" s="1" t="n">
        <f aca="false">$AY42-BE42</f>
        <v>6</v>
      </c>
      <c r="BI42" s="0" t="str">
        <f aca="false">AX42</f>
        <v>OOV</v>
      </c>
      <c r="BJ42" s="1" t="n">
        <f aca="false">VLOOKUP(A42,SortA!$A$1:$BM$65,65,FALSE())</f>
        <v>0</v>
      </c>
      <c r="BK42" s="1" t="n">
        <f aca="false">VLOOKUP(A42,SortB!$A$1:$BM$65,65,FALSE())</f>
        <v>0</v>
      </c>
      <c r="BL42" s="1" t="n">
        <f aca="false">VLOOKUP(A42,SortC!$A$1:$BM$65,65,FALSE())</f>
        <v>0</v>
      </c>
      <c r="BM42" s="1" t="n">
        <f aca="false">IF(SUM(BJ42:BL42)=3,1,0)</f>
        <v>0</v>
      </c>
    </row>
    <row r="43" customFormat="false" ht="13" hidden="false" customHeight="false" outlineLevel="0" collapsed="false">
      <c r="A43" s="0" t="n">
        <f aca="false">A42+1</f>
        <v>42</v>
      </c>
      <c r="B43" s="0" t="s">
        <v>3</v>
      </c>
      <c r="C43" s="0" t="s">
        <v>3</v>
      </c>
      <c r="D43" s="0" t="s">
        <v>2</v>
      </c>
      <c r="E43" s="0" t="n">
        <f aca="false">(IF($B43="V",1,0))+IF($C43="V",1,0)+IF($D43="V",1,0)</f>
        <v>0</v>
      </c>
      <c r="F43" s="0" t="n">
        <f aca="false">(IF($B43="E",1,0))+IF($C43="E",1,0)+IF($D43="E",1,0)</f>
        <v>1</v>
      </c>
      <c r="G43" s="0" t="n">
        <f aca="false">(IF($B43="O",1,0))+IF($C43="O",1,0)+IF($D43="O",1,0)</f>
        <v>2</v>
      </c>
      <c r="H43" s="0" t="n">
        <f aca="false">(IF($B43="L",1,0))+IF($C43="L",1,0)+IF($D43="L",1,0)</f>
        <v>0</v>
      </c>
      <c r="I43" s="0" t="n">
        <f aca="false">(IF(B43="V",1,0))</f>
        <v>0</v>
      </c>
      <c r="J43" s="0" t="n">
        <f aca="false">(IF(B43="E",1,0))</f>
        <v>0</v>
      </c>
      <c r="K43" s="0" t="n">
        <f aca="false">(IF(B43="O",1,0))</f>
        <v>1</v>
      </c>
      <c r="L43" s="0" t="n">
        <f aca="false">(IF(B43="L",1,0))</f>
        <v>0</v>
      </c>
      <c r="M43" s="0" t="n">
        <f aca="false">(IF(C43="V",1,0))</f>
        <v>0</v>
      </c>
      <c r="N43" s="0" t="n">
        <f aca="false">(IF(C43="E",1,0))</f>
        <v>0</v>
      </c>
      <c r="O43" s="0" t="n">
        <f aca="false">(IF(C43="O",1,0))</f>
        <v>1</v>
      </c>
      <c r="P43" s="0" t="n">
        <f aca="false">(IF(C43="L",1,0))</f>
        <v>0</v>
      </c>
      <c r="Q43" s="0" t="n">
        <f aca="false">(IF(D43="V",1,0))</f>
        <v>0</v>
      </c>
      <c r="R43" s="0" t="n">
        <f aca="false">(IF(D43="E",1,0))</f>
        <v>1</v>
      </c>
      <c r="S43" s="0" t="n">
        <f aca="false">(IF(D43="O",1,0))</f>
        <v>0</v>
      </c>
      <c r="T43" s="0" t="n">
        <f aca="false">(IF(D43="L",1,0))</f>
        <v>0</v>
      </c>
      <c r="U43" s="0" t="n">
        <f aca="false">MAX(E43-1,0)</f>
        <v>0</v>
      </c>
      <c r="V43" s="0" t="n">
        <f aca="false">MAX(U43-1+F43,0)</f>
        <v>0</v>
      </c>
      <c r="W43" s="0" t="n">
        <f aca="false">MAX(V43-1+G43,0)</f>
        <v>1</v>
      </c>
      <c r="X43" s="0" t="n">
        <f aca="false">MAX(W43-1+H43,0)</f>
        <v>0</v>
      </c>
      <c r="Y43" s="1" t="n">
        <f aca="false">0.5*(E43*I43+F43*J43+G43*K43+H43*L43-1)+(0+$U43*J43+$V43*K43+$W43*L43)</f>
        <v>0.5</v>
      </c>
      <c r="Z43" s="1" t="n">
        <f aca="false">0.5*(E43*M43+F43*N43+G43*O43+H43*P43-1)+(0+$U43*N43+$V43*O43+$W43*P43)</f>
        <v>0.5</v>
      </c>
      <c r="AA43" s="1" t="n">
        <f aca="false">0.5*(E43*Q43+F43*R43+G43*S43+H43*T43-1)+(0+$U43*R43+$V43*S43+$W43*T43)</f>
        <v>0</v>
      </c>
      <c r="AB43" s="0" t="n">
        <f aca="false">IF(B43="V",-2,0)+IF(B43="E",-1,0)+IF(B43="O",0,0)+IF(B43="L",1,0)+Y43</f>
        <v>0.5</v>
      </c>
      <c r="AC43" s="0" t="n">
        <f aca="false">IF(C43="V",-2,0)+IF(C43="E",-1,0)+IF(C43="O",0,0)+IF(C43="L",1,0)+Z43</f>
        <v>0.5</v>
      </c>
      <c r="AD43" s="0" t="n">
        <f aca="false">IF(D43="V",-2,0)+IF(D43="E",-1,0)+IF(D43="O",0,0)+IF(D43="L",1,0)+AA43</f>
        <v>-1</v>
      </c>
      <c r="AE43" s="1" t="n">
        <f aca="false">IF(B43="V",-2,0)+IF(B43="E",-1,0)+IF(B43="O",0,0)+IF(B43="L",1,0)</f>
        <v>0</v>
      </c>
      <c r="AF43" s="1" t="n">
        <f aca="false">IF(B43="V",-2,0)+IF(B43="E",-1,0)+IF(B43="O",0,0)+IF(B43="L",1,0)+Y43</f>
        <v>0.5</v>
      </c>
      <c r="AG43" s="1" t="n">
        <f aca="false">IF(B43="V",-2,0)+IF(B43="E",-1,0)+IF(B43="O",0,0)+IF(B43="L",1,0)+Y43*2</f>
        <v>1</v>
      </c>
      <c r="AH43" s="1" t="n">
        <f aca="false">IF(C43="V",-2,0)+IF(C43="E",-1,0)+IF(C43="O",0,0)+IF(C43="L",1,0)</f>
        <v>0</v>
      </c>
      <c r="AI43" s="1" t="n">
        <f aca="false">IF(C43="V",-2,0)+IF(C43="E",-1,0)+IF(C43="O",0,0)+IF(C43="L",1,0)+Z43</f>
        <v>0.5</v>
      </c>
      <c r="AJ43" s="1" t="n">
        <f aca="false">IF(C43="V",-2,0)+IF(C43="E",-1,0)+IF(C43="O",0,0)+IF(C43="L",1,0)+Z43*2</f>
        <v>1</v>
      </c>
      <c r="AK43" s="1" t="n">
        <f aca="false">IF(D43="V",-2,0)+IF(D43="E",-1,0)+IF(D43="O",0,0)+IF(D43="L",1,0)</f>
        <v>-1</v>
      </c>
      <c r="AL43" s="1" t="n">
        <f aca="false">IF(D43="V",-2,0)+IF(D43="E",-1,0)+IF(D43="O",0,0)+IF(D43="L",1,0)+AA43</f>
        <v>-1</v>
      </c>
      <c r="AM43" s="1" t="n">
        <f aca="false">IF(D43="V",-2,0)+IF(D43="E",-1,0)+IF(D43="O",0,0)+IF(D43="L",1,0)+AA43*2</f>
        <v>-1</v>
      </c>
      <c r="AN43" s="1" t="n">
        <f aca="false">(ABS(IF(AE43&lt;0,AE43*Early,AE43*Late))+ABS(IF(AF43&lt;0,AF43*Early,AF43*Late))+ABS(IF(AG43&lt;0,AG43*Early,AG43*Late)))/3</f>
        <v>2</v>
      </c>
      <c r="AO43" s="1" t="n">
        <f aca="false">(ABS(IF(AH43&lt;0,AH43*Early,AH43*Late))+ABS(IF(AI43&lt;0,AI43*Early,AI43*Late))+ABS(IF(AJ43&lt;0,AJ43*Early,AJ43*Late)))/3</f>
        <v>2</v>
      </c>
      <c r="AP43" s="1" t="n">
        <f aca="false">(ABS(IF(AK43&lt;0,AK43*Early,AK43*Late))+ABS(IF(AL43&lt;0,AL43*Early,AL43*Late))+ABS(IF(AM43&lt;0,AM43*Early,AM43*Late)))/3</f>
        <v>3</v>
      </c>
      <c r="AQ43" s="0" t="n">
        <f aca="false">Y43*Delay+AN43</f>
        <v>2.5</v>
      </c>
      <c r="AR43" s="0" t="n">
        <f aca="false">Z43*Delay+AO43</f>
        <v>2.5</v>
      </c>
      <c r="AS43" s="0" t="n">
        <f aca="false">AA43*Delay+AP43</f>
        <v>3</v>
      </c>
      <c r="AT43" s="1" t="n">
        <f aca="false">VLOOKUP(A43,SortA!$A$1:$AT$65,46,FALSE())</f>
        <v>0</v>
      </c>
      <c r="AU43" s="1" t="n">
        <f aca="false">VLOOKUP(A43,SortB!$A$1:$AT$65,46,FALSE())</f>
        <v>0</v>
      </c>
      <c r="AV43" s="1" t="n">
        <f aca="false">VLOOKUP(A43,SortC!$A$1:$AT$65,46,FALSE())</f>
        <v>1</v>
      </c>
      <c r="AW43" s="0" t="n">
        <f aca="false">IF(SUM(AT43:AV43)=3,1,0)</f>
        <v>0</v>
      </c>
      <c r="AX43" s="0" t="str">
        <f aca="false">B43&amp;C43&amp;D43</f>
        <v>OOE</v>
      </c>
      <c r="AY43" s="1" t="n">
        <f aca="false">AQ43+AR43+AS43</f>
        <v>8</v>
      </c>
      <c r="AZ43" s="1" t="str">
        <f aca="false">RIGHT(AX43,2)</f>
        <v>OE</v>
      </c>
      <c r="BA43" s="1" t="str">
        <f aca="false">LEFT(AX43,1)&amp;RIGHT(AX43,1)</f>
        <v>OE</v>
      </c>
      <c r="BB43" s="1" t="str">
        <f aca="false">LEFT(AX43,2)</f>
        <v>OO</v>
      </c>
      <c r="BC43" s="1" t="n">
        <f aca="false">VLOOKUP(AZ43,TwoPlayers!$AG$1:$AH$17,2,FALSE())</f>
        <v>3</v>
      </c>
      <c r="BD43" s="1" t="n">
        <f aca="false">VLOOKUP(BA43,TwoPlayers!$AG$1:$AH$17,2,FALSE())</f>
        <v>3</v>
      </c>
      <c r="BE43" s="1" t="n">
        <f aca="false">VLOOKUP(BB43,TwoPlayers!$AG$1:$AH$17,2,FALSE())</f>
        <v>5</v>
      </c>
      <c r="BF43" s="1" t="n">
        <f aca="false">$AY43-BC43</f>
        <v>5</v>
      </c>
      <c r="BG43" s="1" t="n">
        <f aca="false">$AY43-BD43</f>
        <v>5</v>
      </c>
      <c r="BH43" s="1" t="n">
        <f aca="false">$AY43-BE43</f>
        <v>3</v>
      </c>
      <c r="BI43" s="0" t="str">
        <f aca="false">AX43</f>
        <v>OOE</v>
      </c>
      <c r="BJ43" s="1" t="n">
        <f aca="false">VLOOKUP(A43,SortA!$A$1:$BM$65,65,FALSE())</f>
        <v>1</v>
      </c>
      <c r="BK43" s="1" t="n">
        <f aca="false">VLOOKUP(A43,SortB!$A$1:$BM$65,65,FALSE())</f>
        <v>1</v>
      </c>
      <c r="BL43" s="1" t="n">
        <f aca="false">VLOOKUP(A43,SortC!$A$1:$BM$65,65,FALSE())</f>
        <v>1</v>
      </c>
      <c r="BM43" s="1" t="n">
        <f aca="false">IF(SUM(BJ43:BL43)=3,1,0)</f>
        <v>1</v>
      </c>
    </row>
    <row r="44" customFormat="false" ht="13" hidden="false" customHeight="false" outlineLevel="0" collapsed="false">
      <c r="A44" s="1" t="n">
        <f aca="false">A43+1</f>
        <v>43</v>
      </c>
      <c r="B44" s="1" t="s">
        <v>3</v>
      </c>
      <c r="C44" s="1" t="s">
        <v>3</v>
      </c>
      <c r="D44" s="1" t="s">
        <v>3</v>
      </c>
      <c r="E44" s="1" t="n">
        <f aca="false">(IF($B44="V",1,0))+IF($C44="V",1,0)+IF($D44="V",1,0)</f>
        <v>0</v>
      </c>
      <c r="F44" s="1" t="n">
        <f aca="false">(IF($B44="E",1,0))+IF($C44="E",1,0)+IF($D44="E",1,0)</f>
        <v>0</v>
      </c>
      <c r="G44" s="1" t="n">
        <f aca="false">(IF($B44="O",1,0))+IF($C44="O",1,0)+IF($D44="O",1,0)</f>
        <v>3</v>
      </c>
      <c r="H44" s="1" t="n">
        <f aca="false">(IF($B44="L",1,0))+IF($C44="L",1,0)+IF($D44="L",1,0)</f>
        <v>0</v>
      </c>
      <c r="I44" s="1" t="n">
        <f aca="false">(IF(B44="V",1,0))</f>
        <v>0</v>
      </c>
      <c r="J44" s="1" t="n">
        <f aca="false">(IF(B44="E",1,0))</f>
        <v>0</v>
      </c>
      <c r="K44" s="1" t="n">
        <f aca="false">(IF(B44="O",1,0))</f>
        <v>1</v>
      </c>
      <c r="L44" s="1" t="n">
        <f aca="false">(IF(B44="L",1,0))</f>
        <v>0</v>
      </c>
      <c r="M44" s="1" t="n">
        <f aca="false">(IF(C44="V",1,0))</f>
        <v>0</v>
      </c>
      <c r="N44" s="1" t="n">
        <f aca="false">(IF(C44="E",1,0))</f>
        <v>0</v>
      </c>
      <c r="O44" s="1" t="n">
        <f aca="false">(IF(C44="O",1,0))</f>
        <v>1</v>
      </c>
      <c r="P44" s="1" t="n">
        <f aca="false">(IF(C44="L",1,0))</f>
        <v>0</v>
      </c>
      <c r="Q44" s="1" t="n">
        <f aca="false">(IF(D44="V",1,0))</f>
        <v>0</v>
      </c>
      <c r="R44" s="1" t="n">
        <f aca="false">(IF(D44="E",1,0))</f>
        <v>0</v>
      </c>
      <c r="S44" s="1" t="n">
        <f aca="false">(IF(D44="O",1,0))</f>
        <v>1</v>
      </c>
      <c r="T44" s="1" t="n">
        <f aca="false">(IF(D44="L",1,0))</f>
        <v>0</v>
      </c>
      <c r="U44" s="1" t="n">
        <f aca="false">MAX(E44-1,0)</f>
        <v>0</v>
      </c>
      <c r="V44" s="1" t="n">
        <f aca="false">MAX(U44-1+F44,0)</f>
        <v>0</v>
      </c>
      <c r="W44" s="1" t="n">
        <f aca="false">MAX(V44-1+G44,0)</f>
        <v>2</v>
      </c>
      <c r="X44" s="1" t="n">
        <f aca="false">MAX(W44-1+H44,0)</f>
        <v>1</v>
      </c>
      <c r="Y44" s="1" t="n">
        <f aca="false">0.5*(E44*I44+F44*J44+G44*K44+H44*L44-1)+(0+$U44*J44+$V44*K44+$W44*L44)</f>
        <v>1</v>
      </c>
      <c r="Z44" s="1" t="n">
        <f aca="false">0.5*(E44*M44+F44*N44+G44*O44+H44*P44-1)+(0+$U44*N44+$V44*O44+$W44*P44)</f>
        <v>1</v>
      </c>
      <c r="AA44" s="1" t="n">
        <f aca="false">0.5*(E44*Q44+F44*R44+G44*S44+H44*T44-1)+(0+$U44*R44+$V44*S44+$W44*T44)</f>
        <v>1</v>
      </c>
      <c r="AB44" s="1" t="n">
        <f aca="false">IF(B44="V",-2,0)+IF(B44="E",-1,0)+IF(B44="O",0,0)+IF(B44="L",1,0)+Y44</f>
        <v>1</v>
      </c>
      <c r="AC44" s="1" t="n">
        <f aca="false">IF(C44="V",-2,0)+IF(C44="E",-1,0)+IF(C44="O",0,0)+IF(C44="L",1,0)+Z44</f>
        <v>1</v>
      </c>
      <c r="AD44" s="1" t="n">
        <f aca="false">IF(D44="V",-2,0)+IF(D44="E",-1,0)+IF(D44="O",0,0)+IF(D44="L",1,0)+AA44</f>
        <v>1</v>
      </c>
      <c r="AE44" s="1" t="n">
        <f aca="false">IF(B44="V",-2,0)+IF(B44="E",-1,0)+IF(B44="O",0,0)+IF(B44="L",1,0)</f>
        <v>0</v>
      </c>
      <c r="AF44" s="1" t="n">
        <f aca="false">IF(B44="V",-2,0)+IF(B44="E",-1,0)+IF(B44="O",0,0)+IF(B44="L",1,0)+Y44</f>
        <v>1</v>
      </c>
      <c r="AG44" s="1" t="n">
        <f aca="false">IF(B44="V",-2,0)+IF(B44="E",-1,0)+IF(B44="O",0,0)+IF(B44="L",1,0)+Y44*2</f>
        <v>2</v>
      </c>
      <c r="AH44" s="1" t="n">
        <f aca="false">IF(C44="V",-2,0)+IF(C44="E",-1,0)+IF(C44="O",0,0)+IF(C44="L",1,0)</f>
        <v>0</v>
      </c>
      <c r="AI44" s="1" t="n">
        <f aca="false">IF(C44="V",-2,0)+IF(C44="E",-1,0)+IF(C44="O",0,0)+IF(C44="L",1,0)+Z44</f>
        <v>1</v>
      </c>
      <c r="AJ44" s="1" t="n">
        <f aca="false">IF(C44="V",-2,0)+IF(C44="E",-1,0)+IF(C44="O",0,0)+IF(C44="L",1,0)+Z44*2</f>
        <v>2</v>
      </c>
      <c r="AK44" s="1" t="n">
        <f aca="false">IF(D44="V",-2,0)+IF(D44="E",-1,0)+IF(D44="O",0,0)+IF(D44="L",1,0)</f>
        <v>0</v>
      </c>
      <c r="AL44" s="1" t="n">
        <f aca="false">IF(D44="V",-2,0)+IF(D44="E",-1,0)+IF(D44="O",0,0)+IF(D44="L",1,0)+AA44</f>
        <v>1</v>
      </c>
      <c r="AM44" s="1" t="n">
        <f aca="false">IF(D44="V",-2,0)+IF(D44="E",-1,0)+IF(D44="O",0,0)+IF(D44="L",1,0)+AA44*2</f>
        <v>2</v>
      </c>
      <c r="AN44" s="1" t="n">
        <f aca="false">(ABS(IF(AE44&lt;0,AE44*Early,AE44*Late))+ABS(IF(AF44&lt;0,AF44*Early,AF44*Late))+ABS(IF(AG44&lt;0,AG44*Early,AG44*Late)))/3</f>
        <v>4</v>
      </c>
      <c r="AO44" s="1" t="n">
        <f aca="false">(ABS(IF(AH44&lt;0,AH44*Early,AH44*Late))+ABS(IF(AI44&lt;0,AI44*Early,AI44*Late))+ABS(IF(AJ44&lt;0,AJ44*Early,AJ44*Late)))/3</f>
        <v>4</v>
      </c>
      <c r="AP44" s="1" t="n">
        <f aca="false">(ABS(IF(AK44&lt;0,AK44*Early,AK44*Late))+ABS(IF(AL44&lt;0,AL44*Early,AL44*Late))+ABS(IF(AM44&lt;0,AM44*Early,AM44*Late)))/3</f>
        <v>4</v>
      </c>
      <c r="AQ44" s="1" t="n">
        <f aca="false">Y44*Delay+AN44</f>
        <v>5</v>
      </c>
      <c r="AR44" s="1" t="n">
        <f aca="false">Z44*Delay+AO44</f>
        <v>5</v>
      </c>
      <c r="AS44" s="1" t="n">
        <f aca="false">AA44*Delay+AP44</f>
        <v>5</v>
      </c>
      <c r="AT44" s="1" t="n">
        <f aca="false">VLOOKUP(A44,SortA!$A$1:$AT$65,46,FALSE())</f>
        <v>0</v>
      </c>
      <c r="AU44" s="1" t="n">
        <f aca="false">VLOOKUP(A44,SortB!$A$1:$AT$65,46,FALSE())</f>
        <v>0</v>
      </c>
      <c r="AV44" s="1" t="n">
        <f aca="false">VLOOKUP(A44,SortC!$A$1:$AT$65,46,FALSE())</f>
        <v>0</v>
      </c>
      <c r="AW44" s="1" t="n">
        <f aca="false">IF(SUM(AT44:AV44)=3,1,0)</f>
        <v>0</v>
      </c>
      <c r="AX44" s="1" t="str">
        <f aca="false">B44&amp;C44&amp;D44</f>
        <v>OOO</v>
      </c>
      <c r="AY44" s="1" t="n">
        <f aca="false">AQ44+AR44+AS44</f>
        <v>15</v>
      </c>
      <c r="AZ44" s="1" t="str">
        <f aca="false">RIGHT(AX44,2)</f>
        <v>OO</v>
      </c>
      <c r="BA44" s="1" t="str">
        <f aca="false">LEFT(AX44,1)&amp;RIGHT(AX44,1)</f>
        <v>OO</v>
      </c>
      <c r="BB44" s="1" t="str">
        <f aca="false">LEFT(AX44,2)</f>
        <v>OO</v>
      </c>
      <c r="BC44" s="1" t="n">
        <f aca="false">VLOOKUP(AZ44,TwoPlayers!$AG$1:$AH$17,2,FALSE())</f>
        <v>5</v>
      </c>
      <c r="BD44" s="1" t="n">
        <f aca="false">VLOOKUP(BA44,TwoPlayers!$AG$1:$AH$17,2,FALSE())</f>
        <v>5</v>
      </c>
      <c r="BE44" s="1" t="n">
        <f aca="false">VLOOKUP(BB44,TwoPlayers!$AG$1:$AH$17,2,FALSE())</f>
        <v>5</v>
      </c>
      <c r="BF44" s="1" t="n">
        <f aca="false">$AY44-BC44</f>
        <v>10</v>
      </c>
      <c r="BG44" s="1" t="n">
        <f aca="false">$AY44-BD44</f>
        <v>10</v>
      </c>
      <c r="BH44" s="1" t="n">
        <f aca="false">$AY44-BE44</f>
        <v>10</v>
      </c>
      <c r="BI44" s="0" t="str">
        <f aca="false">AX44</f>
        <v>OOO</v>
      </c>
      <c r="BJ44" s="1" t="n">
        <f aca="false">VLOOKUP(A44,SortA!$A$1:$BM$65,65,FALSE())</f>
        <v>0</v>
      </c>
      <c r="BK44" s="1" t="n">
        <f aca="false">VLOOKUP(A44,SortB!$A$1:$BM$65,65,FALSE())</f>
        <v>0</v>
      </c>
      <c r="BL44" s="1" t="n">
        <f aca="false">VLOOKUP(A44,SortC!$A$1:$BM$65,65,FALSE())</f>
        <v>0</v>
      </c>
      <c r="BM44" s="1" t="n">
        <f aca="false">IF(SUM(BJ44:BL44)=3,1,0)</f>
        <v>0</v>
      </c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customFormat="false" ht="13" hidden="false" customHeight="false" outlineLevel="0" collapsed="false">
      <c r="A45" s="0" t="n">
        <f aca="false">A44+1</f>
        <v>44</v>
      </c>
      <c r="B45" s="0" t="s">
        <v>3</v>
      </c>
      <c r="C45" s="0" t="s">
        <v>3</v>
      </c>
      <c r="D45" s="0" t="s">
        <v>4</v>
      </c>
      <c r="E45" s="0" t="n">
        <f aca="false">(IF($B45="V",1,0))+IF($C45="V",1,0)+IF($D45="V",1,0)</f>
        <v>0</v>
      </c>
      <c r="F45" s="0" t="n">
        <f aca="false">(IF($B45="E",1,0))+IF($C45="E",1,0)+IF($D45="E",1,0)</f>
        <v>0</v>
      </c>
      <c r="G45" s="0" t="n">
        <f aca="false">(IF($B45="O",1,0))+IF($C45="O",1,0)+IF($D45="O",1,0)</f>
        <v>2</v>
      </c>
      <c r="H45" s="0" t="n">
        <f aca="false">(IF($B45="L",1,0))+IF($C45="L",1,0)+IF($D45="L",1,0)</f>
        <v>1</v>
      </c>
      <c r="I45" s="0" t="n">
        <f aca="false">(IF(B45="V",1,0))</f>
        <v>0</v>
      </c>
      <c r="J45" s="0" t="n">
        <f aca="false">(IF(B45="E",1,0))</f>
        <v>0</v>
      </c>
      <c r="K45" s="0" t="n">
        <f aca="false">(IF(B45="O",1,0))</f>
        <v>1</v>
      </c>
      <c r="L45" s="0" t="n">
        <f aca="false">(IF(B45="L",1,0))</f>
        <v>0</v>
      </c>
      <c r="M45" s="0" t="n">
        <f aca="false">(IF(C45="V",1,0))</f>
        <v>0</v>
      </c>
      <c r="N45" s="0" t="n">
        <f aca="false">(IF(C45="E",1,0))</f>
        <v>0</v>
      </c>
      <c r="O45" s="0" t="n">
        <f aca="false">(IF(C45="O",1,0))</f>
        <v>1</v>
      </c>
      <c r="P45" s="0" t="n">
        <f aca="false">(IF(C45="L",1,0))</f>
        <v>0</v>
      </c>
      <c r="Q45" s="0" t="n">
        <f aca="false">(IF(D45="V",1,0))</f>
        <v>0</v>
      </c>
      <c r="R45" s="0" t="n">
        <f aca="false">(IF(D45="E",1,0))</f>
        <v>0</v>
      </c>
      <c r="S45" s="0" t="n">
        <f aca="false">(IF(D45="O",1,0))</f>
        <v>0</v>
      </c>
      <c r="T45" s="0" t="n">
        <f aca="false">(IF(D45="L",1,0))</f>
        <v>1</v>
      </c>
      <c r="U45" s="0" t="n">
        <f aca="false">MAX(E45-1,0)</f>
        <v>0</v>
      </c>
      <c r="V45" s="0" t="n">
        <f aca="false">MAX(U45-1+F45,0)</f>
        <v>0</v>
      </c>
      <c r="W45" s="0" t="n">
        <f aca="false">MAX(V45-1+G45,0)</f>
        <v>1</v>
      </c>
      <c r="X45" s="0" t="n">
        <f aca="false">MAX(W45-1+H45,0)</f>
        <v>1</v>
      </c>
      <c r="Y45" s="1" t="n">
        <f aca="false">0.5*(E45*I45+F45*J45+G45*K45+H45*L45-1)+(0+$U45*J45+$V45*K45+$W45*L45)</f>
        <v>0.5</v>
      </c>
      <c r="Z45" s="1" t="n">
        <f aca="false">0.5*(E45*M45+F45*N45+G45*O45+H45*P45-1)+(0+$U45*N45+$V45*O45+$W45*P45)</f>
        <v>0.5</v>
      </c>
      <c r="AA45" s="1" t="n">
        <f aca="false">0.5*(E45*Q45+F45*R45+G45*S45+H45*T45-1)+(0+$U45*R45+$V45*S45+$W45*T45)</f>
        <v>1</v>
      </c>
      <c r="AB45" s="0" t="n">
        <f aca="false">IF(B45="V",-2,0)+IF(B45="E",-1,0)+IF(B45="O",0,0)+IF(B45="L",1,0)+Y45</f>
        <v>0.5</v>
      </c>
      <c r="AC45" s="0" t="n">
        <f aca="false">IF(C45="V",-2,0)+IF(C45="E",-1,0)+IF(C45="O",0,0)+IF(C45="L",1,0)+Z45</f>
        <v>0.5</v>
      </c>
      <c r="AD45" s="0" t="n">
        <f aca="false">IF(D45="V",-2,0)+IF(D45="E",-1,0)+IF(D45="O",0,0)+IF(D45="L",1,0)+AA45</f>
        <v>2</v>
      </c>
      <c r="AE45" s="1" t="n">
        <f aca="false">IF(B45="V",-2,0)+IF(B45="E",-1,0)+IF(B45="O",0,0)+IF(B45="L",1,0)</f>
        <v>0</v>
      </c>
      <c r="AF45" s="1" t="n">
        <f aca="false">IF(B45="V",-2,0)+IF(B45="E",-1,0)+IF(B45="O",0,0)+IF(B45="L",1,0)+Y45</f>
        <v>0.5</v>
      </c>
      <c r="AG45" s="1" t="n">
        <f aca="false">IF(B45="V",-2,0)+IF(B45="E",-1,0)+IF(B45="O",0,0)+IF(B45="L",1,0)+Y45*2</f>
        <v>1</v>
      </c>
      <c r="AH45" s="1" t="n">
        <f aca="false">IF(C45="V",-2,0)+IF(C45="E",-1,0)+IF(C45="O",0,0)+IF(C45="L",1,0)</f>
        <v>0</v>
      </c>
      <c r="AI45" s="1" t="n">
        <f aca="false">IF(C45="V",-2,0)+IF(C45="E",-1,0)+IF(C45="O",0,0)+IF(C45="L",1,0)+Z45</f>
        <v>0.5</v>
      </c>
      <c r="AJ45" s="1" t="n">
        <f aca="false">IF(C45="V",-2,0)+IF(C45="E",-1,0)+IF(C45="O",0,0)+IF(C45="L",1,0)+Z45*2</f>
        <v>1</v>
      </c>
      <c r="AK45" s="1" t="n">
        <f aca="false">IF(D45="V",-2,0)+IF(D45="E",-1,0)+IF(D45="O",0,0)+IF(D45="L",1,0)</f>
        <v>1</v>
      </c>
      <c r="AL45" s="1" t="n">
        <f aca="false">IF(D45="V",-2,0)+IF(D45="E",-1,0)+IF(D45="O",0,0)+IF(D45="L",1,0)+AA45</f>
        <v>2</v>
      </c>
      <c r="AM45" s="1" t="n">
        <f aca="false">IF(D45="V",-2,0)+IF(D45="E",-1,0)+IF(D45="O",0,0)+IF(D45="L",1,0)+AA45*2</f>
        <v>3</v>
      </c>
      <c r="AN45" s="1" t="n">
        <f aca="false">(ABS(IF(AE45&lt;0,AE45*Early,AE45*Late))+ABS(IF(AF45&lt;0,AF45*Early,AF45*Late))+ABS(IF(AG45&lt;0,AG45*Early,AG45*Late)))/3</f>
        <v>2</v>
      </c>
      <c r="AO45" s="1" t="n">
        <f aca="false">(ABS(IF(AH45&lt;0,AH45*Early,AH45*Late))+ABS(IF(AI45&lt;0,AI45*Early,AI45*Late))+ABS(IF(AJ45&lt;0,AJ45*Early,AJ45*Late)))/3</f>
        <v>2</v>
      </c>
      <c r="AP45" s="1" t="n">
        <f aca="false">(ABS(IF(AK45&lt;0,AK45*Early,AK45*Late))+ABS(IF(AL45&lt;0,AL45*Early,AL45*Late))+ABS(IF(AM45&lt;0,AM45*Early,AM45*Late)))/3</f>
        <v>8</v>
      </c>
      <c r="AQ45" s="0" t="n">
        <f aca="false">Y45*Delay+AN45</f>
        <v>2.5</v>
      </c>
      <c r="AR45" s="0" t="n">
        <f aca="false">Z45*Delay+AO45</f>
        <v>2.5</v>
      </c>
      <c r="AS45" s="0" t="n">
        <f aca="false">AA45*Delay+AP45</f>
        <v>9</v>
      </c>
      <c r="AT45" s="1" t="n">
        <f aca="false">VLOOKUP(A45,SortA!$A$1:$AT$65,46,FALSE())</f>
        <v>1</v>
      </c>
      <c r="AU45" s="1" t="n">
        <f aca="false">VLOOKUP(A45,SortB!$A$1:$AT$65,46,FALSE())</f>
        <v>1</v>
      </c>
      <c r="AV45" s="1" t="n">
        <f aca="false">VLOOKUP(A45,SortC!$A$1:$AT$65,46,FALSE())</f>
        <v>0</v>
      </c>
      <c r="AW45" s="0" t="n">
        <f aca="false">IF(SUM(AT45:AV45)=3,1,0)</f>
        <v>0</v>
      </c>
      <c r="AX45" s="0" t="str">
        <f aca="false">B45&amp;C45&amp;D45</f>
        <v>OOL</v>
      </c>
      <c r="AY45" s="1" t="n">
        <f aca="false">AQ45+AR45+AS45</f>
        <v>14</v>
      </c>
      <c r="AZ45" s="1" t="str">
        <f aca="false">RIGHT(AX45,2)</f>
        <v>OL</v>
      </c>
      <c r="BA45" s="1" t="str">
        <f aca="false">LEFT(AX45,1)&amp;RIGHT(AX45,1)</f>
        <v>OL</v>
      </c>
      <c r="BB45" s="1" t="str">
        <f aca="false">LEFT(AX45,2)</f>
        <v>OO</v>
      </c>
      <c r="BC45" s="1" t="n">
        <f aca="false">VLOOKUP(AZ45,TwoPlayers!$AG$1:$AH$17,2,FALSE())</f>
        <v>4</v>
      </c>
      <c r="BD45" s="1" t="n">
        <f aca="false">VLOOKUP(BA45,TwoPlayers!$AG$1:$AH$17,2,FALSE())</f>
        <v>4</v>
      </c>
      <c r="BE45" s="1" t="n">
        <f aca="false">VLOOKUP(BB45,TwoPlayers!$AG$1:$AH$17,2,FALSE())</f>
        <v>5</v>
      </c>
      <c r="BF45" s="1" t="n">
        <f aca="false">$AY45-BC45</f>
        <v>10</v>
      </c>
      <c r="BG45" s="1" t="n">
        <f aca="false">$AY45-BD45</f>
        <v>10</v>
      </c>
      <c r="BH45" s="1" t="n">
        <f aca="false">$AY45-BE45</f>
        <v>9</v>
      </c>
      <c r="BI45" s="0" t="str">
        <f aca="false">AX45</f>
        <v>OOL</v>
      </c>
      <c r="BJ45" s="1" t="n">
        <f aca="false">VLOOKUP(A45,SortA!$A$1:$BM$65,65,FALSE())</f>
        <v>0</v>
      </c>
      <c r="BK45" s="1" t="n">
        <f aca="false">VLOOKUP(A45,SortB!$A$1:$BM$65,65,FALSE())</f>
        <v>0</v>
      </c>
      <c r="BL45" s="1" t="n">
        <f aca="false">VLOOKUP(A45,SortC!$A$1:$BM$65,65,FALSE())</f>
        <v>0</v>
      </c>
      <c r="BM45" s="1" t="n">
        <f aca="false">IF(SUM(BJ45:BL45)=3,1,0)</f>
        <v>0</v>
      </c>
    </row>
    <row r="46" customFormat="false" ht="13" hidden="false" customHeight="false" outlineLevel="0" collapsed="false">
      <c r="A46" s="0" t="n">
        <f aca="false">A45+1</f>
        <v>45</v>
      </c>
      <c r="B46" s="0" t="s">
        <v>3</v>
      </c>
      <c r="C46" s="0" t="s">
        <v>4</v>
      </c>
      <c r="D46" s="0" t="s">
        <v>1</v>
      </c>
      <c r="E46" s="0" t="n">
        <f aca="false">(IF($B46="V",1,0))+IF($C46="V",1,0)+IF($D46="V",1,0)</f>
        <v>1</v>
      </c>
      <c r="F46" s="0" t="n">
        <f aca="false">(IF($B46="E",1,0))+IF($C46="E",1,0)+IF($D46="E",1,0)</f>
        <v>0</v>
      </c>
      <c r="G46" s="0" t="n">
        <f aca="false">(IF($B46="O",1,0))+IF($C46="O",1,0)+IF($D46="O",1,0)</f>
        <v>1</v>
      </c>
      <c r="H46" s="0" t="n">
        <f aca="false">(IF($B46="L",1,0))+IF($C46="L",1,0)+IF($D46="L",1,0)</f>
        <v>1</v>
      </c>
      <c r="I46" s="0" t="n">
        <f aca="false">(IF(B46="V",1,0))</f>
        <v>0</v>
      </c>
      <c r="J46" s="0" t="n">
        <f aca="false">(IF(B46="E",1,0))</f>
        <v>0</v>
      </c>
      <c r="K46" s="0" t="n">
        <f aca="false">(IF(B46="O",1,0))</f>
        <v>1</v>
      </c>
      <c r="L46" s="0" t="n">
        <f aca="false">(IF(B46="L",1,0))</f>
        <v>0</v>
      </c>
      <c r="M46" s="0" t="n">
        <f aca="false">(IF(C46="V",1,0))</f>
        <v>0</v>
      </c>
      <c r="N46" s="0" t="n">
        <f aca="false">(IF(C46="E",1,0))</f>
        <v>0</v>
      </c>
      <c r="O46" s="0" t="n">
        <f aca="false">(IF(C46="O",1,0))</f>
        <v>0</v>
      </c>
      <c r="P46" s="0" t="n">
        <f aca="false">(IF(C46="L",1,0))</f>
        <v>1</v>
      </c>
      <c r="Q46" s="0" t="n">
        <f aca="false">(IF(D46="V",1,0))</f>
        <v>1</v>
      </c>
      <c r="R46" s="0" t="n">
        <f aca="false">(IF(D46="E",1,0))</f>
        <v>0</v>
      </c>
      <c r="S46" s="0" t="n">
        <f aca="false">(IF(D46="O",1,0))</f>
        <v>0</v>
      </c>
      <c r="T46" s="0" t="n">
        <f aca="false">(IF(D46="L",1,0))</f>
        <v>0</v>
      </c>
      <c r="U46" s="0" t="n">
        <f aca="false">MAX(E46-1,0)</f>
        <v>0</v>
      </c>
      <c r="V46" s="0" t="n">
        <f aca="false">MAX(U46-1+F46,0)</f>
        <v>0</v>
      </c>
      <c r="W46" s="0" t="n">
        <f aca="false">MAX(V46-1+G46,0)</f>
        <v>0</v>
      </c>
      <c r="X46" s="0" t="n">
        <f aca="false">MAX(W46-1+H46,0)</f>
        <v>0</v>
      </c>
      <c r="Y46" s="1" t="n">
        <f aca="false">0.5*(E46*I46+F46*J46+G46*K46+H46*L46-1)+(0+$U46*J46+$V46*K46+$W46*L46)</f>
        <v>0</v>
      </c>
      <c r="Z46" s="1" t="n">
        <f aca="false">0.5*(E46*M46+F46*N46+G46*O46+H46*P46-1)+(0+$U46*N46+$V46*O46+$W46*P46)</f>
        <v>0</v>
      </c>
      <c r="AA46" s="1" t="n">
        <f aca="false">0.5*(E46*Q46+F46*R46+G46*S46+H46*T46-1)+(0+$U46*R46+$V46*S46+$W46*T46)</f>
        <v>0</v>
      </c>
      <c r="AB46" s="0" t="n">
        <f aca="false">IF(B46="V",-2,0)+IF(B46="E",-1,0)+IF(B46="O",0,0)+IF(B46="L",1,0)+Y46</f>
        <v>0</v>
      </c>
      <c r="AC46" s="0" t="n">
        <f aca="false">IF(C46="V",-2,0)+IF(C46="E",-1,0)+IF(C46="O",0,0)+IF(C46="L",1,0)+Z46</f>
        <v>1</v>
      </c>
      <c r="AD46" s="0" t="n">
        <f aca="false">IF(D46="V",-2,0)+IF(D46="E",-1,0)+IF(D46="O",0,0)+IF(D46="L",1,0)+AA46</f>
        <v>-2</v>
      </c>
      <c r="AE46" s="1" t="n">
        <f aca="false">IF(B46="V",-2,0)+IF(B46="E",-1,0)+IF(B46="O",0,0)+IF(B46="L",1,0)</f>
        <v>0</v>
      </c>
      <c r="AF46" s="1" t="n">
        <f aca="false">IF(B46="V",-2,0)+IF(B46="E",-1,0)+IF(B46="O",0,0)+IF(B46="L",1,0)+Y46</f>
        <v>0</v>
      </c>
      <c r="AG46" s="1" t="n">
        <f aca="false">IF(B46="V",-2,0)+IF(B46="E",-1,0)+IF(B46="O",0,0)+IF(B46="L",1,0)+Y46*2</f>
        <v>0</v>
      </c>
      <c r="AH46" s="1" t="n">
        <f aca="false">IF(C46="V",-2,0)+IF(C46="E",-1,0)+IF(C46="O",0,0)+IF(C46="L",1,0)</f>
        <v>1</v>
      </c>
      <c r="AI46" s="1" t="n">
        <f aca="false">IF(C46="V",-2,0)+IF(C46="E",-1,0)+IF(C46="O",0,0)+IF(C46="L",1,0)+Z46</f>
        <v>1</v>
      </c>
      <c r="AJ46" s="1" t="n">
        <f aca="false">IF(C46="V",-2,0)+IF(C46="E",-1,0)+IF(C46="O",0,0)+IF(C46="L",1,0)+Z46*2</f>
        <v>1</v>
      </c>
      <c r="AK46" s="1" t="n">
        <f aca="false">IF(D46="V",-2,0)+IF(D46="E",-1,0)+IF(D46="O",0,0)+IF(D46="L",1,0)</f>
        <v>-2</v>
      </c>
      <c r="AL46" s="1" t="n">
        <f aca="false">IF(D46="V",-2,0)+IF(D46="E",-1,0)+IF(D46="O",0,0)+IF(D46="L",1,0)+AA46</f>
        <v>-2</v>
      </c>
      <c r="AM46" s="1" t="n">
        <f aca="false">IF(D46="V",-2,0)+IF(D46="E",-1,0)+IF(D46="O",0,0)+IF(D46="L",1,0)+AA46*2</f>
        <v>-2</v>
      </c>
      <c r="AN46" s="1" t="n">
        <f aca="false">(ABS(IF(AE46&lt;0,AE46*Early,AE46*Late))+ABS(IF(AF46&lt;0,AF46*Early,AF46*Late))+ABS(IF(AG46&lt;0,AG46*Early,AG46*Late)))/3</f>
        <v>0</v>
      </c>
      <c r="AO46" s="1" t="n">
        <f aca="false">(ABS(IF(AH46&lt;0,AH46*Early,AH46*Late))+ABS(IF(AI46&lt;0,AI46*Early,AI46*Late))+ABS(IF(AJ46&lt;0,AJ46*Early,AJ46*Late)))/3</f>
        <v>4</v>
      </c>
      <c r="AP46" s="1" t="n">
        <f aca="false">(ABS(IF(AK46&lt;0,AK46*Early,AK46*Late))+ABS(IF(AL46&lt;0,AL46*Early,AL46*Late))+ABS(IF(AM46&lt;0,AM46*Early,AM46*Late)))/3</f>
        <v>6</v>
      </c>
      <c r="AQ46" s="0" t="n">
        <f aca="false">Y46*Delay+AN46</f>
        <v>0</v>
      </c>
      <c r="AR46" s="0" t="n">
        <f aca="false">Z46*Delay+AO46</f>
        <v>4</v>
      </c>
      <c r="AS46" s="0" t="n">
        <f aca="false">AA46*Delay+AP46</f>
        <v>6</v>
      </c>
      <c r="AT46" s="1" t="n">
        <f aca="false">VLOOKUP(A46,SortA!$A$1:$AT$65,46,FALSE())</f>
        <v>1</v>
      </c>
      <c r="AU46" s="1" t="n">
        <f aca="false">VLOOKUP(A46,SortB!$A$1:$AT$65,46,FALSE())</f>
        <v>0</v>
      </c>
      <c r="AV46" s="1" t="n">
        <f aca="false">VLOOKUP(A46,SortC!$A$1:$AT$65,46,FALSE())</f>
        <v>0</v>
      </c>
      <c r="AW46" s="0" t="n">
        <f aca="false">IF(SUM(AT46:AV46)=3,1,0)</f>
        <v>0</v>
      </c>
      <c r="AX46" s="0" t="str">
        <f aca="false">B46&amp;C46&amp;D46</f>
        <v>OLV</v>
      </c>
      <c r="AY46" s="1" t="n">
        <f aca="false">AQ46+AR46+AS46</f>
        <v>10</v>
      </c>
      <c r="AZ46" s="1" t="str">
        <f aca="false">RIGHT(AX46,2)</f>
        <v>LV</v>
      </c>
      <c r="BA46" s="1" t="str">
        <f aca="false">LEFT(AX46,1)&amp;RIGHT(AX46,1)</f>
        <v>OV</v>
      </c>
      <c r="BB46" s="1" t="str">
        <f aca="false">LEFT(AX46,2)</f>
        <v>OL</v>
      </c>
      <c r="BC46" s="1" t="n">
        <f aca="false">VLOOKUP(AZ46,TwoPlayers!$AG$1:$AH$17,2,FALSE())</f>
        <v>10</v>
      </c>
      <c r="BD46" s="1" t="n">
        <f aca="false">VLOOKUP(BA46,TwoPlayers!$AG$1:$AH$17,2,FALSE())</f>
        <v>6</v>
      </c>
      <c r="BE46" s="1" t="n">
        <f aca="false">VLOOKUP(BB46,TwoPlayers!$AG$1:$AH$17,2,FALSE())</f>
        <v>4</v>
      </c>
      <c r="BF46" s="1" t="n">
        <f aca="false">$AY46-BC46</f>
        <v>0</v>
      </c>
      <c r="BG46" s="1" t="n">
        <f aca="false">$AY46-BD46</f>
        <v>4</v>
      </c>
      <c r="BH46" s="1" t="n">
        <f aca="false">$AY46-BE46</f>
        <v>6</v>
      </c>
      <c r="BI46" s="0" t="str">
        <f aca="false">AX46</f>
        <v>OLV</v>
      </c>
      <c r="BJ46" s="1" t="n">
        <f aca="false">VLOOKUP(A46,SortA!$A$1:$BM$65,65,FALSE())</f>
        <v>1</v>
      </c>
      <c r="BK46" s="1" t="n">
        <f aca="false">VLOOKUP(A46,SortB!$A$1:$BM$65,65,FALSE())</f>
        <v>0</v>
      </c>
      <c r="BL46" s="1" t="n">
        <f aca="false">VLOOKUP(A46,SortC!$A$1:$BM$65,65,FALSE())</f>
        <v>0</v>
      </c>
      <c r="BM46" s="1" t="n">
        <f aca="false">IF(SUM(BJ46:BL46)=3,1,0)</f>
        <v>0</v>
      </c>
    </row>
    <row r="47" customFormat="false" ht="13" hidden="false" customHeight="false" outlineLevel="0" collapsed="false">
      <c r="A47" s="0" t="n">
        <f aca="false">A46+1</f>
        <v>46</v>
      </c>
      <c r="B47" s="0" t="s">
        <v>3</v>
      </c>
      <c r="C47" s="0" t="s">
        <v>4</v>
      </c>
      <c r="D47" s="0" t="s">
        <v>2</v>
      </c>
      <c r="E47" s="0" t="n">
        <f aca="false">(IF($B47="V",1,0))+IF($C47="V",1,0)+IF($D47="V",1,0)</f>
        <v>0</v>
      </c>
      <c r="F47" s="0" t="n">
        <f aca="false">(IF($B47="E",1,0))+IF($C47="E",1,0)+IF($D47="E",1,0)</f>
        <v>1</v>
      </c>
      <c r="G47" s="0" t="n">
        <f aca="false">(IF($B47="O",1,0))+IF($C47="O",1,0)+IF($D47="O",1,0)</f>
        <v>1</v>
      </c>
      <c r="H47" s="0" t="n">
        <f aca="false">(IF($B47="L",1,0))+IF($C47="L",1,0)+IF($D47="L",1,0)</f>
        <v>1</v>
      </c>
      <c r="I47" s="0" t="n">
        <f aca="false">(IF(B47="V",1,0))</f>
        <v>0</v>
      </c>
      <c r="J47" s="0" t="n">
        <f aca="false">(IF(B47="E",1,0))</f>
        <v>0</v>
      </c>
      <c r="K47" s="0" t="n">
        <f aca="false">(IF(B47="O",1,0))</f>
        <v>1</v>
      </c>
      <c r="L47" s="0" t="n">
        <f aca="false">(IF(B47="L",1,0))</f>
        <v>0</v>
      </c>
      <c r="M47" s="0" t="n">
        <f aca="false">(IF(C47="V",1,0))</f>
        <v>0</v>
      </c>
      <c r="N47" s="0" t="n">
        <f aca="false">(IF(C47="E",1,0))</f>
        <v>0</v>
      </c>
      <c r="O47" s="0" t="n">
        <f aca="false">(IF(C47="O",1,0))</f>
        <v>0</v>
      </c>
      <c r="P47" s="0" t="n">
        <f aca="false">(IF(C47="L",1,0))</f>
        <v>1</v>
      </c>
      <c r="Q47" s="0" t="n">
        <f aca="false">(IF(D47="V",1,0))</f>
        <v>0</v>
      </c>
      <c r="R47" s="0" t="n">
        <f aca="false">(IF(D47="E",1,0))</f>
        <v>1</v>
      </c>
      <c r="S47" s="0" t="n">
        <f aca="false">(IF(D47="O",1,0))</f>
        <v>0</v>
      </c>
      <c r="T47" s="0" t="n">
        <f aca="false">(IF(D47="L",1,0))</f>
        <v>0</v>
      </c>
      <c r="U47" s="0" t="n">
        <f aca="false">MAX(E47-1,0)</f>
        <v>0</v>
      </c>
      <c r="V47" s="0" t="n">
        <f aca="false">MAX(U47-1+F47,0)</f>
        <v>0</v>
      </c>
      <c r="W47" s="0" t="n">
        <f aca="false">MAX(V47-1+G47,0)</f>
        <v>0</v>
      </c>
      <c r="X47" s="0" t="n">
        <f aca="false">MAX(W47-1+H47,0)</f>
        <v>0</v>
      </c>
      <c r="Y47" s="1" t="n">
        <f aca="false">0.5*(E47*I47+F47*J47+G47*K47+H47*L47-1)+(0+$U47*J47+$V47*K47+$W47*L47)</f>
        <v>0</v>
      </c>
      <c r="Z47" s="1" t="n">
        <f aca="false">0.5*(E47*M47+F47*N47+G47*O47+H47*P47-1)+(0+$U47*N47+$V47*O47+$W47*P47)</f>
        <v>0</v>
      </c>
      <c r="AA47" s="1" t="n">
        <f aca="false">0.5*(E47*Q47+F47*R47+G47*S47+H47*T47-1)+(0+$U47*R47+$V47*S47+$W47*T47)</f>
        <v>0</v>
      </c>
      <c r="AB47" s="0" t="n">
        <f aca="false">IF(B47="V",-2,0)+IF(B47="E",-1,0)+IF(B47="O",0,0)+IF(B47="L",1,0)+Y47</f>
        <v>0</v>
      </c>
      <c r="AC47" s="0" t="n">
        <f aca="false">IF(C47="V",-2,0)+IF(C47="E",-1,0)+IF(C47="O",0,0)+IF(C47="L",1,0)+Z47</f>
        <v>1</v>
      </c>
      <c r="AD47" s="0" t="n">
        <f aca="false">IF(D47="V",-2,0)+IF(D47="E",-1,0)+IF(D47="O",0,0)+IF(D47="L",1,0)+AA47</f>
        <v>-1</v>
      </c>
      <c r="AE47" s="1" t="n">
        <f aca="false">IF(B47="V",-2,0)+IF(B47="E",-1,0)+IF(B47="O",0,0)+IF(B47="L",1,0)</f>
        <v>0</v>
      </c>
      <c r="AF47" s="1" t="n">
        <f aca="false">IF(B47="V",-2,0)+IF(B47="E",-1,0)+IF(B47="O",0,0)+IF(B47="L",1,0)+Y47</f>
        <v>0</v>
      </c>
      <c r="AG47" s="1" t="n">
        <f aca="false">IF(B47="V",-2,0)+IF(B47="E",-1,0)+IF(B47="O",0,0)+IF(B47="L",1,0)+Y47*2</f>
        <v>0</v>
      </c>
      <c r="AH47" s="1" t="n">
        <f aca="false">IF(C47="V",-2,0)+IF(C47="E",-1,0)+IF(C47="O",0,0)+IF(C47="L",1,0)</f>
        <v>1</v>
      </c>
      <c r="AI47" s="1" t="n">
        <f aca="false">IF(C47="V",-2,0)+IF(C47="E",-1,0)+IF(C47="O",0,0)+IF(C47="L",1,0)+Z47</f>
        <v>1</v>
      </c>
      <c r="AJ47" s="1" t="n">
        <f aca="false">IF(C47="V",-2,0)+IF(C47="E",-1,0)+IF(C47="O",0,0)+IF(C47="L",1,0)+Z47*2</f>
        <v>1</v>
      </c>
      <c r="AK47" s="1" t="n">
        <f aca="false">IF(D47="V",-2,0)+IF(D47="E",-1,0)+IF(D47="O",0,0)+IF(D47="L",1,0)</f>
        <v>-1</v>
      </c>
      <c r="AL47" s="1" t="n">
        <f aca="false">IF(D47="V",-2,0)+IF(D47="E",-1,0)+IF(D47="O",0,0)+IF(D47="L",1,0)+AA47</f>
        <v>-1</v>
      </c>
      <c r="AM47" s="1" t="n">
        <f aca="false">IF(D47="V",-2,0)+IF(D47="E",-1,0)+IF(D47="O",0,0)+IF(D47="L",1,0)+AA47*2</f>
        <v>-1</v>
      </c>
      <c r="AN47" s="1" t="n">
        <f aca="false">(ABS(IF(AE47&lt;0,AE47*Early,AE47*Late))+ABS(IF(AF47&lt;0,AF47*Early,AF47*Late))+ABS(IF(AG47&lt;0,AG47*Early,AG47*Late)))/3</f>
        <v>0</v>
      </c>
      <c r="AO47" s="1" t="n">
        <f aca="false">(ABS(IF(AH47&lt;0,AH47*Early,AH47*Late))+ABS(IF(AI47&lt;0,AI47*Early,AI47*Late))+ABS(IF(AJ47&lt;0,AJ47*Early,AJ47*Late)))/3</f>
        <v>4</v>
      </c>
      <c r="AP47" s="1" t="n">
        <f aca="false">(ABS(IF(AK47&lt;0,AK47*Early,AK47*Late))+ABS(IF(AL47&lt;0,AL47*Early,AL47*Late))+ABS(IF(AM47&lt;0,AM47*Early,AM47*Late)))/3</f>
        <v>3</v>
      </c>
      <c r="AQ47" s="0" t="n">
        <f aca="false">Y47*Delay+AN47</f>
        <v>0</v>
      </c>
      <c r="AR47" s="0" t="n">
        <f aca="false">Z47*Delay+AO47</f>
        <v>4</v>
      </c>
      <c r="AS47" s="0" t="n">
        <f aca="false">AA47*Delay+AP47</f>
        <v>3</v>
      </c>
      <c r="AT47" s="1" t="n">
        <f aca="false">VLOOKUP(A47,SortA!$A$1:$AT$65,46,FALSE())</f>
        <v>1</v>
      </c>
      <c r="AU47" s="1" t="n">
        <f aca="false">VLOOKUP(A47,SortB!$A$1:$AT$65,46,FALSE())</f>
        <v>0</v>
      </c>
      <c r="AV47" s="1" t="n">
        <f aca="false">VLOOKUP(A47,SortC!$A$1:$AT$65,46,FALSE())</f>
        <v>0</v>
      </c>
      <c r="AW47" s="0" t="n">
        <f aca="false">IF(SUM(AT47:AV47)=3,1,0)</f>
        <v>0</v>
      </c>
      <c r="AX47" s="0" t="str">
        <f aca="false">B47&amp;C47&amp;D47</f>
        <v>OLE</v>
      </c>
      <c r="AY47" s="1" t="n">
        <f aca="false">AQ47+AR47+AS47</f>
        <v>7</v>
      </c>
      <c r="AZ47" s="1" t="str">
        <f aca="false">RIGHT(AX47,2)</f>
        <v>LE</v>
      </c>
      <c r="BA47" s="1" t="str">
        <f aca="false">LEFT(AX47,1)&amp;RIGHT(AX47,1)</f>
        <v>OE</v>
      </c>
      <c r="BB47" s="1" t="str">
        <f aca="false">LEFT(AX47,2)</f>
        <v>OL</v>
      </c>
      <c r="BC47" s="1" t="n">
        <f aca="false">VLOOKUP(AZ47,TwoPlayers!$AG$1:$AH$17,2,FALSE())</f>
        <v>7</v>
      </c>
      <c r="BD47" s="1" t="n">
        <f aca="false">VLOOKUP(BA47,TwoPlayers!$AG$1:$AH$17,2,FALSE())</f>
        <v>3</v>
      </c>
      <c r="BE47" s="1" t="n">
        <f aca="false">VLOOKUP(BB47,TwoPlayers!$AG$1:$AH$17,2,FALSE())</f>
        <v>4</v>
      </c>
      <c r="BF47" s="1" t="n">
        <f aca="false">$AY47-BC47</f>
        <v>0</v>
      </c>
      <c r="BG47" s="1" t="n">
        <f aca="false">$AY47-BD47</f>
        <v>4</v>
      </c>
      <c r="BH47" s="1" t="n">
        <f aca="false">$AY47-BE47</f>
        <v>3</v>
      </c>
      <c r="BI47" s="0" t="str">
        <f aca="false">AX47</f>
        <v>OLE</v>
      </c>
      <c r="BJ47" s="1" t="n">
        <f aca="false">VLOOKUP(A47,SortA!$A$1:$BM$65,65,FALSE())</f>
        <v>1</v>
      </c>
      <c r="BK47" s="1" t="n">
        <f aca="false">VLOOKUP(A47,SortB!$A$1:$BM$65,65,FALSE())</f>
        <v>0</v>
      </c>
      <c r="BL47" s="1" t="n">
        <f aca="false">VLOOKUP(A47,SortC!$A$1:$BM$65,65,FALSE())</f>
        <v>1</v>
      </c>
      <c r="BM47" s="1" t="n">
        <f aca="false">IF(SUM(BJ47:BL47)=3,1,0)</f>
        <v>0</v>
      </c>
    </row>
    <row r="48" customFormat="false" ht="13" hidden="false" customHeight="false" outlineLevel="0" collapsed="false">
      <c r="A48" s="0" t="n">
        <f aca="false">A47+1</f>
        <v>47</v>
      </c>
      <c r="B48" s="0" t="s">
        <v>3</v>
      </c>
      <c r="C48" s="0" t="s">
        <v>4</v>
      </c>
      <c r="D48" s="0" t="s">
        <v>3</v>
      </c>
      <c r="E48" s="0" t="n">
        <f aca="false">(IF($B48="V",1,0))+IF($C48="V",1,0)+IF($D48="V",1,0)</f>
        <v>0</v>
      </c>
      <c r="F48" s="0" t="n">
        <f aca="false">(IF($B48="E",1,0))+IF($C48="E",1,0)+IF($D48="E",1,0)</f>
        <v>0</v>
      </c>
      <c r="G48" s="0" t="n">
        <f aca="false">(IF($B48="O",1,0))+IF($C48="O",1,0)+IF($D48="O",1,0)</f>
        <v>2</v>
      </c>
      <c r="H48" s="0" t="n">
        <f aca="false">(IF($B48="L",1,0))+IF($C48="L",1,0)+IF($D48="L",1,0)</f>
        <v>1</v>
      </c>
      <c r="I48" s="0" t="n">
        <f aca="false">(IF(B48="V",1,0))</f>
        <v>0</v>
      </c>
      <c r="J48" s="0" t="n">
        <f aca="false">(IF(B48="E",1,0))</f>
        <v>0</v>
      </c>
      <c r="K48" s="0" t="n">
        <f aca="false">(IF(B48="O",1,0))</f>
        <v>1</v>
      </c>
      <c r="L48" s="0" t="n">
        <f aca="false">(IF(B48="L",1,0))</f>
        <v>0</v>
      </c>
      <c r="M48" s="0" t="n">
        <f aca="false">(IF(C48="V",1,0))</f>
        <v>0</v>
      </c>
      <c r="N48" s="0" t="n">
        <f aca="false">(IF(C48="E",1,0))</f>
        <v>0</v>
      </c>
      <c r="O48" s="0" t="n">
        <f aca="false">(IF(C48="O",1,0))</f>
        <v>0</v>
      </c>
      <c r="P48" s="0" t="n">
        <f aca="false">(IF(C48="L",1,0))</f>
        <v>1</v>
      </c>
      <c r="Q48" s="0" t="n">
        <f aca="false">(IF(D48="V",1,0))</f>
        <v>0</v>
      </c>
      <c r="R48" s="0" t="n">
        <f aca="false">(IF(D48="E",1,0))</f>
        <v>0</v>
      </c>
      <c r="S48" s="0" t="n">
        <f aca="false">(IF(D48="O",1,0))</f>
        <v>1</v>
      </c>
      <c r="T48" s="0" t="n">
        <f aca="false">(IF(D48="L",1,0))</f>
        <v>0</v>
      </c>
      <c r="U48" s="0" t="n">
        <f aca="false">MAX(E48-1,0)</f>
        <v>0</v>
      </c>
      <c r="V48" s="0" t="n">
        <f aca="false">MAX(U48-1+F48,0)</f>
        <v>0</v>
      </c>
      <c r="W48" s="0" t="n">
        <f aca="false">MAX(V48-1+G48,0)</f>
        <v>1</v>
      </c>
      <c r="X48" s="0" t="n">
        <f aca="false">MAX(W48-1+H48,0)</f>
        <v>1</v>
      </c>
      <c r="Y48" s="1" t="n">
        <f aca="false">0.5*(E48*I48+F48*J48+G48*K48+H48*L48-1)+(0+$U48*J48+$V48*K48+$W48*L48)</f>
        <v>0.5</v>
      </c>
      <c r="Z48" s="1" t="n">
        <f aca="false">0.5*(E48*M48+F48*N48+G48*O48+H48*P48-1)+(0+$U48*N48+$V48*O48+$W48*P48)</f>
        <v>1</v>
      </c>
      <c r="AA48" s="1" t="n">
        <f aca="false">0.5*(E48*Q48+F48*R48+G48*S48+H48*T48-1)+(0+$U48*R48+$V48*S48+$W48*T48)</f>
        <v>0.5</v>
      </c>
      <c r="AB48" s="0" t="n">
        <f aca="false">IF(B48="V",-2,0)+IF(B48="E",-1,0)+IF(B48="O",0,0)+IF(B48="L",1,0)+Y48</f>
        <v>0.5</v>
      </c>
      <c r="AC48" s="0" t="n">
        <f aca="false">IF(C48="V",-2,0)+IF(C48="E",-1,0)+IF(C48="O",0,0)+IF(C48="L",1,0)+Z48</f>
        <v>2</v>
      </c>
      <c r="AD48" s="0" t="n">
        <f aca="false">IF(D48="V",-2,0)+IF(D48="E",-1,0)+IF(D48="O",0,0)+IF(D48="L",1,0)+AA48</f>
        <v>0.5</v>
      </c>
      <c r="AE48" s="1" t="n">
        <f aca="false">IF(B48="V",-2,0)+IF(B48="E",-1,0)+IF(B48="O",0,0)+IF(B48="L",1,0)</f>
        <v>0</v>
      </c>
      <c r="AF48" s="1" t="n">
        <f aca="false">IF(B48="V",-2,0)+IF(B48="E",-1,0)+IF(B48="O",0,0)+IF(B48="L",1,0)+Y48</f>
        <v>0.5</v>
      </c>
      <c r="AG48" s="1" t="n">
        <f aca="false">IF(B48="V",-2,0)+IF(B48="E",-1,0)+IF(B48="O",0,0)+IF(B48="L",1,0)+Y48*2</f>
        <v>1</v>
      </c>
      <c r="AH48" s="1" t="n">
        <f aca="false">IF(C48="V",-2,0)+IF(C48="E",-1,0)+IF(C48="O",0,0)+IF(C48="L",1,0)</f>
        <v>1</v>
      </c>
      <c r="AI48" s="1" t="n">
        <f aca="false">IF(C48="V",-2,0)+IF(C48="E",-1,0)+IF(C48="O",0,0)+IF(C48="L",1,0)+Z48</f>
        <v>2</v>
      </c>
      <c r="AJ48" s="1" t="n">
        <f aca="false">IF(C48="V",-2,0)+IF(C48="E",-1,0)+IF(C48="O",0,0)+IF(C48="L",1,0)+Z48*2</f>
        <v>3</v>
      </c>
      <c r="AK48" s="1" t="n">
        <f aca="false">IF(D48="V",-2,0)+IF(D48="E",-1,0)+IF(D48="O",0,0)+IF(D48="L",1,0)</f>
        <v>0</v>
      </c>
      <c r="AL48" s="1" t="n">
        <f aca="false">IF(D48="V",-2,0)+IF(D48="E",-1,0)+IF(D48="O",0,0)+IF(D48="L",1,0)+AA48</f>
        <v>0.5</v>
      </c>
      <c r="AM48" s="1" t="n">
        <f aca="false">IF(D48="V",-2,0)+IF(D48="E",-1,0)+IF(D48="O",0,0)+IF(D48="L",1,0)+AA48*2</f>
        <v>1</v>
      </c>
      <c r="AN48" s="1" t="n">
        <f aca="false">(ABS(IF(AE48&lt;0,AE48*Early,AE48*Late))+ABS(IF(AF48&lt;0,AF48*Early,AF48*Late))+ABS(IF(AG48&lt;0,AG48*Early,AG48*Late)))/3</f>
        <v>2</v>
      </c>
      <c r="AO48" s="1" t="n">
        <f aca="false">(ABS(IF(AH48&lt;0,AH48*Early,AH48*Late))+ABS(IF(AI48&lt;0,AI48*Early,AI48*Late))+ABS(IF(AJ48&lt;0,AJ48*Early,AJ48*Late)))/3</f>
        <v>8</v>
      </c>
      <c r="AP48" s="1" t="n">
        <f aca="false">(ABS(IF(AK48&lt;0,AK48*Early,AK48*Late))+ABS(IF(AL48&lt;0,AL48*Early,AL48*Late))+ABS(IF(AM48&lt;0,AM48*Early,AM48*Late)))/3</f>
        <v>2</v>
      </c>
      <c r="AQ48" s="0" t="n">
        <f aca="false">Y48*Delay+AN48</f>
        <v>2.5</v>
      </c>
      <c r="AR48" s="0" t="n">
        <f aca="false">Z48*Delay+AO48</f>
        <v>9</v>
      </c>
      <c r="AS48" s="0" t="n">
        <f aca="false">AA48*Delay+AP48</f>
        <v>2.5</v>
      </c>
      <c r="AT48" s="1" t="n">
        <f aca="false">VLOOKUP(A48,SortA!$A$1:$AT$65,46,FALSE())</f>
        <v>1</v>
      </c>
      <c r="AU48" s="1" t="n">
        <f aca="false">VLOOKUP(A48,SortB!$A$1:$AT$65,46,FALSE())</f>
        <v>0</v>
      </c>
      <c r="AV48" s="1" t="n">
        <f aca="false">VLOOKUP(A48,SortC!$A$1:$AT$65,46,FALSE())</f>
        <v>1</v>
      </c>
      <c r="AW48" s="0" t="n">
        <f aca="false">IF(SUM(AT48:AV48)=3,1,0)</f>
        <v>0</v>
      </c>
      <c r="AX48" s="0" t="str">
        <f aca="false">B48&amp;C48&amp;D48</f>
        <v>OLO</v>
      </c>
      <c r="AY48" s="1" t="n">
        <f aca="false">AQ48+AR48+AS48</f>
        <v>14</v>
      </c>
      <c r="AZ48" s="1" t="str">
        <f aca="false">RIGHT(AX48,2)</f>
        <v>LO</v>
      </c>
      <c r="BA48" s="1" t="str">
        <f aca="false">LEFT(AX48,1)&amp;RIGHT(AX48,1)</f>
        <v>OO</v>
      </c>
      <c r="BB48" s="1" t="str">
        <f aca="false">LEFT(AX48,2)</f>
        <v>OL</v>
      </c>
      <c r="BC48" s="1" t="n">
        <f aca="false">VLOOKUP(AZ48,TwoPlayers!$AG$1:$AH$17,2,FALSE())</f>
        <v>4</v>
      </c>
      <c r="BD48" s="1" t="n">
        <f aca="false">VLOOKUP(BA48,TwoPlayers!$AG$1:$AH$17,2,FALSE())</f>
        <v>5</v>
      </c>
      <c r="BE48" s="1" t="n">
        <f aca="false">VLOOKUP(BB48,TwoPlayers!$AG$1:$AH$17,2,FALSE())</f>
        <v>4</v>
      </c>
      <c r="BF48" s="1" t="n">
        <f aca="false">$AY48-BC48</f>
        <v>10</v>
      </c>
      <c r="BG48" s="1" t="n">
        <f aca="false">$AY48-BD48</f>
        <v>9</v>
      </c>
      <c r="BH48" s="1" t="n">
        <f aca="false">$AY48-BE48</f>
        <v>10</v>
      </c>
      <c r="BI48" s="0" t="str">
        <f aca="false">AX48</f>
        <v>OLO</v>
      </c>
      <c r="BJ48" s="1" t="n">
        <f aca="false">VLOOKUP(A48,SortA!$A$1:$BM$65,65,FALSE())</f>
        <v>0</v>
      </c>
      <c r="BK48" s="1" t="n">
        <f aca="false">VLOOKUP(A48,SortB!$A$1:$BM$65,65,FALSE())</f>
        <v>0</v>
      </c>
      <c r="BL48" s="1" t="n">
        <f aca="false">VLOOKUP(A48,SortC!$A$1:$BM$65,65,FALSE())</f>
        <v>0</v>
      </c>
      <c r="BM48" s="1" t="n">
        <f aca="false">IF(SUM(BJ48:BL48)=3,1,0)</f>
        <v>0</v>
      </c>
    </row>
    <row r="49" customFormat="false" ht="13" hidden="false" customHeight="false" outlineLevel="0" collapsed="false">
      <c r="A49" s="0" t="n">
        <f aca="false">A48+1</f>
        <v>48</v>
      </c>
      <c r="B49" s="0" t="s">
        <v>3</v>
      </c>
      <c r="C49" s="0" t="s">
        <v>4</v>
      </c>
      <c r="D49" s="0" t="s">
        <v>4</v>
      </c>
      <c r="E49" s="0" t="n">
        <f aca="false">(IF($B49="V",1,0))+IF($C49="V",1,0)+IF($D49="V",1,0)</f>
        <v>0</v>
      </c>
      <c r="F49" s="0" t="n">
        <f aca="false">(IF($B49="E",1,0))+IF($C49="E",1,0)+IF($D49="E",1,0)</f>
        <v>0</v>
      </c>
      <c r="G49" s="0" t="n">
        <f aca="false">(IF($B49="O",1,0))+IF($C49="O",1,0)+IF($D49="O",1,0)</f>
        <v>1</v>
      </c>
      <c r="H49" s="0" t="n">
        <f aca="false">(IF($B49="L",1,0))+IF($C49="L",1,0)+IF($D49="L",1,0)</f>
        <v>2</v>
      </c>
      <c r="I49" s="0" t="n">
        <f aca="false">(IF(B49="V",1,0))</f>
        <v>0</v>
      </c>
      <c r="J49" s="0" t="n">
        <f aca="false">(IF(B49="E",1,0))</f>
        <v>0</v>
      </c>
      <c r="K49" s="0" t="n">
        <f aca="false">(IF(B49="O",1,0))</f>
        <v>1</v>
      </c>
      <c r="L49" s="0" t="n">
        <f aca="false">(IF(B49="L",1,0))</f>
        <v>0</v>
      </c>
      <c r="M49" s="0" t="n">
        <f aca="false">(IF(C49="V",1,0))</f>
        <v>0</v>
      </c>
      <c r="N49" s="0" t="n">
        <f aca="false">(IF(C49="E",1,0))</f>
        <v>0</v>
      </c>
      <c r="O49" s="0" t="n">
        <f aca="false">(IF(C49="O",1,0))</f>
        <v>0</v>
      </c>
      <c r="P49" s="0" t="n">
        <f aca="false">(IF(C49="L",1,0))</f>
        <v>1</v>
      </c>
      <c r="Q49" s="0" t="n">
        <f aca="false">(IF(D49="V",1,0))</f>
        <v>0</v>
      </c>
      <c r="R49" s="0" t="n">
        <f aca="false">(IF(D49="E",1,0))</f>
        <v>0</v>
      </c>
      <c r="S49" s="0" t="n">
        <f aca="false">(IF(D49="O",1,0))</f>
        <v>0</v>
      </c>
      <c r="T49" s="0" t="n">
        <f aca="false">(IF(D49="L",1,0))</f>
        <v>1</v>
      </c>
      <c r="U49" s="0" t="n">
        <f aca="false">MAX(E49-1,0)</f>
        <v>0</v>
      </c>
      <c r="V49" s="0" t="n">
        <f aca="false">MAX(U49-1+F49,0)</f>
        <v>0</v>
      </c>
      <c r="W49" s="0" t="n">
        <f aca="false">MAX(V49-1+G49,0)</f>
        <v>0</v>
      </c>
      <c r="X49" s="0" t="n">
        <f aca="false">MAX(W49-1+H49,0)</f>
        <v>1</v>
      </c>
      <c r="Y49" s="1" t="n">
        <f aca="false">0.5*(E49*I49+F49*J49+G49*K49+H49*L49-1)+(0+$U49*J49+$V49*K49+$W49*L49)</f>
        <v>0</v>
      </c>
      <c r="Z49" s="1" t="n">
        <f aca="false">0.5*(E49*M49+F49*N49+G49*O49+H49*P49-1)+(0+$U49*N49+$V49*O49+$W49*P49)</f>
        <v>0.5</v>
      </c>
      <c r="AA49" s="1" t="n">
        <f aca="false">0.5*(E49*Q49+F49*R49+G49*S49+H49*T49-1)+(0+$U49*R49+$V49*S49+$W49*T49)</f>
        <v>0.5</v>
      </c>
      <c r="AB49" s="0" t="n">
        <f aca="false">IF(B49="V",-2,0)+IF(B49="E",-1,0)+IF(B49="O",0,0)+IF(B49="L",1,0)+Y49</f>
        <v>0</v>
      </c>
      <c r="AC49" s="0" t="n">
        <f aca="false">IF(C49="V",-2,0)+IF(C49="E",-1,0)+IF(C49="O",0,0)+IF(C49="L",1,0)+Z49</f>
        <v>1.5</v>
      </c>
      <c r="AD49" s="0" t="n">
        <f aca="false">IF(D49="V",-2,0)+IF(D49="E",-1,0)+IF(D49="O",0,0)+IF(D49="L",1,0)+AA49</f>
        <v>1.5</v>
      </c>
      <c r="AE49" s="1" t="n">
        <f aca="false">IF(B49="V",-2,0)+IF(B49="E",-1,0)+IF(B49="O",0,0)+IF(B49="L",1,0)</f>
        <v>0</v>
      </c>
      <c r="AF49" s="1" t="n">
        <f aca="false">IF(B49="V",-2,0)+IF(B49="E",-1,0)+IF(B49="O",0,0)+IF(B49="L",1,0)+Y49</f>
        <v>0</v>
      </c>
      <c r="AG49" s="1" t="n">
        <f aca="false">IF(B49="V",-2,0)+IF(B49="E",-1,0)+IF(B49="O",0,0)+IF(B49="L",1,0)+Y49*2</f>
        <v>0</v>
      </c>
      <c r="AH49" s="1" t="n">
        <f aca="false">IF(C49="V",-2,0)+IF(C49="E",-1,0)+IF(C49="O",0,0)+IF(C49="L",1,0)</f>
        <v>1</v>
      </c>
      <c r="AI49" s="1" t="n">
        <f aca="false">IF(C49="V",-2,0)+IF(C49="E",-1,0)+IF(C49="O",0,0)+IF(C49="L",1,0)+Z49</f>
        <v>1.5</v>
      </c>
      <c r="AJ49" s="1" t="n">
        <f aca="false">IF(C49="V",-2,0)+IF(C49="E",-1,0)+IF(C49="O",0,0)+IF(C49="L",1,0)+Z49*2</f>
        <v>2</v>
      </c>
      <c r="AK49" s="1" t="n">
        <f aca="false">IF(D49="V",-2,0)+IF(D49="E",-1,0)+IF(D49="O",0,0)+IF(D49="L",1,0)</f>
        <v>1</v>
      </c>
      <c r="AL49" s="1" t="n">
        <f aca="false">IF(D49="V",-2,0)+IF(D49="E",-1,0)+IF(D49="O",0,0)+IF(D49="L",1,0)+AA49</f>
        <v>1.5</v>
      </c>
      <c r="AM49" s="1" t="n">
        <f aca="false">IF(D49="V",-2,0)+IF(D49="E",-1,0)+IF(D49="O",0,0)+IF(D49="L",1,0)+AA49*2</f>
        <v>2</v>
      </c>
      <c r="AN49" s="1" t="n">
        <f aca="false">(ABS(IF(AE49&lt;0,AE49*Early,AE49*Late))+ABS(IF(AF49&lt;0,AF49*Early,AF49*Late))+ABS(IF(AG49&lt;0,AG49*Early,AG49*Late)))/3</f>
        <v>0</v>
      </c>
      <c r="AO49" s="1" t="n">
        <f aca="false">(ABS(IF(AH49&lt;0,AH49*Early,AH49*Late))+ABS(IF(AI49&lt;0,AI49*Early,AI49*Late))+ABS(IF(AJ49&lt;0,AJ49*Early,AJ49*Late)))/3</f>
        <v>6</v>
      </c>
      <c r="AP49" s="1" t="n">
        <f aca="false">(ABS(IF(AK49&lt;0,AK49*Early,AK49*Late))+ABS(IF(AL49&lt;0,AL49*Early,AL49*Late))+ABS(IF(AM49&lt;0,AM49*Early,AM49*Late)))/3</f>
        <v>6</v>
      </c>
      <c r="AQ49" s="0" t="n">
        <f aca="false">Y49*Delay+AN49</f>
        <v>0</v>
      </c>
      <c r="AR49" s="0" t="n">
        <f aca="false">Z49*Delay+AO49</f>
        <v>6.5</v>
      </c>
      <c r="AS49" s="0" t="n">
        <f aca="false">AA49*Delay+AP49</f>
        <v>6.5</v>
      </c>
      <c r="AT49" s="1" t="n">
        <f aca="false">VLOOKUP(A49,SortA!$A$1:$AT$65,46,FALSE())</f>
        <v>1</v>
      </c>
      <c r="AU49" s="1" t="n">
        <f aca="false">VLOOKUP(A49,SortB!$A$1:$AT$65,46,FALSE())</f>
        <v>0</v>
      </c>
      <c r="AV49" s="1" t="n">
        <f aca="false">VLOOKUP(A49,SortC!$A$1:$AT$65,46,FALSE())</f>
        <v>0</v>
      </c>
      <c r="AW49" s="0" t="n">
        <f aca="false">IF(SUM(AT49:AV49)=3,1,0)</f>
        <v>0</v>
      </c>
      <c r="AX49" s="0" t="str">
        <f aca="false">B49&amp;C49&amp;D49</f>
        <v>OLL</v>
      </c>
      <c r="AY49" s="1" t="n">
        <f aca="false">AQ49+AR49+AS49</f>
        <v>13</v>
      </c>
      <c r="AZ49" s="1" t="str">
        <f aca="false">RIGHT(AX49,2)</f>
        <v>LL</v>
      </c>
      <c r="BA49" s="1" t="str">
        <f aca="false">LEFT(AX49,1)&amp;RIGHT(AX49,1)</f>
        <v>OL</v>
      </c>
      <c r="BB49" s="1" t="str">
        <f aca="false">LEFT(AX49,2)</f>
        <v>OL</v>
      </c>
      <c r="BC49" s="1" t="n">
        <f aca="false">VLOOKUP(AZ49,TwoPlayers!$AG$1:$AH$17,2,FALSE())</f>
        <v>13</v>
      </c>
      <c r="BD49" s="1" t="n">
        <f aca="false">VLOOKUP(BA49,TwoPlayers!$AG$1:$AH$17,2,FALSE())</f>
        <v>4</v>
      </c>
      <c r="BE49" s="1" t="n">
        <f aca="false">VLOOKUP(BB49,TwoPlayers!$AG$1:$AH$17,2,FALSE())</f>
        <v>4</v>
      </c>
      <c r="BF49" s="1" t="n">
        <f aca="false">$AY49-BC49</f>
        <v>0</v>
      </c>
      <c r="BG49" s="1" t="n">
        <f aca="false">$AY49-BD49</f>
        <v>9</v>
      </c>
      <c r="BH49" s="1" t="n">
        <f aca="false">$AY49-BE49</f>
        <v>9</v>
      </c>
      <c r="BI49" s="0" t="str">
        <f aca="false">AX49</f>
        <v>OLL</v>
      </c>
      <c r="BJ49" s="1" t="n">
        <f aca="false">VLOOKUP(A49,SortA!$A$1:$BM$65,65,FALSE())</f>
        <v>1</v>
      </c>
      <c r="BK49" s="1" t="n">
        <f aca="false">VLOOKUP(A49,SortB!$A$1:$BM$65,65,FALSE())</f>
        <v>0</v>
      </c>
      <c r="BL49" s="1" t="n">
        <f aca="false">VLOOKUP(A49,SortC!$A$1:$BM$65,65,FALSE())</f>
        <v>0</v>
      </c>
      <c r="BM49" s="1" t="n">
        <f aca="false">IF(SUM(BJ49:BL49)=3,1,0)</f>
        <v>0</v>
      </c>
    </row>
    <row r="50" customFormat="false" ht="13" hidden="false" customHeight="false" outlineLevel="0" collapsed="false">
      <c r="A50" s="0" t="n">
        <f aca="false">A49+1</f>
        <v>49</v>
      </c>
      <c r="B50" s="0" t="s">
        <v>4</v>
      </c>
      <c r="C50" s="0" t="s">
        <v>1</v>
      </c>
      <c r="D50" s="0" t="s">
        <v>1</v>
      </c>
      <c r="E50" s="0" t="n">
        <f aca="false">(IF($B50="V",1,0))+IF($C50="V",1,0)+IF($D50="V",1,0)</f>
        <v>2</v>
      </c>
      <c r="F50" s="0" t="n">
        <f aca="false">(IF($B50="E",1,0))+IF($C50="E",1,0)+IF($D50="E",1,0)</f>
        <v>0</v>
      </c>
      <c r="G50" s="0" t="n">
        <f aca="false">(IF($B50="O",1,0))+IF($C50="O",1,0)+IF($D50="O",1,0)</f>
        <v>0</v>
      </c>
      <c r="H50" s="0" t="n">
        <f aca="false">(IF($B50="L",1,0))+IF($C50="L",1,0)+IF($D50="L",1,0)</f>
        <v>1</v>
      </c>
      <c r="I50" s="0" t="n">
        <f aca="false">(IF(B50="V",1,0))</f>
        <v>0</v>
      </c>
      <c r="J50" s="0" t="n">
        <f aca="false">(IF(B50="E",1,0))</f>
        <v>0</v>
      </c>
      <c r="K50" s="0" t="n">
        <f aca="false">(IF(B50="O",1,0))</f>
        <v>0</v>
      </c>
      <c r="L50" s="0" t="n">
        <f aca="false">(IF(B50="L",1,0))</f>
        <v>1</v>
      </c>
      <c r="M50" s="0" t="n">
        <f aca="false">(IF(C50="V",1,0))</f>
        <v>1</v>
      </c>
      <c r="N50" s="0" t="n">
        <f aca="false">(IF(C50="E",1,0))</f>
        <v>0</v>
      </c>
      <c r="O50" s="0" t="n">
        <f aca="false">(IF(C50="O",1,0))</f>
        <v>0</v>
      </c>
      <c r="P50" s="0" t="n">
        <f aca="false">(IF(C50="L",1,0))</f>
        <v>0</v>
      </c>
      <c r="Q50" s="0" t="n">
        <f aca="false">(IF(D50="V",1,0))</f>
        <v>1</v>
      </c>
      <c r="R50" s="0" t="n">
        <f aca="false">(IF(D50="E",1,0))</f>
        <v>0</v>
      </c>
      <c r="S50" s="0" t="n">
        <f aca="false">(IF(D50="O",1,0))</f>
        <v>0</v>
      </c>
      <c r="T50" s="0" t="n">
        <f aca="false">(IF(D50="L",1,0))</f>
        <v>0</v>
      </c>
      <c r="U50" s="0" t="n">
        <f aca="false">MAX(E50-1,0)</f>
        <v>1</v>
      </c>
      <c r="V50" s="0" t="n">
        <f aca="false">MAX(U50-1+F50,0)</f>
        <v>0</v>
      </c>
      <c r="W50" s="0" t="n">
        <f aca="false">MAX(V50-1+G50,0)</f>
        <v>0</v>
      </c>
      <c r="X50" s="0" t="n">
        <f aca="false">MAX(W50-1+H50,0)</f>
        <v>0</v>
      </c>
      <c r="Y50" s="1" t="n">
        <f aca="false">0.5*(E50*I50+F50*J50+G50*K50+H50*L50-1)+(0+$U50*J50+$V50*K50+$W50*L50)</f>
        <v>0</v>
      </c>
      <c r="Z50" s="1" t="n">
        <f aca="false">0.5*(E50*M50+F50*N50+G50*O50+H50*P50-1)+(0+$U50*N50+$V50*O50+$W50*P50)</f>
        <v>0.5</v>
      </c>
      <c r="AA50" s="1" t="n">
        <f aca="false">0.5*(E50*Q50+F50*R50+G50*S50+H50*T50-1)+(0+$U50*R50+$V50*S50+$W50*T50)</f>
        <v>0.5</v>
      </c>
      <c r="AB50" s="0" t="n">
        <f aca="false">IF(B50="V",-2,0)+IF(B50="E",-1,0)+IF(B50="O",0,0)+IF(B50="L",1,0)+Y50</f>
        <v>1</v>
      </c>
      <c r="AC50" s="0" t="n">
        <f aca="false">IF(C50="V",-2,0)+IF(C50="E",-1,0)+IF(C50="O",0,0)+IF(C50="L",1,0)+Z50</f>
        <v>-1.5</v>
      </c>
      <c r="AD50" s="0" t="n">
        <f aca="false">IF(D50="V",-2,0)+IF(D50="E",-1,0)+IF(D50="O",0,0)+IF(D50="L",1,0)+AA50</f>
        <v>-1.5</v>
      </c>
      <c r="AE50" s="1" t="n">
        <f aca="false">IF(B50="V",-2,0)+IF(B50="E",-1,0)+IF(B50="O",0,0)+IF(B50="L",1,0)</f>
        <v>1</v>
      </c>
      <c r="AF50" s="1" t="n">
        <f aca="false">IF(B50="V",-2,0)+IF(B50="E",-1,0)+IF(B50="O",0,0)+IF(B50="L",1,0)+Y50</f>
        <v>1</v>
      </c>
      <c r="AG50" s="1" t="n">
        <f aca="false">IF(B50="V",-2,0)+IF(B50="E",-1,0)+IF(B50="O",0,0)+IF(B50="L",1,0)+Y50*2</f>
        <v>1</v>
      </c>
      <c r="AH50" s="1" t="n">
        <f aca="false">IF(C50="V",-2,0)+IF(C50="E",-1,0)+IF(C50="O",0,0)+IF(C50="L",1,0)</f>
        <v>-2</v>
      </c>
      <c r="AI50" s="1" t="n">
        <f aca="false">IF(C50="V",-2,0)+IF(C50="E",-1,0)+IF(C50="O",0,0)+IF(C50="L",1,0)+Z50</f>
        <v>-1.5</v>
      </c>
      <c r="AJ50" s="1" t="n">
        <f aca="false">IF(C50="V",-2,0)+IF(C50="E",-1,0)+IF(C50="O",0,0)+IF(C50="L",1,0)+Z50*2</f>
        <v>-1</v>
      </c>
      <c r="AK50" s="1" t="n">
        <f aca="false">IF(D50="V",-2,0)+IF(D50="E",-1,0)+IF(D50="O",0,0)+IF(D50="L",1,0)</f>
        <v>-2</v>
      </c>
      <c r="AL50" s="1" t="n">
        <f aca="false">IF(D50="V",-2,0)+IF(D50="E",-1,0)+IF(D50="O",0,0)+IF(D50="L",1,0)+AA50</f>
        <v>-1.5</v>
      </c>
      <c r="AM50" s="1" t="n">
        <f aca="false">IF(D50="V",-2,0)+IF(D50="E",-1,0)+IF(D50="O",0,0)+IF(D50="L",1,0)+AA50*2</f>
        <v>-1</v>
      </c>
      <c r="AN50" s="1" t="n">
        <f aca="false">(ABS(IF(AE50&lt;0,AE50*Early,AE50*Late))+ABS(IF(AF50&lt;0,AF50*Early,AF50*Late))+ABS(IF(AG50&lt;0,AG50*Early,AG50*Late)))/3</f>
        <v>4</v>
      </c>
      <c r="AO50" s="1" t="n">
        <f aca="false">(ABS(IF(AH50&lt;0,AH50*Early,AH50*Late))+ABS(IF(AI50&lt;0,AI50*Early,AI50*Late))+ABS(IF(AJ50&lt;0,AJ50*Early,AJ50*Late)))/3</f>
        <v>4.5</v>
      </c>
      <c r="AP50" s="1" t="n">
        <f aca="false">(ABS(IF(AK50&lt;0,AK50*Early,AK50*Late))+ABS(IF(AL50&lt;0,AL50*Early,AL50*Late))+ABS(IF(AM50&lt;0,AM50*Early,AM50*Late)))/3</f>
        <v>4.5</v>
      </c>
      <c r="AQ50" s="0" t="n">
        <f aca="false">Y50*Delay+AN50</f>
        <v>4</v>
      </c>
      <c r="AR50" s="0" t="n">
        <f aca="false">Z50*Delay+AO50</f>
        <v>5</v>
      </c>
      <c r="AS50" s="0" t="n">
        <f aca="false">AA50*Delay+AP50</f>
        <v>5</v>
      </c>
      <c r="AT50" s="1" t="n">
        <f aca="false">VLOOKUP(A50,SortA!$A$1:$AT$65,46,FALSE())</f>
        <v>0</v>
      </c>
      <c r="AU50" s="1" t="n">
        <f aca="false">VLOOKUP(A50,SortB!$A$1:$AT$65,46,FALSE())</f>
        <v>0</v>
      </c>
      <c r="AV50" s="1" t="n">
        <f aca="false">VLOOKUP(A50,SortC!$A$1:$AT$65,46,FALSE())</f>
        <v>0</v>
      </c>
      <c r="AW50" s="0" t="n">
        <f aca="false">IF(SUM(AT50:AV50)=3,1,0)</f>
        <v>0</v>
      </c>
      <c r="AX50" s="0" t="str">
        <f aca="false">B50&amp;C50&amp;D50</f>
        <v>LVV</v>
      </c>
      <c r="AY50" s="1" t="n">
        <f aca="false">AQ50+AR50+AS50</f>
        <v>14</v>
      </c>
      <c r="AZ50" s="1" t="str">
        <f aca="false">RIGHT(AX50,2)</f>
        <v>VV</v>
      </c>
      <c r="BA50" s="1" t="str">
        <f aca="false">LEFT(AX50,1)&amp;RIGHT(AX50,1)</f>
        <v>LV</v>
      </c>
      <c r="BB50" s="1" t="str">
        <f aca="false">LEFT(AX50,2)</f>
        <v>LV</v>
      </c>
      <c r="BC50" s="1" t="n">
        <f aca="false">VLOOKUP(AZ50,TwoPlayers!$AG$1:$AH$17,2,FALSE())</f>
        <v>10</v>
      </c>
      <c r="BD50" s="1" t="n">
        <f aca="false">VLOOKUP(BA50,TwoPlayers!$AG$1:$AH$17,2,FALSE())</f>
        <v>10</v>
      </c>
      <c r="BE50" s="1" t="n">
        <f aca="false">VLOOKUP(BB50,TwoPlayers!$AG$1:$AH$17,2,FALSE())</f>
        <v>10</v>
      </c>
      <c r="BF50" s="1" t="n">
        <f aca="false">$AY50-BC50</f>
        <v>4</v>
      </c>
      <c r="BG50" s="1" t="n">
        <f aca="false">$AY50-BD50</f>
        <v>4</v>
      </c>
      <c r="BH50" s="1" t="n">
        <f aca="false">$AY50-BE50</f>
        <v>4</v>
      </c>
      <c r="BI50" s="0" t="str">
        <f aca="false">AX50</f>
        <v>LVV</v>
      </c>
      <c r="BJ50" s="1" t="n">
        <f aca="false">VLOOKUP(A50,SortA!$A$1:$BM$65,65,FALSE())</f>
        <v>0</v>
      </c>
      <c r="BK50" s="1" t="n">
        <f aca="false">VLOOKUP(A50,SortB!$A$1:$BM$65,65,FALSE())</f>
        <v>0</v>
      </c>
      <c r="BL50" s="1" t="n">
        <f aca="false">VLOOKUP(A50,SortC!$A$1:$BM$65,65,FALSE())</f>
        <v>0</v>
      </c>
      <c r="BM50" s="1" t="n">
        <f aca="false">IF(SUM(BJ50:BL50)=3,1,0)</f>
        <v>0</v>
      </c>
    </row>
    <row r="51" customFormat="false" ht="13" hidden="false" customHeight="false" outlineLevel="0" collapsed="false">
      <c r="A51" s="0" t="n">
        <f aca="false">A50+1</f>
        <v>50</v>
      </c>
      <c r="B51" s="0" t="s">
        <v>4</v>
      </c>
      <c r="C51" s="0" t="s">
        <v>1</v>
      </c>
      <c r="D51" s="0" t="s">
        <v>2</v>
      </c>
      <c r="E51" s="0" t="n">
        <f aca="false">(IF($B51="V",1,0))+IF($C51="V",1,0)+IF($D51="V",1,0)</f>
        <v>1</v>
      </c>
      <c r="F51" s="0" t="n">
        <f aca="false">(IF($B51="E",1,0))+IF($C51="E",1,0)+IF($D51="E",1,0)</f>
        <v>1</v>
      </c>
      <c r="G51" s="0" t="n">
        <f aca="false">(IF($B51="O",1,0))+IF($C51="O",1,0)+IF($D51="O",1,0)</f>
        <v>0</v>
      </c>
      <c r="H51" s="0" t="n">
        <f aca="false">(IF($B51="L",1,0))+IF($C51="L",1,0)+IF($D51="L",1,0)</f>
        <v>1</v>
      </c>
      <c r="I51" s="0" t="n">
        <f aca="false">(IF(B51="V",1,0))</f>
        <v>0</v>
      </c>
      <c r="J51" s="0" t="n">
        <f aca="false">(IF(B51="E",1,0))</f>
        <v>0</v>
      </c>
      <c r="K51" s="0" t="n">
        <f aca="false">(IF(B51="O",1,0))</f>
        <v>0</v>
      </c>
      <c r="L51" s="0" t="n">
        <f aca="false">(IF(B51="L",1,0))</f>
        <v>1</v>
      </c>
      <c r="M51" s="0" t="n">
        <f aca="false">(IF(C51="V",1,0))</f>
        <v>1</v>
      </c>
      <c r="N51" s="0" t="n">
        <f aca="false">(IF(C51="E",1,0))</f>
        <v>0</v>
      </c>
      <c r="O51" s="0" t="n">
        <f aca="false">(IF(C51="O",1,0))</f>
        <v>0</v>
      </c>
      <c r="P51" s="0" t="n">
        <f aca="false">(IF(C51="L",1,0))</f>
        <v>0</v>
      </c>
      <c r="Q51" s="0" t="n">
        <f aca="false">(IF(D51="V",1,0))</f>
        <v>0</v>
      </c>
      <c r="R51" s="0" t="n">
        <f aca="false">(IF(D51="E",1,0))</f>
        <v>1</v>
      </c>
      <c r="S51" s="0" t="n">
        <f aca="false">(IF(D51="O",1,0))</f>
        <v>0</v>
      </c>
      <c r="T51" s="0" t="n">
        <f aca="false">(IF(D51="L",1,0))</f>
        <v>0</v>
      </c>
      <c r="U51" s="0" t="n">
        <f aca="false">MAX(E51-1,0)</f>
        <v>0</v>
      </c>
      <c r="V51" s="0" t="n">
        <f aca="false">MAX(U51-1+F51,0)</f>
        <v>0</v>
      </c>
      <c r="W51" s="0" t="n">
        <f aca="false">MAX(V51-1+G51,0)</f>
        <v>0</v>
      </c>
      <c r="X51" s="0" t="n">
        <f aca="false">MAX(W51-1+H51,0)</f>
        <v>0</v>
      </c>
      <c r="Y51" s="1" t="n">
        <f aca="false">0.5*(E51*I51+F51*J51+G51*K51+H51*L51-1)+(0+$U51*J51+$V51*K51+$W51*L51)</f>
        <v>0</v>
      </c>
      <c r="Z51" s="1" t="n">
        <f aca="false">0.5*(E51*M51+F51*N51+G51*O51+H51*P51-1)+(0+$U51*N51+$V51*O51+$W51*P51)</f>
        <v>0</v>
      </c>
      <c r="AA51" s="1" t="n">
        <f aca="false">0.5*(E51*Q51+F51*R51+G51*S51+H51*T51-1)+(0+$U51*R51+$V51*S51+$W51*T51)</f>
        <v>0</v>
      </c>
      <c r="AB51" s="0" t="n">
        <f aca="false">IF(B51="V",-2,0)+IF(B51="E",-1,0)+IF(B51="O",0,0)+IF(B51="L",1,0)+Y51</f>
        <v>1</v>
      </c>
      <c r="AC51" s="0" t="n">
        <f aca="false">IF(C51="V",-2,0)+IF(C51="E",-1,0)+IF(C51="O",0,0)+IF(C51="L",1,0)+Z51</f>
        <v>-2</v>
      </c>
      <c r="AD51" s="0" t="n">
        <f aca="false">IF(D51="V",-2,0)+IF(D51="E",-1,0)+IF(D51="O",0,0)+IF(D51="L",1,0)+AA51</f>
        <v>-1</v>
      </c>
      <c r="AE51" s="1" t="n">
        <f aca="false">IF(B51="V",-2,0)+IF(B51="E",-1,0)+IF(B51="O",0,0)+IF(B51="L",1,0)</f>
        <v>1</v>
      </c>
      <c r="AF51" s="1" t="n">
        <f aca="false">IF(B51="V",-2,0)+IF(B51="E",-1,0)+IF(B51="O",0,0)+IF(B51="L",1,0)+Y51</f>
        <v>1</v>
      </c>
      <c r="AG51" s="1" t="n">
        <f aca="false">IF(B51="V",-2,0)+IF(B51="E",-1,0)+IF(B51="O",0,0)+IF(B51="L",1,0)+Y51*2</f>
        <v>1</v>
      </c>
      <c r="AH51" s="1" t="n">
        <f aca="false">IF(C51="V",-2,0)+IF(C51="E",-1,0)+IF(C51="O",0,0)+IF(C51="L",1,0)</f>
        <v>-2</v>
      </c>
      <c r="AI51" s="1" t="n">
        <f aca="false">IF(C51="V",-2,0)+IF(C51="E",-1,0)+IF(C51="O",0,0)+IF(C51="L",1,0)+Z51</f>
        <v>-2</v>
      </c>
      <c r="AJ51" s="1" t="n">
        <f aca="false">IF(C51="V",-2,0)+IF(C51="E",-1,0)+IF(C51="O",0,0)+IF(C51="L",1,0)+Z51*2</f>
        <v>-2</v>
      </c>
      <c r="AK51" s="1" t="n">
        <f aca="false">IF(D51="V",-2,0)+IF(D51="E",-1,0)+IF(D51="O",0,0)+IF(D51="L",1,0)</f>
        <v>-1</v>
      </c>
      <c r="AL51" s="1" t="n">
        <f aca="false">IF(D51="V",-2,0)+IF(D51="E",-1,0)+IF(D51="O",0,0)+IF(D51="L",1,0)+AA51</f>
        <v>-1</v>
      </c>
      <c r="AM51" s="1" t="n">
        <f aca="false">IF(D51="V",-2,0)+IF(D51="E",-1,0)+IF(D51="O",0,0)+IF(D51="L",1,0)+AA51*2</f>
        <v>-1</v>
      </c>
      <c r="AN51" s="1" t="n">
        <f aca="false">(ABS(IF(AE51&lt;0,AE51*Early,AE51*Late))+ABS(IF(AF51&lt;0,AF51*Early,AF51*Late))+ABS(IF(AG51&lt;0,AG51*Early,AG51*Late)))/3</f>
        <v>4</v>
      </c>
      <c r="AO51" s="1" t="n">
        <f aca="false">(ABS(IF(AH51&lt;0,AH51*Early,AH51*Late))+ABS(IF(AI51&lt;0,AI51*Early,AI51*Late))+ABS(IF(AJ51&lt;0,AJ51*Early,AJ51*Late)))/3</f>
        <v>6</v>
      </c>
      <c r="AP51" s="1" t="n">
        <f aca="false">(ABS(IF(AK51&lt;0,AK51*Early,AK51*Late))+ABS(IF(AL51&lt;0,AL51*Early,AL51*Late))+ABS(IF(AM51&lt;0,AM51*Early,AM51*Late)))/3</f>
        <v>3</v>
      </c>
      <c r="AQ51" s="0" t="n">
        <f aca="false">Y51*Delay+AN51</f>
        <v>4</v>
      </c>
      <c r="AR51" s="0" t="n">
        <f aca="false">Z51*Delay+AO51</f>
        <v>6</v>
      </c>
      <c r="AS51" s="0" t="n">
        <f aca="false">AA51*Delay+AP51</f>
        <v>3</v>
      </c>
      <c r="AT51" s="1" t="n">
        <f aca="false">VLOOKUP(A51,SortA!$A$1:$AT$65,46,FALSE())</f>
        <v>0</v>
      </c>
      <c r="AU51" s="1" t="n">
        <f aca="false">VLOOKUP(A51,SortB!$A$1:$AT$65,46,FALSE())</f>
        <v>0</v>
      </c>
      <c r="AV51" s="1" t="n">
        <f aca="false">VLOOKUP(A51,SortC!$A$1:$AT$65,46,FALSE())</f>
        <v>0</v>
      </c>
      <c r="AW51" s="0" t="n">
        <f aca="false">IF(SUM(AT51:AV51)=3,1,0)</f>
        <v>0</v>
      </c>
      <c r="AX51" s="0" t="str">
        <f aca="false">B51&amp;C51&amp;D51</f>
        <v>LVE</v>
      </c>
      <c r="AY51" s="1" t="n">
        <f aca="false">AQ51+AR51+AS51</f>
        <v>13</v>
      </c>
      <c r="AZ51" s="1" t="str">
        <f aca="false">RIGHT(AX51,2)</f>
        <v>VE</v>
      </c>
      <c r="BA51" s="1" t="str">
        <f aca="false">LEFT(AX51,1)&amp;RIGHT(AX51,1)</f>
        <v>LE</v>
      </c>
      <c r="BB51" s="1" t="str">
        <f aca="false">LEFT(AX51,2)</f>
        <v>LV</v>
      </c>
      <c r="BC51" s="1" t="n">
        <f aca="false">VLOOKUP(AZ51,TwoPlayers!$AG$1:$AH$17,2,FALSE())</f>
        <v>9</v>
      </c>
      <c r="BD51" s="1" t="n">
        <f aca="false">VLOOKUP(BA51,TwoPlayers!$AG$1:$AH$17,2,FALSE())</f>
        <v>7</v>
      </c>
      <c r="BE51" s="1" t="n">
        <f aca="false">VLOOKUP(BB51,TwoPlayers!$AG$1:$AH$17,2,FALSE())</f>
        <v>10</v>
      </c>
      <c r="BF51" s="1" t="n">
        <f aca="false">$AY51-BC51</f>
        <v>4</v>
      </c>
      <c r="BG51" s="1" t="n">
        <f aca="false">$AY51-BD51</f>
        <v>6</v>
      </c>
      <c r="BH51" s="1" t="n">
        <f aca="false">$AY51-BE51</f>
        <v>3</v>
      </c>
      <c r="BI51" s="0" t="str">
        <f aca="false">AX51</f>
        <v>LVE</v>
      </c>
      <c r="BJ51" s="1" t="n">
        <f aca="false">VLOOKUP(A51,SortA!$A$1:$BM$65,65,FALSE())</f>
        <v>0</v>
      </c>
      <c r="BK51" s="1" t="n">
        <f aca="false">VLOOKUP(A51,SortB!$A$1:$BM$65,65,FALSE())</f>
        <v>0</v>
      </c>
      <c r="BL51" s="1" t="n">
        <f aca="false">VLOOKUP(A51,SortC!$A$1:$BM$65,65,FALSE())</f>
        <v>0</v>
      </c>
      <c r="BM51" s="1" t="n">
        <f aca="false">IF(SUM(BJ51:BL51)=3,1,0)</f>
        <v>0</v>
      </c>
    </row>
    <row r="52" customFormat="false" ht="13" hidden="false" customHeight="false" outlineLevel="0" collapsed="false">
      <c r="A52" s="0" t="n">
        <f aca="false">A51+1</f>
        <v>51</v>
      </c>
      <c r="B52" s="0" t="s">
        <v>4</v>
      </c>
      <c r="C52" s="0" t="s">
        <v>1</v>
      </c>
      <c r="D52" s="0" t="s">
        <v>3</v>
      </c>
      <c r="E52" s="0" t="n">
        <f aca="false">(IF($B52="V",1,0))+IF($C52="V",1,0)+IF($D52="V",1,0)</f>
        <v>1</v>
      </c>
      <c r="F52" s="0" t="n">
        <f aca="false">(IF($B52="E",1,0))+IF($C52="E",1,0)+IF($D52="E",1,0)</f>
        <v>0</v>
      </c>
      <c r="G52" s="0" t="n">
        <f aca="false">(IF($B52="O",1,0))+IF($C52="O",1,0)+IF($D52="O",1,0)</f>
        <v>1</v>
      </c>
      <c r="H52" s="0" t="n">
        <f aca="false">(IF($B52="L",1,0))+IF($C52="L",1,0)+IF($D52="L",1,0)</f>
        <v>1</v>
      </c>
      <c r="I52" s="0" t="n">
        <f aca="false">(IF(B52="V",1,0))</f>
        <v>0</v>
      </c>
      <c r="J52" s="0" t="n">
        <f aca="false">(IF(B52="E",1,0))</f>
        <v>0</v>
      </c>
      <c r="K52" s="0" t="n">
        <f aca="false">(IF(B52="O",1,0))</f>
        <v>0</v>
      </c>
      <c r="L52" s="0" t="n">
        <f aca="false">(IF(B52="L",1,0))</f>
        <v>1</v>
      </c>
      <c r="M52" s="0" t="n">
        <f aca="false">(IF(C52="V",1,0))</f>
        <v>1</v>
      </c>
      <c r="N52" s="0" t="n">
        <f aca="false">(IF(C52="E",1,0))</f>
        <v>0</v>
      </c>
      <c r="O52" s="0" t="n">
        <f aca="false">(IF(C52="O",1,0))</f>
        <v>0</v>
      </c>
      <c r="P52" s="0" t="n">
        <f aca="false">(IF(C52="L",1,0))</f>
        <v>0</v>
      </c>
      <c r="Q52" s="0" t="n">
        <f aca="false">(IF(D52="V",1,0))</f>
        <v>0</v>
      </c>
      <c r="R52" s="0" t="n">
        <f aca="false">(IF(D52="E",1,0))</f>
        <v>0</v>
      </c>
      <c r="S52" s="0" t="n">
        <f aca="false">(IF(D52="O",1,0))</f>
        <v>1</v>
      </c>
      <c r="T52" s="0" t="n">
        <f aca="false">(IF(D52="L",1,0))</f>
        <v>0</v>
      </c>
      <c r="U52" s="0" t="n">
        <f aca="false">MAX(E52-1,0)</f>
        <v>0</v>
      </c>
      <c r="V52" s="0" t="n">
        <f aca="false">MAX(U52-1+F52,0)</f>
        <v>0</v>
      </c>
      <c r="W52" s="0" t="n">
        <f aca="false">MAX(V52-1+G52,0)</f>
        <v>0</v>
      </c>
      <c r="X52" s="0" t="n">
        <f aca="false">MAX(W52-1+H52,0)</f>
        <v>0</v>
      </c>
      <c r="Y52" s="1" t="n">
        <f aca="false">0.5*(E52*I52+F52*J52+G52*K52+H52*L52-1)+(0+$U52*J52+$V52*K52+$W52*L52)</f>
        <v>0</v>
      </c>
      <c r="Z52" s="1" t="n">
        <f aca="false">0.5*(E52*M52+F52*N52+G52*O52+H52*P52-1)+(0+$U52*N52+$V52*O52+$W52*P52)</f>
        <v>0</v>
      </c>
      <c r="AA52" s="1" t="n">
        <f aca="false">0.5*(E52*Q52+F52*R52+G52*S52+H52*T52-1)+(0+$U52*R52+$V52*S52+$W52*T52)</f>
        <v>0</v>
      </c>
      <c r="AB52" s="0" t="n">
        <f aca="false">IF(B52="V",-2,0)+IF(B52="E",-1,0)+IF(B52="O",0,0)+IF(B52="L",1,0)+Y52</f>
        <v>1</v>
      </c>
      <c r="AC52" s="0" t="n">
        <f aca="false">IF(C52="V",-2,0)+IF(C52="E",-1,0)+IF(C52="O",0,0)+IF(C52="L",1,0)+Z52</f>
        <v>-2</v>
      </c>
      <c r="AD52" s="0" t="n">
        <f aca="false">IF(D52="V",-2,0)+IF(D52="E",-1,0)+IF(D52="O",0,0)+IF(D52="L",1,0)+AA52</f>
        <v>0</v>
      </c>
      <c r="AE52" s="1" t="n">
        <f aca="false">IF(B52="V",-2,0)+IF(B52="E",-1,0)+IF(B52="O",0,0)+IF(B52="L",1,0)</f>
        <v>1</v>
      </c>
      <c r="AF52" s="1" t="n">
        <f aca="false">IF(B52="V",-2,0)+IF(B52="E",-1,0)+IF(B52="O",0,0)+IF(B52="L",1,0)+Y52</f>
        <v>1</v>
      </c>
      <c r="AG52" s="1" t="n">
        <f aca="false">IF(B52="V",-2,0)+IF(B52="E",-1,0)+IF(B52="O",0,0)+IF(B52="L",1,0)+Y52*2</f>
        <v>1</v>
      </c>
      <c r="AH52" s="1" t="n">
        <f aca="false">IF(C52="V",-2,0)+IF(C52="E",-1,0)+IF(C52="O",0,0)+IF(C52="L",1,0)</f>
        <v>-2</v>
      </c>
      <c r="AI52" s="1" t="n">
        <f aca="false">IF(C52="V",-2,0)+IF(C52="E",-1,0)+IF(C52="O",0,0)+IF(C52="L",1,0)+Z52</f>
        <v>-2</v>
      </c>
      <c r="AJ52" s="1" t="n">
        <f aca="false">IF(C52="V",-2,0)+IF(C52="E",-1,0)+IF(C52="O",0,0)+IF(C52="L",1,0)+Z52*2</f>
        <v>-2</v>
      </c>
      <c r="AK52" s="1" t="n">
        <f aca="false">IF(D52="V",-2,0)+IF(D52="E",-1,0)+IF(D52="O",0,0)+IF(D52="L",1,0)</f>
        <v>0</v>
      </c>
      <c r="AL52" s="1" t="n">
        <f aca="false">IF(D52="V",-2,0)+IF(D52="E",-1,0)+IF(D52="O",0,0)+IF(D52="L",1,0)+AA52</f>
        <v>0</v>
      </c>
      <c r="AM52" s="1" t="n">
        <f aca="false">IF(D52="V",-2,0)+IF(D52="E",-1,0)+IF(D52="O",0,0)+IF(D52="L",1,0)+AA52*2</f>
        <v>0</v>
      </c>
      <c r="AN52" s="1" t="n">
        <f aca="false">(ABS(IF(AE52&lt;0,AE52*Early,AE52*Late))+ABS(IF(AF52&lt;0,AF52*Early,AF52*Late))+ABS(IF(AG52&lt;0,AG52*Early,AG52*Late)))/3</f>
        <v>4</v>
      </c>
      <c r="AO52" s="1" t="n">
        <f aca="false">(ABS(IF(AH52&lt;0,AH52*Early,AH52*Late))+ABS(IF(AI52&lt;0,AI52*Early,AI52*Late))+ABS(IF(AJ52&lt;0,AJ52*Early,AJ52*Late)))/3</f>
        <v>6</v>
      </c>
      <c r="AP52" s="1" t="n">
        <f aca="false">(ABS(IF(AK52&lt;0,AK52*Early,AK52*Late))+ABS(IF(AL52&lt;0,AL52*Early,AL52*Late))+ABS(IF(AM52&lt;0,AM52*Early,AM52*Late)))/3</f>
        <v>0</v>
      </c>
      <c r="AQ52" s="0" t="n">
        <f aca="false">Y52*Delay+AN52</f>
        <v>4</v>
      </c>
      <c r="AR52" s="0" t="n">
        <f aca="false">Z52*Delay+AO52</f>
        <v>6</v>
      </c>
      <c r="AS52" s="0" t="n">
        <f aca="false">AA52*Delay+AP52</f>
        <v>0</v>
      </c>
      <c r="AT52" s="1" t="n">
        <f aca="false">VLOOKUP(A52,SortA!$A$1:$AT$65,46,FALSE())</f>
        <v>0</v>
      </c>
      <c r="AU52" s="1" t="n">
        <f aca="false">VLOOKUP(A52,SortB!$A$1:$AT$65,46,FALSE())</f>
        <v>0</v>
      </c>
      <c r="AV52" s="1" t="n">
        <f aca="false">VLOOKUP(A52,SortC!$A$1:$AT$65,46,FALSE())</f>
        <v>1</v>
      </c>
      <c r="AW52" s="0" t="n">
        <f aca="false">IF(SUM(AT52:AV52)=3,1,0)</f>
        <v>0</v>
      </c>
      <c r="AX52" s="0" t="str">
        <f aca="false">B52&amp;C52&amp;D52</f>
        <v>LVO</v>
      </c>
      <c r="AY52" s="1" t="n">
        <f aca="false">AQ52+AR52+AS52</f>
        <v>10</v>
      </c>
      <c r="AZ52" s="1" t="str">
        <f aca="false">RIGHT(AX52,2)</f>
        <v>VO</v>
      </c>
      <c r="BA52" s="1" t="str">
        <f aca="false">LEFT(AX52,1)&amp;RIGHT(AX52,1)</f>
        <v>LO</v>
      </c>
      <c r="BB52" s="1" t="str">
        <f aca="false">LEFT(AX52,2)</f>
        <v>LV</v>
      </c>
      <c r="BC52" s="1" t="n">
        <f aca="false">VLOOKUP(AZ52,TwoPlayers!$AG$1:$AH$17,2,FALSE())</f>
        <v>6</v>
      </c>
      <c r="BD52" s="1" t="n">
        <f aca="false">VLOOKUP(BA52,TwoPlayers!$AG$1:$AH$17,2,FALSE())</f>
        <v>4</v>
      </c>
      <c r="BE52" s="1" t="n">
        <f aca="false">VLOOKUP(BB52,TwoPlayers!$AG$1:$AH$17,2,FALSE())</f>
        <v>10</v>
      </c>
      <c r="BF52" s="1" t="n">
        <f aca="false">$AY52-BC52</f>
        <v>4</v>
      </c>
      <c r="BG52" s="1" t="n">
        <f aca="false">$AY52-BD52</f>
        <v>6</v>
      </c>
      <c r="BH52" s="1" t="n">
        <f aca="false">$AY52-BE52</f>
        <v>0</v>
      </c>
      <c r="BI52" s="0" t="str">
        <f aca="false">AX52</f>
        <v>LVO</v>
      </c>
      <c r="BJ52" s="1" t="n">
        <f aca="false">VLOOKUP(A52,SortA!$A$1:$BM$65,65,FALSE())</f>
        <v>0</v>
      </c>
      <c r="BK52" s="1" t="n">
        <f aca="false">VLOOKUP(A52,SortB!$A$1:$BM$65,65,FALSE())</f>
        <v>0</v>
      </c>
      <c r="BL52" s="1" t="n">
        <f aca="false">VLOOKUP(A52,SortC!$A$1:$BM$65,65,FALSE())</f>
        <v>1</v>
      </c>
      <c r="BM52" s="1" t="n">
        <f aca="false">IF(SUM(BJ52:BL52)=3,1,0)</f>
        <v>0</v>
      </c>
    </row>
    <row r="53" customFormat="false" ht="13" hidden="false" customHeight="false" outlineLevel="0" collapsed="false">
      <c r="A53" s="0" t="n">
        <f aca="false">A52+1</f>
        <v>52</v>
      </c>
      <c r="B53" s="0" t="s">
        <v>4</v>
      </c>
      <c r="C53" s="0" t="s">
        <v>1</v>
      </c>
      <c r="D53" s="0" t="s">
        <v>4</v>
      </c>
      <c r="E53" s="0" t="n">
        <f aca="false">(IF($B53="V",1,0))+IF($C53="V",1,0)+IF($D53="V",1,0)</f>
        <v>1</v>
      </c>
      <c r="F53" s="0" t="n">
        <f aca="false">(IF($B53="E",1,0))+IF($C53="E",1,0)+IF($D53="E",1,0)</f>
        <v>0</v>
      </c>
      <c r="G53" s="0" t="n">
        <f aca="false">(IF($B53="O",1,0))+IF($C53="O",1,0)+IF($D53="O",1,0)</f>
        <v>0</v>
      </c>
      <c r="H53" s="0" t="n">
        <f aca="false">(IF($B53="L",1,0))+IF($C53="L",1,0)+IF($D53="L",1,0)</f>
        <v>2</v>
      </c>
      <c r="I53" s="0" t="n">
        <f aca="false">(IF(B53="V",1,0))</f>
        <v>0</v>
      </c>
      <c r="J53" s="0" t="n">
        <f aca="false">(IF(B53="E",1,0))</f>
        <v>0</v>
      </c>
      <c r="K53" s="0" t="n">
        <f aca="false">(IF(B53="O",1,0))</f>
        <v>0</v>
      </c>
      <c r="L53" s="0" t="n">
        <f aca="false">(IF(B53="L",1,0))</f>
        <v>1</v>
      </c>
      <c r="M53" s="0" t="n">
        <f aca="false">(IF(C53="V",1,0))</f>
        <v>1</v>
      </c>
      <c r="N53" s="0" t="n">
        <f aca="false">(IF(C53="E",1,0))</f>
        <v>0</v>
      </c>
      <c r="O53" s="0" t="n">
        <f aca="false">(IF(C53="O",1,0))</f>
        <v>0</v>
      </c>
      <c r="P53" s="0" t="n">
        <f aca="false">(IF(C53="L",1,0))</f>
        <v>0</v>
      </c>
      <c r="Q53" s="0" t="n">
        <f aca="false">(IF(D53="V",1,0))</f>
        <v>0</v>
      </c>
      <c r="R53" s="0" t="n">
        <f aca="false">(IF(D53="E",1,0))</f>
        <v>0</v>
      </c>
      <c r="S53" s="0" t="n">
        <f aca="false">(IF(D53="O",1,0))</f>
        <v>0</v>
      </c>
      <c r="T53" s="0" t="n">
        <f aca="false">(IF(D53="L",1,0))</f>
        <v>1</v>
      </c>
      <c r="U53" s="0" t="n">
        <f aca="false">MAX(E53-1,0)</f>
        <v>0</v>
      </c>
      <c r="V53" s="0" t="n">
        <f aca="false">MAX(U53-1+F53,0)</f>
        <v>0</v>
      </c>
      <c r="W53" s="0" t="n">
        <f aca="false">MAX(V53-1+G53,0)</f>
        <v>0</v>
      </c>
      <c r="X53" s="0" t="n">
        <f aca="false">MAX(W53-1+H53,0)</f>
        <v>1</v>
      </c>
      <c r="Y53" s="1" t="n">
        <f aca="false">0.5*(E53*I53+F53*J53+G53*K53+H53*L53-1)+(0+$U53*J53+$V53*K53+$W53*L53)</f>
        <v>0.5</v>
      </c>
      <c r="Z53" s="1" t="n">
        <f aca="false">0.5*(E53*M53+F53*N53+G53*O53+H53*P53-1)+(0+$U53*N53+$V53*O53+$W53*P53)</f>
        <v>0</v>
      </c>
      <c r="AA53" s="1" t="n">
        <f aca="false">0.5*(E53*Q53+F53*R53+G53*S53+H53*T53-1)+(0+$U53*R53+$V53*S53+$W53*T53)</f>
        <v>0.5</v>
      </c>
      <c r="AB53" s="0" t="n">
        <f aca="false">IF(B53="V",-2,0)+IF(B53="E",-1,0)+IF(B53="O",0,0)+IF(B53="L",1,0)+Y53</f>
        <v>1.5</v>
      </c>
      <c r="AC53" s="0" t="n">
        <f aca="false">IF(C53="V",-2,0)+IF(C53="E",-1,0)+IF(C53="O",0,0)+IF(C53="L",1,0)+Z53</f>
        <v>-2</v>
      </c>
      <c r="AD53" s="0" t="n">
        <f aca="false">IF(D53="V",-2,0)+IF(D53="E",-1,0)+IF(D53="O",0,0)+IF(D53="L",1,0)+AA53</f>
        <v>1.5</v>
      </c>
      <c r="AE53" s="1" t="n">
        <f aca="false">IF(B53="V",-2,0)+IF(B53="E",-1,0)+IF(B53="O",0,0)+IF(B53="L",1,0)</f>
        <v>1</v>
      </c>
      <c r="AF53" s="1" t="n">
        <f aca="false">IF(B53="V",-2,0)+IF(B53="E",-1,0)+IF(B53="O",0,0)+IF(B53="L",1,0)+Y53</f>
        <v>1.5</v>
      </c>
      <c r="AG53" s="1" t="n">
        <f aca="false">IF(B53="V",-2,0)+IF(B53="E",-1,0)+IF(B53="O",0,0)+IF(B53="L",1,0)+Y53*2</f>
        <v>2</v>
      </c>
      <c r="AH53" s="1" t="n">
        <f aca="false">IF(C53="V",-2,0)+IF(C53="E",-1,0)+IF(C53="O",0,0)+IF(C53="L",1,0)</f>
        <v>-2</v>
      </c>
      <c r="AI53" s="1" t="n">
        <f aca="false">IF(C53="V",-2,0)+IF(C53="E",-1,0)+IF(C53="O",0,0)+IF(C53="L",1,0)+Z53</f>
        <v>-2</v>
      </c>
      <c r="AJ53" s="1" t="n">
        <f aca="false">IF(C53="V",-2,0)+IF(C53="E",-1,0)+IF(C53="O",0,0)+IF(C53="L",1,0)+Z53*2</f>
        <v>-2</v>
      </c>
      <c r="AK53" s="1" t="n">
        <f aca="false">IF(D53="V",-2,0)+IF(D53="E",-1,0)+IF(D53="O",0,0)+IF(D53="L",1,0)</f>
        <v>1</v>
      </c>
      <c r="AL53" s="1" t="n">
        <f aca="false">IF(D53="V",-2,0)+IF(D53="E",-1,0)+IF(D53="O",0,0)+IF(D53="L",1,0)+AA53</f>
        <v>1.5</v>
      </c>
      <c r="AM53" s="1" t="n">
        <f aca="false">IF(D53="V",-2,0)+IF(D53="E",-1,0)+IF(D53="O",0,0)+IF(D53="L",1,0)+AA53*2</f>
        <v>2</v>
      </c>
      <c r="AN53" s="1" t="n">
        <f aca="false">(ABS(IF(AE53&lt;0,AE53*Early,AE53*Late))+ABS(IF(AF53&lt;0,AF53*Early,AF53*Late))+ABS(IF(AG53&lt;0,AG53*Early,AG53*Late)))/3</f>
        <v>6</v>
      </c>
      <c r="AO53" s="1" t="n">
        <f aca="false">(ABS(IF(AH53&lt;0,AH53*Early,AH53*Late))+ABS(IF(AI53&lt;0,AI53*Early,AI53*Late))+ABS(IF(AJ53&lt;0,AJ53*Early,AJ53*Late)))/3</f>
        <v>6</v>
      </c>
      <c r="AP53" s="1" t="n">
        <f aca="false">(ABS(IF(AK53&lt;0,AK53*Early,AK53*Late))+ABS(IF(AL53&lt;0,AL53*Early,AL53*Late))+ABS(IF(AM53&lt;0,AM53*Early,AM53*Late)))/3</f>
        <v>6</v>
      </c>
      <c r="AQ53" s="0" t="n">
        <f aca="false">Y53*Delay+AN53</f>
        <v>6.5</v>
      </c>
      <c r="AR53" s="0" t="n">
        <f aca="false">Z53*Delay+AO53</f>
        <v>6</v>
      </c>
      <c r="AS53" s="0" t="n">
        <f aca="false">AA53*Delay+AP53</f>
        <v>6.5</v>
      </c>
      <c r="AT53" s="1" t="n">
        <f aca="false">VLOOKUP(A53,SortA!$A$1:$AT$65,46,FALSE())</f>
        <v>0</v>
      </c>
      <c r="AU53" s="1" t="n">
        <f aca="false">VLOOKUP(A53,SortB!$A$1:$AT$65,46,FALSE())</f>
        <v>0</v>
      </c>
      <c r="AV53" s="1" t="n">
        <f aca="false">VLOOKUP(A53,SortC!$A$1:$AT$65,46,FALSE())</f>
        <v>0</v>
      </c>
      <c r="AW53" s="0" t="n">
        <f aca="false">IF(SUM(AT53:AV53)=3,1,0)</f>
        <v>0</v>
      </c>
      <c r="AX53" s="0" t="str">
        <f aca="false">B53&amp;C53&amp;D53</f>
        <v>LVL</v>
      </c>
      <c r="AY53" s="1" t="n">
        <f aca="false">AQ53+AR53+AS53</f>
        <v>19</v>
      </c>
      <c r="AZ53" s="1" t="str">
        <f aca="false">RIGHT(AX53,2)</f>
        <v>VL</v>
      </c>
      <c r="BA53" s="1" t="str">
        <f aca="false">LEFT(AX53,1)&amp;RIGHT(AX53,1)</f>
        <v>LL</v>
      </c>
      <c r="BB53" s="1" t="str">
        <f aca="false">LEFT(AX53,2)</f>
        <v>LV</v>
      </c>
      <c r="BC53" s="1" t="n">
        <f aca="false">VLOOKUP(AZ53,TwoPlayers!$AG$1:$AH$17,2,FALSE())</f>
        <v>10</v>
      </c>
      <c r="BD53" s="1" t="n">
        <f aca="false">VLOOKUP(BA53,TwoPlayers!$AG$1:$AH$17,2,FALSE())</f>
        <v>13</v>
      </c>
      <c r="BE53" s="1" t="n">
        <f aca="false">VLOOKUP(BB53,TwoPlayers!$AG$1:$AH$17,2,FALSE())</f>
        <v>10</v>
      </c>
      <c r="BF53" s="1" t="n">
        <f aca="false">$AY53-BC53</f>
        <v>9</v>
      </c>
      <c r="BG53" s="1" t="n">
        <f aca="false">$AY53-BD53</f>
        <v>6</v>
      </c>
      <c r="BH53" s="1" t="n">
        <f aca="false">$AY53-BE53</f>
        <v>9</v>
      </c>
      <c r="BI53" s="0" t="str">
        <f aca="false">AX53</f>
        <v>LVL</v>
      </c>
      <c r="BJ53" s="1" t="n">
        <f aca="false">VLOOKUP(A53,SortA!$A$1:$BM$65,65,FALSE())</f>
        <v>0</v>
      </c>
      <c r="BK53" s="1" t="n">
        <f aca="false">VLOOKUP(A53,SortB!$A$1:$BM$65,65,FALSE())</f>
        <v>0</v>
      </c>
      <c r="BL53" s="1" t="n">
        <f aca="false">VLOOKUP(A53,SortC!$A$1:$BM$65,65,FALSE())</f>
        <v>0</v>
      </c>
      <c r="BM53" s="1" t="n">
        <f aca="false">IF(SUM(BJ53:BL53)=3,1,0)</f>
        <v>0</v>
      </c>
    </row>
    <row r="54" customFormat="false" ht="13" hidden="false" customHeight="false" outlineLevel="0" collapsed="false">
      <c r="A54" s="0" t="n">
        <f aca="false">A53+1</f>
        <v>53</v>
      </c>
      <c r="B54" s="0" t="s">
        <v>4</v>
      </c>
      <c r="C54" s="0" t="s">
        <v>2</v>
      </c>
      <c r="D54" s="0" t="s">
        <v>1</v>
      </c>
      <c r="E54" s="0" t="n">
        <f aca="false">(IF($B54="V",1,0))+IF($C54="V",1,0)+IF($D54="V",1,0)</f>
        <v>1</v>
      </c>
      <c r="F54" s="0" t="n">
        <f aca="false">(IF($B54="E",1,0))+IF($C54="E",1,0)+IF($D54="E",1,0)</f>
        <v>1</v>
      </c>
      <c r="G54" s="0" t="n">
        <f aca="false">(IF($B54="O",1,0))+IF($C54="O",1,0)+IF($D54="O",1,0)</f>
        <v>0</v>
      </c>
      <c r="H54" s="0" t="n">
        <f aca="false">(IF($B54="L",1,0))+IF($C54="L",1,0)+IF($D54="L",1,0)</f>
        <v>1</v>
      </c>
      <c r="I54" s="0" t="n">
        <f aca="false">(IF(B54="V",1,0))</f>
        <v>0</v>
      </c>
      <c r="J54" s="0" t="n">
        <f aca="false">(IF(B54="E",1,0))</f>
        <v>0</v>
      </c>
      <c r="K54" s="0" t="n">
        <f aca="false">(IF(B54="O",1,0))</f>
        <v>0</v>
      </c>
      <c r="L54" s="0" t="n">
        <f aca="false">(IF(B54="L",1,0))</f>
        <v>1</v>
      </c>
      <c r="M54" s="0" t="n">
        <f aca="false">(IF(C54="V",1,0))</f>
        <v>0</v>
      </c>
      <c r="N54" s="0" t="n">
        <f aca="false">(IF(C54="E",1,0))</f>
        <v>1</v>
      </c>
      <c r="O54" s="0" t="n">
        <f aca="false">(IF(C54="O",1,0))</f>
        <v>0</v>
      </c>
      <c r="P54" s="0" t="n">
        <f aca="false">(IF(C54="L",1,0))</f>
        <v>0</v>
      </c>
      <c r="Q54" s="0" t="n">
        <f aca="false">(IF(D54="V",1,0))</f>
        <v>1</v>
      </c>
      <c r="R54" s="0" t="n">
        <f aca="false">(IF(D54="E",1,0))</f>
        <v>0</v>
      </c>
      <c r="S54" s="0" t="n">
        <f aca="false">(IF(D54="O",1,0))</f>
        <v>0</v>
      </c>
      <c r="T54" s="0" t="n">
        <f aca="false">(IF(D54="L",1,0))</f>
        <v>0</v>
      </c>
      <c r="U54" s="0" t="n">
        <f aca="false">MAX(E54-1,0)</f>
        <v>0</v>
      </c>
      <c r="V54" s="0" t="n">
        <f aca="false">MAX(U54-1+F54,0)</f>
        <v>0</v>
      </c>
      <c r="W54" s="0" t="n">
        <f aca="false">MAX(V54-1+G54,0)</f>
        <v>0</v>
      </c>
      <c r="X54" s="0" t="n">
        <f aca="false">MAX(W54-1+H54,0)</f>
        <v>0</v>
      </c>
      <c r="Y54" s="1" t="n">
        <f aca="false">0.5*(E54*I54+F54*J54+G54*K54+H54*L54-1)+(0+$U54*J54+$V54*K54+$W54*L54)</f>
        <v>0</v>
      </c>
      <c r="Z54" s="1" t="n">
        <f aca="false">0.5*(E54*M54+F54*N54+G54*O54+H54*P54-1)+(0+$U54*N54+$V54*O54+$W54*P54)</f>
        <v>0</v>
      </c>
      <c r="AA54" s="1" t="n">
        <f aca="false">0.5*(E54*Q54+F54*R54+G54*S54+H54*T54-1)+(0+$U54*R54+$V54*S54+$W54*T54)</f>
        <v>0</v>
      </c>
      <c r="AB54" s="0" t="n">
        <f aca="false">IF(B54="V",-2,0)+IF(B54="E",-1,0)+IF(B54="O",0,0)+IF(B54="L",1,0)+Y54</f>
        <v>1</v>
      </c>
      <c r="AC54" s="0" t="n">
        <f aca="false">IF(C54="V",-2,0)+IF(C54="E",-1,0)+IF(C54="O",0,0)+IF(C54="L",1,0)+Z54</f>
        <v>-1</v>
      </c>
      <c r="AD54" s="0" t="n">
        <f aca="false">IF(D54="V",-2,0)+IF(D54="E",-1,0)+IF(D54="O",0,0)+IF(D54="L",1,0)+AA54</f>
        <v>-2</v>
      </c>
      <c r="AE54" s="1" t="n">
        <f aca="false">IF(B54="V",-2,0)+IF(B54="E",-1,0)+IF(B54="O",0,0)+IF(B54="L",1,0)</f>
        <v>1</v>
      </c>
      <c r="AF54" s="1" t="n">
        <f aca="false">IF(B54="V",-2,0)+IF(B54="E",-1,0)+IF(B54="O",0,0)+IF(B54="L",1,0)+Y54</f>
        <v>1</v>
      </c>
      <c r="AG54" s="1" t="n">
        <f aca="false">IF(B54="V",-2,0)+IF(B54="E",-1,0)+IF(B54="O",0,0)+IF(B54="L",1,0)+Y54*2</f>
        <v>1</v>
      </c>
      <c r="AH54" s="1" t="n">
        <f aca="false">IF(C54="V",-2,0)+IF(C54="E",-1,0)+IF(C54="O",0,0)+IF(C54="L",1,0)</f>
        <v>-1</v>
      </c>
      <c r="AI54" s="1" t="n">
        <f aca="false">IF(C54="V",-2,0)+IF(C54="E",-1,0)+IF(C54="O",0,0)+IF(C54="L",1,0)+Z54</f>
        <v>-1</v>
      </c>
      <c r="AJ54" s="1" t="n">
        <f aca="false">IF(C54="V",-2,0)+IF(C54="E",-1,0)+IF(C54="O",0,0)+IF(C54="L",1,0)+Z54*2</f>
        <v>-1</v>
      </c>
      <c r="AK54" s="1" t="n">
        <f aca="false">IF(D54="V",-2,0)+IF(D54="E",-1,0)+IF(D54="O",0,0)+IF(D54="L",1,0)</f>
        <v>-2</v>
      </c>
      <c r="AL54" s="1" t="n">
        <f aca="false">IF(D54="V",-2,0)+IF(D54="E",-1,0)+IF(D54="O",0,0)+IF(D54="L",1,0)+AA54</f>
        <v>-2</v>
      </c>
      <c r="AM54" s="1" t="n">
        <f aca="false">IF(D54="V",-2,0)+IF(D54="E",-1,0)+IF(D54="O",0,0)+IF(D54="L",1,0)+AA54*2</f>
        <v>-2</v>
      </c>
      <c r="AN54" s="1" t="n">
        <f aca="false">(ABS(IF(AE54&lt;0,AE54*Early,AE54*Late))+ABS(IF(AF54&lt;0,AF54*Early,AF54*Late))+ABS(IF(AG54&lt;0,AG54*Early,AG54*Late)))/3</f>
        <v>4</v>
      </c>
      <c r="AO54" s="1" t="n">
        <f aca="false">(ABS(IF(AH54&lt;0,AH54*Early,AH54*Late))+ABS(IF(AI54&lt;0,AI54*Early,AI54*Late))+ABS(IF(AJ54&lt;0,AJ54*Early,AJ54*Late)))/3</f>
        <v>3</v>
      </c>
      <c r="AP54" s="1" t="n">
        <f aca="false">(ABS(IF(AK54&lt;0,AK54*Early,AK54*Late))+ABS(IF(AL54&lt;0,AL54*Early,AL54*Late))+ABS(IF(AM54&lt;0,AM54*Early,AM54*Late)))/3</f>
        <v>6</v>
      </c>
      <c r="AQ54" s="0" t="n">
        <f aca="false">Y54*Delay+AN54</f>
        <v>4</v>
      </c>
      <c r="AR54" s="0" t="n">
        <f aca="false">Z54*Delay+AO54</f>
        <v>3</v>
      </c>
      <c r="AS54" s="0" t="n">
        <f aca="false">AA54*Delay+AP54</f>
        <v>6</v>
      </c>
      <c r="AT54" s="1" t="n">
        <f aca="false">VLOOKUP(A54,SortA!$A$1:$AT$65,46,FALSE())</f>
        <v>0</v>
      </c>
      <c r="AU54" s="1" t="n">
        <f aca="false">VLOOKUP(A54,SortB!$A$1:$AT$65,46,FALSE())</f>
        <v>0</v>
      </c>
      <c r="AV54" s="1" t="n">
        <f aca="false">VLOOKUP(A54,SortC!$A$1:$AT$65,46,FALSE())</f>
        <v>0</v>
      </c>
      <c r="AW54" s="0" t="n">
        <f aca="false">IF(SUM(AT54:AV54)=3,1,0)</f>
        <v>0</v>
      </c>
      <c r="AX54" s="0" t="str">
        <f aca="false">B54&amp;C54&amp;D54</f>
        <v>LEV</v>
      </c>
      <c r="AY54" s="1" t="n">
        <f aca="false">AQ54+AR54+AS54</f>
        <v>13</v>
      </c>
      <c r="AZ54" s="1" t="str">
        <f aca="false">RIGHT(AX54,2)</f>
        <v>EV</v>
      </c>
      <c r="BA54" s="1" t="str">
        <f aca="false">LEFT(AX54,1)&amp;RIGHT(AX54,1)</f>
        <v>LV</v>
      </c>
      <c r="BB54" s="1" t="str">
        <f aca="false">LEFT(AX54,2)</f>
        <v>LE</v>
      </c>
      <c r="BC54" s="1" t="n">
        <f aca="false">VLOOKUP(AZ54,TwoPlayers!$AG$1:$AH$17,2,FALSE())</f>
        <v>9</v>
      </c>
      <c r="BD54" s="1" t="n">
        <f aca="false">VLOOKUP(BA54,TwoPlayers!$AG$1:$AH$17,2,FALSE())</f>
        <v>10</v>
      </c>
      <c r="BE54" s="1" t="n">
        <f aca="false">VLOOKUP(BB54,TwoPlayers!$AG$1:$AH$17,2,FALSE())</f>
        <v>7</v>
      </c>
      <c r="BF54" s="1" t="n">
        <f aca="false">$AY54-BC54</f>
        <v>4</v>
      </c>
      <c r="BG54" s="1" t="n">
        <f aca="false">$AY54-BD54</f>
        <v>3</v>
      </c>
      <c r="BH54" s="1" t="n">
        <f aca="false">$AY54-BE54</f>
        <v>6</v>
      </c>
      <c r="BI54" s="0" t="str">
        <f aca="false">AX54</f>
        <v>LEV</v>
      </c>
      <c r="BJ54" s="1" t="n">
        <f aca="false">VLOOKUP(A54,SortA!$A$1:$BM$65,65,FALSE())</f>
        <v>0</v>
      </c>
      <c r="BK54" s="1" t="n">
        <f aca="false">VLOOKUP(A54,SortB!$A$1:$BM$65,65,FALSE())</f>
        <v>0</v>
      </c>
      <c r="BL54" s="1" t="n">
        <f aca="false">VLOOKUP(A54,SortC!$A$1:$BM$65,65,FALSE())</f>
        <v>0</v>
      </c>
      <c r="BM54" s="1" t="n">
        <f aca="false">IF(SUM(BJ54:BL54)=3,1,0)</f>
        <v>0</v>
      </c>
    </row>
    <row r="55" customFormat="false" ht="13" hidden="false" customHeight="false" outlineLevel="0" collapsed="false">
      <c r="A55" s="0" t="n">
        <f aca="false">A54+1</f>
        <v>54</v>
      </c>
      <c r="B55" s="0" t="s">
        <v>4</v>
      </c>
      <c r="C55" s="0" t="s">
        <v>2</v>
      </c>
      <c r="D55" s="0" t="s">
        <v>2</v>
      </c>
      <c r="E55" s="0" t="n">
        <f aca="false">(IF($B55="V",1,0))+IF($C55="V",1,0)+IF($D55="V",1,0)</f>
        <v>0</v>
      </c>
      <c r="F55" s="0" t="n">
        <f aca="false">(IF($B55="E",1,0))+IF($C55="E",1,0)+IF($D55="E",1,0)</f>
        <v>2</v>
      </c>
      <c r="G55" s="0" t="n">
        <f aca="false">(IF($B55="O",1,0))+IF($C55="O",1,0)+IF($D55="O",1,0)</f>
        <v>0</v>
      </c>
      <c r="H55" s="0" t="n">
        <f aca="false">(IF($B55="L",1,0))+IF($C55="L",1,0)+IF($D55="L",1,0)</f>
        <v>1</v>
      </c>
      <c r="I55" s="0" t="n">
        <f aca="false">(IF(B55="V",1,0))</f>
        <v>0</v>
      </c>
      <c r="J55" s="0" t="n">
        <f aca="false">(IF(B55="E",1,0))</f>
        <v>0</v>
      </c>
      <c r="K55" s="0" t="n">
        <f aca="false">(IF(B55="O",1,0))</f>
        <v>0</v>
      </c>
      <c r="L55" s="0" t="n">
        <f aca="false">(IF(B55="L",1,0))</f>
        <v>1</v>
      </c>
      <c r="M55" s="0" t="n">
        <f aca="false">(IF(C55="V",1,0))</f>
        <v>0</v>
      </c>
      <c r="N55" s="0" t="n">
        <f aca="false">(IF(C55="E",1,0))</f>
        <v>1</v>
      </c>
      <c r="O55" s="0" t="n">
        <f aca="false">(IF(C55="O",1,0))</f>
        <v>0</v>
      </c>
      <c r="P55" s="0" t="n">
        <f aca="false">(IF(C55="L",1,0))</f>
        <v>0</v>
      </c>
      <c r="Q55" s="0" t="n">
        <f aca="false">(IF(D55="V",1,0))</f>
        <v>0</v>
      </c>
      <c r="R55" s="0" t="n">
        <f aca="false">(IF(D55="E",1,0))</f>
        <v>1</v>
      </c>
      <c r="S55" s="0" t="n">
        <f aca="false">(IF(D55="O",1,0))</f>
        <v>0</v>
      </c>
      <c r="T55" s="0" t="n">
        <f aca="false">(IF(D55="L",1,0))</f>
        <v>0</v>
      </c>
      <c r="U55" s="0" t="n">
        <f aca="false">MAX(E55-1,0)</f>
        <v>0</v>
      </c>
      <c r="V55" s="0" t="n">
        <f aca="false">MAX(U55-1+F55,0)</f>
        <v>1</v>
      </c>
      <c r="W55" s="0" t="n">
        <f aca="false">MAX(V55-1+G55,0)</f>
        <v>0</v>
      </c>
      <c r="X55" s="0" t="n">
        <f aca="false">MAX(W55-1+H55,0)</f>
        <v>0</v>
      </c>
      <c r="Y55" s="1" t="n">
        <f aca="false">0.5*(E55*I55+F55*J55+G55*K55+H55*L55-1)+(0+$U55*J55+$V55*K55+$W55*L55)</f>
        <v>0</v>
      </c>
      <c r="Z55" s="1" t="n">
        <f aca="false">0.5*(E55*M55+F55*N55+G55*O55+H55*P55-1)+(0+$U55*N55+$V55*O55+$W55*P55)</f>
        <v>0.5</v>
      </c>
      <c r="AA55" s="1" t="n">
        <f aca="false">0.5*(E55*Q55+F55*R55+G55*S55+H55*T55-1)+(0+$U55*R55+$V55*S55+$W55*T55)</f>
        <v>0.5</v>
      </c>
      <c r="AB55" s="0" t="n">
        <f aca="false">IF(B55="V",-2,0)+IF(B55="E",-1,0)+IF(B55="O",0,0)+IF(B55="L",1,0)+Y55</f>
        <v>1</v>
      </c>
      <c r="AC55" s="0" t="n">
        <f aca="false">IF(C55="V",-2,0)+IF(C55="E",-1,0)+IF(C55="O",0,0)+IF(C55="L",1,0)+Z55</f>
        <v>-0.5</v>
      </c>
      <c r="AD55" s="0" t="n">
        <f aca="false">IF(D55="V",-2,0)+IF(D55="E",-1,0)+IF(D55="O",0,0)+IF(D55="L",1,0)+AA55</f>
        <v>-0.5</v>
      </c>
      <c r="AE55" s="1" t="n">
        <f aca="false">IF(B55="V",-2,0)+IF(B55="E",-1,0)+IF(B55="O",0,0)+IF(B55="L",1,0)</f>
        <v>1</v>
      </c>
      <c r="AF55" s="1" t="n">
        <f aca="false">IF(B55="V",-2,0)+IF(B55="E",-1,0)+IF(B55="O",0,0)+IF(B55="L",1,0)+Y55</f>
        <v>1</v>
      </c>
      <c r="AG55" s="1" t="n">
        <f aca="false">IF(B55="V",-2,0)+IF(B55="E",-1,0)+IF(B55="O",0,0)+IF(B55="L",1,0)+Y55*2</f>
        <v>1</v>
      </c>
      <c r="AH55" s="1" t="n">
        <f aca="false">IF(C55="V",-2,0)+IF(C55="E",-1,0)+IF(C55="O",0,0)+IF(C55="L",1,0)</f>
        <v>-1</v>
      </c>
      <c r="AI55" s="1" t="n">
        <f aca="false">IF(C55="V",-2,0)+IF(C55="E",-1,0)+IF(C55="O",0,0)+IF(C55="L",1,0)+Z55</f>
        <v>-0.5</v>
      </c>
      <c r="AJ55" s="1" t="n">
        <f aca="false">IF(C55="V",-2,0)+IF(C55="E",-1,0)+IF(C55="O",0,0)+IF(C55="L",1,0)+Z55*2</f>
        <v>0</v>
      </c>
      <c r="AK55" s="1" t="n">
        <f aca="false">IF(D55="V",-2,0)+IF(D55="E",-1,0)+IF(D55="O",0,0)+IF(D55="L",1,0)</f>
        <v>-1</v>
      </c>
      <c r="AL55" s="1" t="n">
        <f aca="false">IF(D55="V",-2,0)+IF(D55="E",-1,0)+IF(D55="O",0,0)+IF(D55="L",1,0)+AA55</f>
        <v>-0.5</v>
      </c>
      <c r="AM55" s="1" t="n">
        <f aca="false">IF(D55="V",-2,0)+IF(D55="E",-1,0)+IF(D55="O",0,0)+IF(D55="L",1,0)+AA55*2</f>
        <v>0</v>
      </c>
      <c r="AN55" s="1" t="n">
        <f aca="false">(ABS(IF(AE55&lt;0,AE55*Early,AE55*Late))+ABS(IF(AF55&lt;0,AF55*Early,AF55*Late))+ABS(IF(AG55&lt;0,AG55*Early,AG55*Late)))/3</f>
        <v>4</v>
      </c>
      <c r="AO55" s="1" t="n">
        <f aca="false">(ABS(IF(AH55&lt;0,AH55*Early,AH55*Late))+ABS(IF(AI55&lt;0,AI55*Early,AI55*Late))+ABS(IF(AJ55&lt;0,AJ55*Early,AJ55*Late)))/3</f>
        <v>1.5</v>
      </c>
      <c r="AP55" s="1" t="n">
        <f aca="false">(ABS(IF(AK55&lt;0,AK55*Early,AK55*Late))+ABS(IF(AL55&lt;0,AL55*Early,AL55*Late))+ABS(IF(AM55&lt;0,AM55*Early,AM55*Late)))/3</f>
        <v>1.5</v>
      </c>
      <c r="AQ55" s="0" t="n">
        <f aca="false">Y55*Delay+AN55</f>
        <v>4</v>
      </c>
      <c r="AR55" s="0" t="n">
        <f aca="false">Z55*Delay+AO55</f>
        <v>2</v>
      </c>
      <c r="AS55" s="0" t="n">
        <f aca="false">AA55*Delay+AP55</f>
        <v>2</v>
      </c>
      <c r="AT55" s="1" t="n">
        <f aca="false">VLOOKUP(A55,SortA!$A$1:$AT$65,46,FALSE())</f>
        <v>0</v>
      </c>
      <c r="AU55" s="1" t="n">
        <f aca="false">VLOOKUP(A55,SortB!$A$1:$AT$65,46,FALSE())</f>
        <v>0</v>
      </c>
      <c r="AV55" s="1" t="n">
        <f aca="false">VLOOKUP(A55,SortC!$A$1:$AT$65,46,FALSE())</f>
        <v>0</v>
      </c>
      <c r="AW55" s="0" t="n">
        <f aca="false">IF(SUM(AT55:AV55)=3,1,0)</f>
        <v>0</v>
      </c>
      <c r="AX55" s="0" t="str">
        <f aca="false">B55&amp;C55&amp;D55</f>
        <v>LEE</v>
      </c>
      <c r="AY55" s="1" t="n">
        <f aca="false">AQ55+AR55+AS55</f>
        <v>8</v>
      </c>
      <c r="AZ55" s="1" t="str">
        <f aca="false">RIGHT(AX55,2)</f>
        <v>EE</v>
      </c>
      <c r="BA55" s="1" t="str">
        <f aca="false">LEFT(AX55,1)&amp;RIGHT(AX55,1)</f>
        <v>LE</v>
      </c>
      <c r="BB55" s="1" t="str">
        <f aca="false">LEFT(AX55,2)</f>
        <v>LE</v>
      </c>
      <c r="BC55" s="1" t="n">
        <f aca="false">VLOOKUP(AZ55,TwoPlayers!$AG$1:$AH$17,2,FALSE())</f>
        <v>4</v>
      </c>
      <c r="BD55" s="1" t="n">
        <f aca="false">VLOOKUP(BA55,TwoPlayers!$AG$1:$AH$17,2,FALSE())</f>
        <v>7</v>
      </c>
      <c r="BE55" s="1" t="n">
        <f aca="false">VLOOKUP(BB55,TwoPlayers!$AG$1:$AH$17,2,FALSE())</f>
        <v>7</v>
      </c>
      <c r="BF55" s="1" t="n">
        <f aca="false">$AY55-BC55</f>
        <v>4</v>
      </c>
      <c r="BG55" s="1" t="n">
        <f aca="false">$AY55-BD55</f>
        <v>1</v>
      </c>
      <c r="BH55" s="1" t="n">
        <f aca="false">$AY55-BE55</f>
        <v>1</v>
      </c>
      <c r="BI55" s="0" t="str">
        <f aca="false">AX55</f>
        <v>LEE</v>
      </c>
      <c r="BJ55" s="1" t="n">
        <f aca="false">VLOOKUP(A55,SortA!$A$1:$BM$65,65,FALSE())</f>
        <v>1</v>
      </c>
      <c r="BK55" s="1" t="n">
        <f aca="false">VLOOKUP(A55,SortB!$A$1:$BM$65,65,FALSE())</f>
        <v>0</v>
      </c>
      <c r="BL55" s="1" t="n">
        <f aca="false">VLOOKUP(A55,SortC!$A$1:$BM$65,65,FALSE())</f>
        <v>0</v>
      </c>
      <c r="BM55" s="1" t="n">
        <f aca="false">IF(SUM(BJ55:BL55)=3,1,0)</f>
        <v>0</v>
      </c>
    </row>
    <row r="56" customFormat="false" ht="13" hidden="false" customHeight="false" outlineLevel="0" collapsed="false">
      <c r="A56" s="0" t="n">
        <f aca="false">A55+1</f>
        <v>55</v>
      </c>
      <c r="B56" s="0" t="s">
        <v>4</v>
      </c>
      <c r="C56" s="0" t="s">
        <v>2</v>
      </c>
      <c r="D56" s="0" t="s">
        <v>3</v>
      </c>
      <c r="E56" s="0" t="n">
        <f aca="false">(IF($B56="V",1,0))+IF($C56="V",1,0)+IF($D56="V",1,0)</f>
        <v>0</v>
      </c>
      <c r="F56" s="0" t="n">
        <f aca="false">(IF($B56="E",1,0))+IF($C56="E",1,0)+IF($D56="E",1,0)</f>
        <v>1</v>
      </c>
      <c r="G56" s="0" t="n">
        <f aca="false">(IF($B56="O",1,0))+IF($C56="O",1,0)+IF($D56="O",1,0)</f>
        <v>1</v>
      </c>
      <c r="H56" s="0" t="n">
        <f aca="false">(IF($B56="L",1,0))+IF($C56="L",1,0)+IF($D56="L",1,0)</f>
        <v>1</v>
      </c>
      <c r="I56" s="0" t="n">
        <f aca="false">(IF(B56="V",1,0))</f>
        <v>0</v>
      </c>
      <c r="J56" s="0" t="n">
        <f aca="false">(IF(B56="E",1,0))</f>
        <v>0</v>
      </c>
      <c r="K56" s="0" t="n">
        <f aca="false">(IF(B56="O",1,0))</f>
        <v>0</v>
      </c>
      <c r="L56" s="0" t="n">
        <f aca="false">(IF(B56="L",1,0))</f>
        <v>1</v>
      </c>
      <c r="M56" s="0" t="n">
        <f aca="false">(IF(C56="V",1,0))</f>
        <v>0</v>
      </c>
      <c r="N56" s="0" t="n">
        <f aca="false">(IF(C56="E",1,0))</f>
        <v>1</v>
      </c>
      <c r="O56" s="0" t="n">
        <f aca="false">(IF(C56="O",1,0))</f>
        <v>0</v>
      </c>
      <c r="P56" s="0" t="n">
        <f aca="false">(IF(C56="L",1,0))</f>
        <v>0</v>
      </c>
      <c r="Q56" s="0" t="n">
        <f aca="false">(IF(D56="V",1,0))</f>
        <v>0</v>
      </c>
      <c r="R56" s="0" t="n">
        <f aca="false">(IF(D56="E",1,0))</f>
        <v>0</v>
      </c>
      <c r="S56" s="0" t="n">
        <f aca="false">(IF(D56="O",1,0))</f>
        <v>1</v>
      </c>
      <c r="T56" s="0" t="n">
        <f aca="false">(IF(D56="L",1,0))</f>
        <v>0</v>
      </c>
      <c r="U56" s="0" t="n">
        <f aca="false">MAX(E56-1,0)</f>
        <v>0</v>
      </c>
      <c r="V56" s="0" t="n">
        <f aca="false">MAX(U56-1+F56,0)</f>
        <v>0</v>
      </c>
      <c r="W56" s="0" t="n">
        <f aca="false">MAX(V56-1+G56,0)</f>
        <v>0</v>
      </c>
      <c r="X56" s="0" t="n">
        <f aca="false">MAX(W56-1+H56,0)</f>
        <v>0</v>
      </c>
      <c r="Y56" s="1" t="n">
        <f aca="false">0.5*(E56*I56+F56*J56+G56*K56+H56*L56-1)+(0+$U56*J56+$V56*K56+$W56*L56)</f>
        <v>0</v>
      </c>
      <c r="Z56" s="1" t="n">
        <f aca="false">0.5*(E56*M56+F56*N56+G56*O56+H56*P56-1)+(0+$U56*N56+$V56*O56+$W56*P56)</f>
        <v>0</v>
      </c>
      <c r="AA56" s="1" t="n">
        <f aca="false">0.5*(E56*Q56+F56*R56+G56*S56+H56*T56-1)+(0+$U56*R56+$V56*S56+$W56*T56)</f>
        <v>0</v>
      </c>
      <c r="AB56" s="0" t="n">
        <f aca="false">IF(B56="V",-2,0)+IF(B56="E",-1,0)+IF(B56="O",0,0)+IF(B56="L",1,0)+Y56</f>
        <v>1</v>
      </c>
      <c r="AC56" s="0" t="n">
        <f aca="false">IF(C56="V",-2,0)+IF(C56="E",-1,0)+IF(C56="O",0,0)+IF(C56="L",1,0)+Z56</f>
        <v>-1</v>
      </c>
      <c r="AD56" s="0" t="n">
        <f aca="false">IF(D56="V",-2,0)+IF(D56="E",-1,0)+IF(D56="O",0,0)+IF(D56="L",1,0)+AA56</f>
        <v>0</v>
      </c>
      <c r="AE56" s="1" t="n">
        <f aca="false">IF(B56="V",-2,0)+IF(B56="E",-1,0)+IF(B56="O",0,0)+IF(B56="L",1,0)</f>
        <v>1</v>
      </c>
      <c r="AF56" s="1" t="n">
        <f aca="false">IF(B56="V",-2,0)+IF(B56="E",-1,0)+IF(B56="O",0,0)+IF(B56="L",1,0)+Y56</f>
        <v>1</v>
      </c>
      <c r="AG56" s="1" t="n">
        <f aca="false">IF(B56="V",-2,0)+IF(B56="E",-1,0)+IF(B56="O",0,0)+IF(B56="L",1,0)+Y56*2</f>
        <v>1</v>
      </c>
      <c r="AH56" s="1" t="n">
        <f aca="false">IF(C56="V",-2,0)+IF(C56="E",-1,0)+IF(C56="O",0,0)+IF(C56="L",1,0)</f>
        <v>-1</v>
      </c>
      <c r="AI56" s="1" t="n">
        <f aca="false">IF(C56="V",-2,0)+IF(C56="E",-1,0)+IF(C56="O",0,0)+IF(C56="L",1,0)+Z56</f>
        <v>-1</v>
      </c>
      <c r="AJ56" s="1" t="n">
        <f aca="false">IF(C56="V",-2,0)+IF(C56="E",-1,0)+IF(C56="O",0,0)+IF(C56="L",1,0)+Z56*2</f>
        <v>-1</v>
      </c>
      <c r="AK56" s="1" t="n">
        <f aca="false">IF(D56="V",-2,0)+IF(D56="E",-1,0)+IF(D56="O",0,0)+IF(D56="L",1,0)</f>
        <v>0</v>
      </c>
      <c r="AL56" s="1" t="n">
        <f aca="false">IF(D56="V",-2,0)+IF(D56="E",-1,0)+IF(D56="O",0,0)+IF(D56="L",1,0)+AA56</f>
        <v>0</v>
      </c>
      <c r="AM56" s="1" t="n">
        <f aca="false">IF(D56="V",-2,0)+IF(D56="E",-1,0)+IF(D56="O",0,0)+IF(D56="L",1,0)+AA56*2</f>
        <v>0</v>
      </c>
      <c r="AN56" s="1" t="n">
        <f aca="false">(ABS(IF(AE56&lt;0,AE56*Early,AE56*Late))+ABS(IF(AF56&lt;0,AF56*Early,AF56*Late))+ABS(IF(AG56&lt;0,AG56*Early,AG56*Late)))/3</f>
        <v>4</v>
      </c>
      <c r="AO56" s="1" t="n">
        <f aca="false">(ABS(IF(AH56&lt;0,AH56*Early,AH56*Late))+ABS(IF(AI56&lt;0,AI56*Early,AI56*Late))+ABS(IF(AJ56&lt;0,AJ56*Early,AJ56*Late)))/3</f>
        <v>3</v>
      </c>
      <c r="AP56" s="1" t="n">
        <f aca="false">(ABS(IF(AK56&lt;0,AK56*Early,AK56*Late))+ABS(IF(AL56&lt;0,AL56*Early,AL56*Late))+ABS(IF(AM56&lt;0,AM56*Early,AM56*Late)))/3</f>
        <v>0</v>
      </c>
      <c r="AQ56" s="0" t="n">
        <f aca="false">Y56*Delay+AN56</f>
        <v>4</v>
      </c>
      <c r="AR56" s="0" t="n">
        <f aca="false">Z56*Delay+AO56</f>
        <v>3</v>
      </c>
      <c r="AS56" s="0" t="n">
        <f aca="false">AA56*Delay+AP56</f>
        <v>0</v>
      </c>
      <c r="AT56" s="1" t="n">
        <f aca="false">VLOOKUP(A56,SortA!$A$1:$AT$65,46,FALSE())</f>
        <v>0</v>
      </c>
      <c r="AU56" s="1" t="n">
        <f aca="false">VLOOKUP(A56,SortB!$A$1:$AT$65,46,FALSE())</f>
        <v>0</v>
      </c>
      <c r="AV56" s="1" t="n">
        <f aca="false">VLOOKUP(A56,SortC!$A$1:$AT$65,46,FALSE())</f>
        <v>1</v>
      </c>
      <c r="AW56" s="0" t="n">
        <f aca="false">IF(SUM(AT56:AV56)=3,1,0)</f>
        <v>0</v>
      </c>
      <c r="AX56" s="0" t="str">
        <f aca="false">B56&amp;C56&amp;D56</f>
        <v>LEO</v>
      </c>
      <c r="AY56" s="1" t="n">
        <f aca="false">AQ56+AR56+AS56</f>
        <v>7</v>
      </c>
      <c r="AZ56" s="1" t="str">
        <f aca="false">RIGHT(AX56,2)</f>
        <v>EO</v>
      </c>
      <c r="BA56" s="1" t="str">
        <f aca="false">LEFT(AX56,1)&amp;RIGHT(AX56,1)</f>
        <v>LO</v>
      </c>
      <c r="BB56" s="1" t="str">
        <f aca="false">LEFT(AX56,2)</f>
        <v>LE</v>
      </c>
      <c r="BC56" s="1" t="n">
        <f aca="false">VLOOKUP(AZ56,TwoPlayers!$AG$1:$AH$17,2,FALSE())</f>
        <v>3</v>
      </c>
      <c r="BD56" s="1" t="n">
        <f aca="false">VLOOKUP(BA56,TwoPlayers!$AG$1:$AH$17,2,FALSE())</f>
        <v>4</v>
      </c>
      <c r="BE56" s="1" t="n">
        <f aca="false">VLOOKUP(BB56,TwoPlayers!$AG$1:$AH$17,2,FALSE())</f>
        <v>7</v>
      </c>
      <c r="BF56" s="1" t="n">
        <f aca="false">$AY56-BC56</f>
        <v>4</v>
      </c>
      <c r="BG56" s="1" t="n">
        <f aca="false">$AY56-BD56</f>
        <v>3</v>
      </c>
      <c r="BH56" s="1" t="n">
        <f aca="false">$AY56-BE56</f>
        <v>0</v>
      </c>
      <c r="BI56" s="0" t="str">
        <f aca="false">AX56</f>
        <v>LEO</v>
      </c>
      <c r="BJ56" s="1" t="n">
        <f aca="false">VLOOKUP(A56,SortA!$A$1:$BM$65,65,FALSE())</f>
        <v>0</v>
      </c>
      <c r="BK56" s="1" t="n">
        <f aca="false">VLOOKUP(A56,SortB!$A$1:$BM$65,65,FALSE())</f>
        <v>1</v>
      </c>
      <c r="BL56" s="1" t="n">
        <f aca="false">VLOOKUP(A56,SortC!$A$1:$BM$65,65,FALSE())</f>
        <v>1</v>
      </c>
      <c r="BM56" s="1" t="n">
        <f aca="false">IF(SUM(BJ56:BL56)=3,1,0)</f>
        <v>0</v>
      </c>
    </row>
    <row r="57" customFormat="false" ht="13" hidden="false" customHeight="false" outlineLevel="0" collapsed="false">
      <c r="A57" s="0" t="n">
        <f aca="false">A56+1</f>
        <v>56</v>
      </c>
      <c r="B57" s="0" t="s">
        <v>4</v>
      </c>
      <c r="C57" s="0" t="s">
        <v>2</v>
      </c>
      <c r="D57" s="0" t="s">
        <v>4</v>
      </c>
      <c r="E57" s="0" t="n">
        <f aca="false">(IF($B57="V",1,0))+IF($C57="V",1,0)+IF($D57="V",1,0)</f>
        <v>0</v>
      </c>
      <c r="F57" s="0" t="n">
        <f aca="false">(IF($B57="E",1,0))+IF($C57="E",1,0)+IF($D57="E",1,0)</f>
        <v>1</v>
      </c>
      <c r="G57" s="0" t="n">
        <f aca="false">(IF($B57="O",1,0))+IF($C57="O",1,0)+IF($D57="O",1,0)</f>
        <v>0</v>
      </c>
      <c r="H57" s="0" t="n">
        <f aca="false">(IF($B57="L",1,0))+IF($C57="L",1,0)+IF($D57="L",1,0)</f>
        <v>2</v>
      </c>
      <c r="I57" s="0" t="n">
        <f aca="false">(IF(B57="V",1,0))</f>
        <v>0</v>
      </c>
      <c r="J57" s="0" t="n">
        <f aca="false">(IF(B57="E",1,0))</f>
        <v>0</v>
      </c>
      <c r="K57" s="0" t="n">
        <f aca="false">(IF(B57="O",1,0))</f>
        <v>0</v>
      </c>
      <c r="L57" s="0" t="n">
        <f aca="false">(IF(B57="L",1,0))</f>
        <v>1</v>
      </c>
      <c r="M57" s="0" t="n">
        <f aca="false">(IF(C57="V",1,0))</f>
        <v>0</v>
      </c>
      <c r="N57" s="0" t="n">
        <f aca="false">(IF(C57="E",1,0))</f>
        <v>1</v>
      </c>
      <c r="O57" s="0" t="n">
        <f aca="false">(IF(C57="O",1,0))</f>
        <v>0</v>
      </c>
      <c r="P57" s="0" t="n">
        <f aca="false">(IF(C57="L",1,0))</f>
        <v>0</v>
      </c>
      <c r="Q57" s="0" t="n">
        <f aca="false">(IF(D57="V",1,0))</f>
        <v>0</v>
      </c>
      <c r="R57" s="0" t="n">
        <f aca="false">(IF(D57="E",1,0))</f>
        <v>0</v>
      </c>
      <c r="S57" s="0" t="n">
        <f aca="false">(IF(D57="O",1,0))</f>
        <v>0</v>
      </c>
      <c r="T57" s="0" t="n">
        <f aca="false">(IF(D57="L",1,0))</f>
        <v>1</v>
      </c>
      <c r="U57" s="0" t="n">
        <f aca="false">MAX(E57-1,0)</f>
        <v>0</v>
      </c>
      <c r="V57" s="0" t="n">
        <f aca="false">MAX(U57-1+F57,0)</f>
        <v>0</v>
      </c>
      <c r="W57" s="0" t="n">
        <f aca="false">MAX(V57-1+G57,0)</f>
        <v>0</v>
      </c>
      <c r="X57" s="0" t="n">
        <f aca="false">MAX(W57-1+H57,0)</f>
        <v>1</v>
      </c>
      <c r="Y57" s="1" t="n">
        <f aca="false">0.5*(E57*I57+F57*J57+G57*K57+H57*L57-1)+(0+$U57*J57+$V57*K57+$W57*L57)</f>
        <v>0.5</v>
      </c>
      <c r="Z57" s="1" t="n">
        <f aca="false">0.5*(E57*M57+F57*N57+G57*O57+H57*P57-1)+(0+$U57*N57+$V57*O57+$W57*P57)</f>
        <v>0</v>
      </c>
      <c r="AA57" s="1" t="n">
        <f aca="false">0.5*(E57*Q57+F57*R57+G57*S57+H57*T57-1)+(0+$U57*R57+$V57*S57+$W57*T57)</f>
        <v>0.5</v>
      </c>
      <c r="AB57" s="0" t="n">
        <f aca="false">IF(B57="V",-2,0)+IF(B57="E",-1,0)+IF(B57="O",0,0)+IF(B57="L",1,0)+Y57</f>
        <v>1.5</v>
      </c>
      <c r="AC57" s="0" t="n">
        <f aca="false">IF(C57="V",-2,0)+IF(C57="E",-1,0)+IF(C57="O",0,0)+IF(C57="L",1,0)+Z57</f>
        <v>-1</v>
      </c>
      <c r="AD57" s="0" t="n">
        <f aca="false">IF(D57="V",-2,0)+IF(D57="E",-1,0)+IF(D57="O",0,0)+IF(D57="L",1,0)+AA57</f>
        <v>1.5</v>
      </c>
      <c r="AE57" s="1" t="n">
        <f aca="false">IF(B57="V",-2,0)+IF(B57="E",-1,0)+IF(B57="O",0,0)+IF(B57="L",1,0)</f>
        <v>1</v>
      </c>
      <c r="AF57" s="1" t="n">
        <f aca="false">IF(B57="V",-2,0)+IF(B57="E",-1,0)+IF(B57="O",0,0)+IF(B57="L",1,0)+Y57</f>
        <v>1.5</v>
      </c>
      <c r="AG57" s="1" t="n">
        <f aca="false">IF(B57="V",-2,0)+IF(B57="E",-1,0)+IF(B57="O",0,0)+IF(B57="L",1,0)+Y57*2</f>
        <v>2</v>
      </c>
      <c r="AH57" s="1" t="n">
        <f aca="false">IF(C57="V",-2,0)+IF(C57="E",-1,0)+IF(C57="O",0,0)+IF(C57="L",1,0)</f>
        <v>-1</v>
      </c>
      <c r="AI57" s="1" t="n">
        <f aca="false">IF(C57="V",-2,0)+IF(C57="E",-1,0)+IF(C57="O",0,0)+IF(C57="L",1,0)+Z57</f>
        <v>-1</v>
      </c>
      <c r="AJ57" s="1" t="n">
        <f aca="false">IF(C57="V",-2,0)+IF(C57="E",-1,0)+IF(C57="O",0,0)+IF(C57="L",1,0)+Z57*2</f>
        <v>-1</v>
      </c>
      <c r="AK57" s="1" t="n">
        <f aca="false">IF(D57="V",-2,0)+IF(D57="E",-1,0)+IF(D57="O",0,0)+IF(D57="L",1,0)</f>
        <v>1</v>
      </c>
      <c r="AL57" s="1" t="n">
        <f aca="false">IF(D57="V",-2,0)+IF(D57="E",-1,0)+IF(D57="O",0,0)+IF(D57="L",1,0)+AA57</f>
        <v>1.5</v>
      </c>
      <c r="AM57" s="1" t="n">
        <f aca="false">IF(D57="V",-2,0)+IF(D57="E",-1,0)+IF(D57="O",0,0)+IF(D57="L",1,0)+AA57*2</f>
        <v>2</v>
      </c>
      <c r="AN57" s="1" t="n">
        <f aca="false">(ABS(IF(AE57&lt;0,AE57*Early,AE57*Late))+ABS(IF(AF57&lt;0,AF57*Early,AF57*Late))+ABS(IF(AG57&lt;0,AG57*Early,AG57*Late)))/3</f>
        <v>6</v>
      </c>
      <c r="AO57" s="1" t="n">
        <f aca="false">(ABS(IF(AH57&lt;0,AH57*Early,AH57*Late))+ABS(IF(AI57&lt;0,AI57*Early,AI57*Late))+ABS(IF(AJ57&lt;0,AJ57*Early,AJ57*Late)))/3</f>
        <v>3</v>
      </c>
      <c r="AP57" s="1" t="n">
        <f aca="false">(ABS(IF(AK57&lt;0,AK57*Early,AK57*Late))+ABS(IF(AL57&lt;0,AL57*Early,AL57*Late))+ABS(IF(AM57&lt;0,AM57*Early,AM57*Late)))/3</f>
        <v>6</v>
      </c>
      <c r="AQ57" s="0" t="n">
        <f aca="false">Y57*Delay+AN57</f>
        <v>6.5</v>
      </c>
      <c r="AR57" s="0" t="n">
        <f aca="false">Z57*Delay+AO57</f>
        <v>3</v>
      </c>
      <c r="AS57" s="0" t="n">
        <f aca="false">AA57*Delay+AP57</f>
        <v>6.5</v>
      </c>
      <c r="AT57" s="1" t="n">
        <f aca="false">VLOOKUP(A57,SortA!$A$1:$AT$65,46,FALSE())</f>
        <v>0</v>
      </c>
      <c r="AU57" s="1" t="n">
        <f aca="false">VLOOKUP(A57,SortB!$A$1:$AT$65,46,FALSE())</f>
        <v>0</v>
      </c>
      <c r="AV57" s="1" t="n">
        <f aca="false">VLOOKUP(A57,SortC!$A$1:$AT$65,46,FALSE())</f>
        <v>0</v>
      </c>
      <c r="AW57" s="0" t="n">
        <f aca="false">IF(SUM(AT57:AV57)=3,1,0)</f>
        <v>0</v>
      </c>
      <c r="AX57" s="0" t="str">
        <f aca="false">B57&amp;C57&amp;D57</f>
        <v>LEL</v>
      </c>
      <c r="AY57" s="1" t="n">
        <f aca="false">AQ57+AR57+AS57</f>
        <v>16</v>
      </c>
      <c r="AZ57" s="1" t="str">
        <f aca="false">RIGHT(AX57,2)</f>
        <v>EL</v>
      </c>
      <c r="BA57" s="1" t="str">
        <f aca="false">LEFT(AX57,1)&amp;RIGHT(AX57,1)</f>
        <v>LL</v>
      </c>
      <c r="BB57" s="1" t="str">
        <f aca="false">LEFT(AX57,2)</f>
        <v>LE</v>
      </c>
      <c r="BC57" s="1" t="n">
        <f aca="false">VLOOKUP(AZ57,TwoPlayers!$AG$1:$AH$17,2,FALSE())</f>
        <v>7</v>
      </c>
      <c r="BD57" s="1" t="n">
        <f aca="false">VLOOKUP(BA57,TwoPlayers!$AG$1:$AH$17,2,FALSE())</f>
        <v>13</v>
      </c>
      <c r="BE57" s="1" t="n">
        <f aca="false">VLOOKUP(BB57,TwoPlayers!$AG$1:$AH$17,2,FALSE())</f>
        <v>7</v>
      </c>
      <c r="BF57" s="1" t="n">
        <f aca="false">$AY57-BC57</f>
        <v>9</v>
      </c>
      <c r="BG57" s="1" t="n">
        <f aca="false">$AY57-BD57</f>
        <v>3</v>
      </c>
      <c r="BH57" s="1" t="n">
        <f aca="false">$AY57-BE57</f>
        <v>9</v>
      </c>
      <c r="BI57" s="0" t="str">
        <f aca="false">AX57</f>
        <v>LEL</v>
      </c>
      <c r="BJ57" s="1" t="n">
        <f aca="false">VLOOKUP(A57,SortA!$A$1:$BM$65,65,FALSE())</f>
        <v>0</v>
      </c>
      <c r="BK57" s="1" t="n">
        <f aca="false">VLOOKUP(A57,SortB!$A$1:$BM$65,65,FALSE())</f>
        <v>0</v>
      </c>
      <c r="BL57" s="1" t="n">
        <f aca="false">VLOOKUP(A57,SortC!$A$1:$BM$65,65,FALSE())</f>
        <v>0</v>
      </c>
      <c r="BM57" s="1" t="n">
        <f aca="false">IF(SUM(BJ57:BL57)=3,1,0)</f>
        <v>0</v>
      </c>
    </row>
    <row r="58" customFormat="false" ht="13" hidden="false" customHeight="false" outlineLevel="0" collapsed="false">
      <c r="A58" s="0" t="n">
        <f aca="false">A57+1</f>
        <v>57</v>
      </c>
      <c r="B58" s="0" t="s">
        <v>4</v>
      </c>
      <c r="C58" s="0" t="s">
        <v>3</v>
      </c>
      <c r="D58" s="0" t="s">
        <v>1</v>
      </c>
      <c r="E58" s="0" t="n">
        <f aca="false">(IF($B58="V",1,0))+IF($C58="V",1,0)+IF($D58="V",1,0)</f>
        <v>1</v>
      </c>
      <c r="F58" s="0" t="n">
        <f aca="false">(IF($B58="E",1,0))+IF($C58="E",1,0)+IF($D58="E",1,0)</f>
        <v>0</v>
      </c>
      <c r="G58" s="0" t="n">
        <f aca="false">(IF($B58="O",1,0))+IF($C58="O",1,0)+IF($D58="O",1,0)</f>
        <v>1</v>
      </c>
      <c r="H58" s="0" t="n">
        <f aca="false">(IF($B58="L",1,0))+IF($C58="L",1,0)+IF($D58="L",1,0)</f>
        <v>1</v>
      </c>
      <c r="I58" s="0" t="n">
        <f aca="false">(IF(B58="V",1,0))</f>
        <v>0</v>
      </c>
      <c r="J58" s="0" t="n">
        <f aca="false">(IF(B58="E",1,0))</f>
        <v>0</v>
      </c>
      <c r="K58" s="0" t="n">
        <f aca="false">(IF(B58="O",1,0))</f>
        <v>0</v>
      </c>
      <c r="L58" s="0" t="n">
        <f aca="false">(IF(B58="L",1,0))</f>
        <v>1</v>
      </c>
      <c r="M58" s="0" t="n">
        <f aca="false">(IF(C58="V",1,0))</f>
        <v>0</v>
      </c>
      <c r="N58" s="0" t="n">
        <f aca="false">(IF(C58="E",1,0))</f>
        <v>0</v>
      </c>
      <c r="O58" s="0" t="n">
        <f aca="false">(IF(C58="O",1,0))</f>
        <v>1</v>
      </c>
      <c r="P58" s="0" t="n">
        <f aca="false">(IF(C58="L",1,0))</f>
        <v>0</v>
      </c>
      <c r="Q58" s="0" t="n">
        <f aca="false">(IF(D58="V",1,0))</f>
        <v>1</v>
      </c>
      <c r="R58" s="0" t="n">
        <f aca="false">(IF(D58="E",1,0))</f>
        <v>0</v>
      </c>
      <c r="S58" s="0" t="n">
        <f aca="false">(IF(D58="O",1,0))</f>
        <v>0</v>
      </c>
      <c r="T58" s="0" t="n">
        <f aca="false">(IF(D58="L",1,0))</f>
        <v>0</v>
      </c>
      <c r="U58" s="0" t="n">
        <f aca="false">MAX(E58-1,0)</f>
        <v>0</v>
      </c>
      <c r="V58" s="0" t="n">
        <f aca="false">MAX(U58-1+F58,0)</f>
        <v>0</v>
      </c>
      <c r="W58" s="0" t="n">
        <f aca="false">MAX(V58-1+G58,0)</f>
        <v>0</v>
      </c>
      <c r="X58" s="0" t="n">
        <f aca="false">MAX(W58-1+H58,0)</f>
        <v>0</v>
      </c>
      <c r="Y58" s="1" t="n">
        <f aca="false">0.5*(E58*I58+F58*J58+G58*K58+H58*L58-1)+(0+$U58*J58+$V58*K58+$W58*L58)</f>
        <v>0</v>
      </c>
      <c r="Z58" s="1" t="n">
        <f aca="false">0.5*(E58*M58+F58*N58+G58*O58+H58*P58-1)+(0+$U58*N58+$V58*O58+$W58*P58)</f>
        <v>0</v>
      </c>
      <c r="AA58" s="1" t="n">
        <f aca="false">0.5*(E58*Q58+F58*R58+G58*S58+H58*T58-1)+(0+$U58*R58+$V58*S58+$W58*T58)</f>
        <v>0</v>
      </c>
      <c r="AB58" s="0" t="n">
        <f aca="false">IF(B58="V",-2,0)+IF(B58="E",-1,0)+IF(B58="O",0,0)+IF(B58="L",1,0)+Y58</f>
        <v>1</v>
      </c>
      <c r="AC58" s="0" t="n">
        <f aca="false">IF(C58="V",-2,0)+IF(C58="E",-1,0)+IF(C58="O",0,0)+IF(C58="L",1,0)+Z58</f>
        <v>0</v>
      </c>
      <c r="AD58" s="0" t="n">
        <f aca="false">IF(D58="V",-2,0)+IF(D58="E",-1,0)+IF(D58="O",0,0)+IF(D58="L",1,0)+AA58</f>
        <v>-2</v>
      </c>
      <c r="AE58" s="1" t="n">
        <f aca="false">IF(B58="V",-2,0)+IF(B58="E",-1,0)+IF(B58="O",0,0)+IF(B58="L",1,0)</f>
        <v>1</v>
      </c>
      <c r="AF58" s="1" t="n">
        <f aca="false">IF(B58="V",-2,0)+IF(B58="E",-1,0)+IF(B58="O",0,0)+IF(B58="L",1,0)+Y58</f>
        <v>1</v>
      </c>
      <c r="AG58" s="1" t="n">
        <f aca="false">IF(B58="V",-2,0)+IF(B58="E",-1,0)+IF(B58="O",0,0)+IF(B58="L",1,0)+Y58*2</f>
        <v>1</v>
      </c>
      <c r="AH58" s="1" t="n">
        <f aca="false">IF(C58="V",-2,0)+IF(C58="E",-1,0)+IF(C58="O",0,0)+IF(C58="L",1,0)</f>
        <v>0</v>
      </c>
      <c r="AI58" s="1" t="n">
        <f aca="false">IF(C58="V",-2,0)+IF(C58="E",-1,0)+IF(C58="O",0,0)+IF(C58="L",1,0)+Z58</f>
        <v>0</v>
      </c>
      <c r="AJ58" s="1" t="n">
        <f aca="false">IF(C58="V",-2,0)+IF(C58="E",-1,0)+IF(C58="O",0,0)+IF(C58="L",1,0)+Z58*2</f>
        <v>0</v>
      </c>
      <c r="AK58" s="1" t="n">
        <f aca="false">IF(D58="V",-2,0)+IF(D58="E",-1,0)+IF(D58="O",0,0)+IF(D58="L",1,0)</f>
        <v>-2</v>
      </c>
      <c r="AL58" s="1" t="n">
        <f aca="false">IF(D58="V",-2,0)+IF(D58="E",-1,0)+IF(D58="O",0,0)+IF(D58="L",1,0)+AA58</f>
        <v>-2</v>
      </c>
      <c r="AM58" s="1" t="n">
        <f aca="false">IF(D58="V",-2,0)+IF(D58="E",-1,0)+IF(D58="O",0,0)+IF(D58="L",1,0)+AA58*2</f>
        <v>-2</v>
      </c>
      <c r="AN58" s="1" t="n">
        <f aca="false">(ABS(IF(AE58&lt;0,AE58*Early,AE58*Late))+ABS(IF(AF58&lt;0,AF58*Early,AF58*Late))+ABS(IF(AG58&lt;0,AG58*Early,AG58*Late)))/3</f>
        <v>4</v>
      </c>
      <c r="AO58" s="1" t="n">
        <f aca="false">(ABS(IF(AH58&lt;0,AH58*Early,AH58*Late))+ABS(IF(AI58&lt;0,AI58*Early,AI58*Late))+ABS(IF(AJ58&lt;0,AJ58*Early,AJ58*Late)))/3</f>
        <v>0</v>
      </c>
      <c r="AP58" s="1" t="n">
        <f aca="false">(ABS(IF(AK58&lt;0,AK58*Early,AK58*Late))+ABS(IF(AL58&lt;0,AL58*Early,AL58*Late))+ABS(IF(AM58&lt;0,AM58*Early,AM58*Late)))/3</f>
        <v>6</v>
      </c>
      <c r="AQ58" s="0" t="n">
        <f aca="false">Y58*Delay+AN58</f>
        <v>4</v>
      </c>
      <c r="AR58" s="0" t="n">
        <f aca="false">Z58*Delay+AO58</f>
        <v>0</v>
      </c>
      <c r="AS58" s="0" t="n">
        <f aca="false">AA58*Delay+AP58</f>
        <v>6</v>
      </c>
      <c r="AT58" s="1" t="n">
        <f aca="false">VLOOKUP(A58,SortA!$A$1:$AT$65,46,FALSE())</f>
        <v>0</v>
      </c>
      <c r="AU58" s="1" t="n">
        <f aca="false">VLOOKUP(A58,SortB!$A$1:$AT$65,46,FALSE())</f>
        <v>1</v>
      </c>
      <c r="AV58" s="1" t="n">
        <f aca="false">VLOOKUP(A58,SortC!$A$1:$AT$65,46,FALSE())</f>
        <v>0</v>
      </c>
      <c r="AW58" s="0" t="n">
        <f aca="false">IF(SUM(AT58:AV58)=3,1,0)</f>
        <v>0</v>
      </c>
      <c r="AX58" s="0" t="str">
        <f aca="false">B58&amp;C58&amp;D58</f>
        <v>LOV</v>
      </c>
      <c r="AY58" s="1" t="n">
        <f aca="false">AQ58+AR58+AS58</f>
        <v>10</v>
      </c>
      <c r="AZ58" s="1" t="str">
        <f aca="false">RIGHT(AX58,2)</f>
        <v>OV</v>
      </c>
      <c r="BA58" s="1" t="str">
        <f aca="false">LEFT(AX58,1)&amp;RIGHT(AX58,1)</f>
        <v>LV</v>
      </c>
      <c r="BB58" s="1" t="str">
        <f aca="false">LEFT(AX58,2)</f>
        <v>LO</v>
      </c>
      <c r="BC58" s="1" t="n">
        <f aca="false">VLOOKUP(AZ58,TwoPlayers!$AG$1:$AH$17,2,FALSE())</f>
        <v>6</v>
      </c>
      <c r="BD58" s="1" t="n">
        <f aca="false">VLOOKUP(BA58,TwoPlayers!$AG$1:$AH$17,2,FALSE())</f>
        <v>10</v>
      </c>
      <c r="BE58" s="1" t="n">
        <f aca="false">VLOOKUP(BB58,TwoPlayers!$AG$1:$AH$17,2,FALSE())</f>
        <v>4</v>
      </c>
      <c r="BF58" s="1" t="n">
        <f aca="false">$AY58-BC58</f>
        <v>4</v>
      </c>
      <c r="BG58" s="1" t="n">
        <f aca="false">$AY58-BD58</f>
        <v>0</v>
      </c>
      <c r="BH58" s="1" t="n">
        <f aca="false">$AY58-BE58</f>
        <v>6</v>
      </c>
      <c r="BI58" s="0" t="str">
        <f aca="false">AX58</f>
        <v>LOV</v>
      </c>
      <c r="BJ58" s="1" t="n">
        <f aca="false">VLOOKUP(A58,SortA!$A$1:$BM$65,65,FALSE())</f>
        <v>0</v>
      </c>
      <c r="BK58" s="1" t="n">
        <f aca="false">VLOOKUP(A58,SortB!$A$1:$BM$65,65,FALSE())</f>
        <v>1</v>
      </c>
      <c r="BL58" s="1" t="n">
        <f aca="false">VLOOKUP(A58,SortC!$A$1:$BM$65,65,FALSE())</f>
        <v>0</v>
      </c>
      <c r="BM58" s="1" t="n">
        <f aca="false">IF(SUM(BJ58:BL58)=3,1,0)</f>
        <v>0</v>
      </c>
    </row>
    <row r="59" customFormat="false" ht="13" hidden="false" customHeight="false" outlineLevel="0" collapsed="false">
      <c r="A59" s="0" t="n">
        <f aca="false">A58+1</f>
        <v>58</v>
      </c>
      <c r="B59" s="0" t="s">
        <v>4</v>
      </c>
      <c r="C59" s="0" t="s">
        <v>3</v>
      </c>
      <c r="D59" s="0" t="s">
        <v>2</v>
      </c>
      <c r="E59" s="0" t="n">
        <f aca="false">(IF($B59="V",1,0))+IF($C59="V",1,0)+IF($D59="V",1,0)</f>
        <v>0</v>
      </c>
      <c r="F59" s="0" t="n">
        <f aca="false">(IF($B59="E",1,0))+IF($C59="E",1,0)+IF($D59="E",1,0)</f>
        <v>1</v>
      </c>
      <c r="G59" s="0" t="n">
        <f aca="false">(IF($B59="O",1,0))+IF($C59="O",1,0)+IF($D59="O",1,0)</f>
        <v>1</v>
      </c>
      <c r="H59" s="0" t="n">
        <f aca="false">(IF($B59="L",1,0))+IF($C59="L",1,0)+IF($D59="L",1,0)</f>
        <v>1</v>
      </c>
      <c r="I59" s="0" t="n">
        <f aca="false">(IF(B59="V",1,0))</f>
        <v>0</v>
      </c>
      <c r="J59" s="0" t="n">
        <f aca="false">(IF(B59="E",1,0))</f>
        <v>0</v>
      </c>
      <c r="K59" s="0" t="n">
        <f aca="false">(IF(B59="O",1,0))</f>
        <v>0</v>
      </c>
      <c r="L59" s="0" t="n">
        <f aca="false">(IF(B59="L",1,0))</f>
        <v>1</v>
      </c>
      <c r="M59" s="0" t="n">
        <f aca="false">(IF(C59="V",1,0))</f>
        <v>0</v>
      </c>
      <c r="N59" s="0" t="n">
        <f aca="false">(IF(C59="E",1,0))</f>
        <v>0</v>
      </c>
      <c r="O59" s="0" t="n">
        <f aca="false">(IF(C59="O",1,0))</f>
        <v>1</v>
      </c>
      <c r="P59" s="0" t="n">
        <f aca="false">(IF(C59="L",1,0))</f>
        <v>0</v>
      </c>
      <c r="Q59" s="0" t="n">
        <f aca="false">(IF(D59="V",1,0))</f>
        <v>0</v>
      </c>
      <c r="R59" s="0" t="n">
        <f aca="false">(IF(D59="E",1,0))</f>
        <v>1</v>
      </c>
      <c r="S59" s="0" t="n">
        <f aca="false">(IF(D59="O",1,0))</f>
        <v>0</v>
      </c>
      <c r="T59" s="0" t="n">
        <f aca="false">(IF(D59="L",1,0))</f>
        <v>0</v>
      </c>
      <c r="U59" s="0" t="n">
        <f aca="false">MAX(E59-1,0)</f>
        <v>0</v>
      </c>
      <c r="V59" s="0" t="n">
        <f aca="false">MAX(U59-1+F59,0)</f>
        <v>0</v>
      </c>
      <c r="W59" s="0" t="n">
        <f aca="false">MAX(V59-1+G59,0)</f>
        <v>0</v>
      </c>
      <c r="X59" s="0" t="n">
        <f aca="false">MAX(W59-1+H59,0)</f>
        <v>0</v>
      </c>
      <c r="Y59" s="1" t="n">
        <f aca="false">0.5*(E59*I59+F59*J59+G59*K59+H59*L59-1)+(0+$U59*J59+$V59*K59+$W59*L59)</f>
        <v>0</v>
      </c>
      <c r="Z59" s="1" t="n">
        <f aca="false">0.5*(E59*M59+F59*N59+G59*O59+H59*P59-1)+(0+$U59*N59+$V59*O59+$W59*P59)</f>
        <v>0</v>
      </c>
      <c r="AA59" s="1" t="n">
        <f aca="false">0.5*(E59*Q59+F59*R59+G59*S59+H59*T59-1)+(0+$U59*R59+$V59*S59+$W59*T59)</f>
        <v>0</v>
      </c>
      <c r="AB59" s="0" t="n">
        <f aca="false">IF(B59="V",-2,0)+IF(B59="E",-1,0)+IF(B59="O",0,0)+IF(B59="L",1,0)+Y59</f>
        <v>1</v>
      </c>
      <c r="AC59" s="0" t="n">
        <f aca="false">IF(C59="V",-2,0)+IF(C59="E",-1,0)+IF(C59="O",0,0)+IF(C59="L",1,0)+Z59</f>
        <v>0</v>
      </c>
      <c r="AD59" s="0" t="n">
        <f aca="false">IF(D59="V",-2,0)+IF(D59="E",-1,0)+IF(D59="O",0,0)+IF(D59="L",1,0)+AA59</f>
        <v>-1</v>
      </c>
      <c r="AE59" s="1" t="n">
        <f aca="false">IF(B59="V",-2,0)+IF(B59="E",-1,0)+IF(B59="O",0,0)+IF(B59="L",1,0)</f>
        <v>1</v>
      </c>
      <c r="AF59" s="1" t="n">
        <f aca="false">IF(B59="V",-2,0)+IF(B59="E",-1,0)+IF(B59="O",0,0)+IF(B59="L",1,0)+Y59</f>
        <v>1</v>
      </c>
      <c r="AG59" s="1" t="n">
        <f aca="false">IF(B59="V",-2,0)+IF(B59="E",-1,0)+IF(B59="O",0,0)+IF(B59="L",1,0)+Y59*2</f>
        <v>1</v>
      </c>
      <c r="AH59" s="1" t="n">
        <f aca="false">IF(C59="V",-2,0)+IF(C59="E",-1,0)+IF(C59="O",0,0)+IF(C59="L",1,0)</f>
        <v>0</v>
      </c>
      <c r="AI59" s="1" t="n">
        <f aca="false">IF(C59="V",-2,0)+IF(C59="E",-1,0)+IF(C59="O",0,0)+IF(C59="L",1,0)+Z59</f>
        <v>0</v>
      </c>
      <c r="AJ59" s="1" t="n">
        <f aca="false">IF(C59="V",-2,0)+IF(C59="E",-1,0)+IF(C59="O",0,0)+IF(C59="L",1,0)+Z59*2</f>
        <v>0</v>
      </c>
      <c r="AK59" s="1" t="n">
        <f aca="false">IF(D59="V",-2,0)+IF(D59="E",-1,0)+IF(D59="O",0,0)+IF(D59="L",1,0)</f>
        <v>-1</v>
      </c>
      <c r="AL59" s="1" t="n">
        <f aca="false">IF(D59="V",-2,0)+IF(D59="E",-1,0)+IF(D59="O",0,0)+IF(D59="L",1,0)+AA59</f>
        <v>-1</v>
      </c>
      <c r="AM59" s="1" t="n">
        <f aca="false">IF(D59="V",-2,0)+IF(D59="E",-1,0)+IF(D59="O",0,0)+IF(D59="L",1,0)+AA59*2</f>
        <v>-1</v>
      </c>
      <c r="AN59" s="1" t="n">
        <f aca="false">(ABS(IF(AE59&lt;0,AE59*Early,AE59*Late))+ABS(IF(AF59&lt;0,AF59*Early,AF59*Late))+ABS(IF(AG59&lt;0,AG59*Early,AG59*Late)))/3</f>
        <v>4</v>
      </c>
      <c r="AO59" s="1" t="n">
        <f aca="false">(ABS(IF(AH59&lt;0,AH59*Early,AH59*Late))+ABS(IF(AI59&lt;0,AI59*Early,AI59*Late))+ABS(IF(AJ59&lt;0,AJ59*Early,AJ59*Late)))/3</f>
        <v>0</v>
      </c>
      <c r="AP59" s="1" t="n">
        <f aca="false">(ABS(IF(AK59&lt;0,AK59*Early,AK59*Late))+ABS(IF(AL59&lt;0,AL59*Early,AL59*Late))+ABS(IF(AM59&lt;0,AM59*Early,AM59*Late)))/3</f>
        <v>3</v>
      </c>
      <c r="AQ59" s="0" t="n">
        <f aca="false">Y59*Delay+AN59</f>
        <v>4</v>
      </c>
      <c r="AR59" s="0" t="n">
        <f aca="false">Z59*Delay+AO59</f>
        <v>0</v>
      </c>
      <c r="AS59" s="0" t="n">
        <f aca="false">AA59*Delay+AP59</f>
        <v>3</v>
      </c>
      <c r="AT59" s="1" t="n">
        <f aca="false">VLOOKUP(A59,SortA!$A$1:$AT$65,46,FALSE())</f>
        <v>0</v>
      </c>
      <c r="AU59" s="1" t="n">
        <f aca="false">VLOOKUP(A59,SortB!$A$1:$AT$65,46,FALSE())</f>
        <v>1</v>
      </c>
      <c r="AV59" s="1" t="n">
        <f aca="false">VLOOKUP(A59,SortC!$A$1:$AT$65,46,FALSE())</f>
        <v>0</v>
      </c>
      <c r="AW59" s="0" t="n">
        <f aca="false">IF(SUM(AT59:AV59)=3,1,0)</f>
        <v>0</v>
      </c>
      <c r="AX59" s="0" t="str">
        <f aca="false">B59&amp;C59&amp;D59</f>
        <v>LOE</v>
      </c>
      <c r="AY59" s="1" t="n">
        <f aca="false">AQ59+AR59+AS59</f>
        <v>7</v>
      </c>
      <c r="AZ59" s="1" t="str">
        <f aca="false">RIGHT(AX59,2)</f>
        <v>OE</v>
      </c>
      <c r="BA59" s="1" t="str">
        <f aca="false">LEFT(AX59,1)&amp;RIGHT(AX59,1)</f>
        <v>LE</v>
      </c>
      <c r="BB59" s="1" t="str">
        <f aca="false">LEFT(AX59,2)</f>
        <v>LO</v>
      </c>
      <c r="BC59" s="1" t="n">
        <f aca="false">VLOOKUP(AZ59,TwoPlayers!$AG$1:$AH$17,2,FALSE())</f>
        <v>3</v>
      </c>
      <c r="BD59" s="1" t="n">
        <f aca="false">VLOOKUP(BA59,TwoPlayers!$AG$1:$AH$17,2,FALSE())</f>
        <v>7</v>
      </c>
      <c r="BE59" s="1" t="n">
        <f aca="false">VLOOKUP(BB59,TwoPlayers!$AG$1:$AH$17,2,FALSE())</f>
        <v>4</v>
      </c>
      <c r="BF59" s="1" t="n">
        <f aca="false">$AY59-BC59</f>
        <v>4</v>
      </c>
      <c r="BG59" s="1" t="n">
        <f aca="false">$AY59-BD59</f>
        <v>0</v>
      </c>
      <c r="BH59" s="1" t="n">
        <f aca="false">$AY59-BE59</f>
        <v>3</v>
      </c>
      <c r="BI59" s="0" t="str">
        <f aca="false">AX59</f>
        <v>LOE</v>
      </c>
      <c r="BJ59" s="1" t="n">
        <f aca="false">VLOOKUP(A59,SortA!$A$1:$BM$65,65,FALSE())</f>
        <v>0</v>
      </c>
      <c r="BK59" s="1" t="n">
        <f aca="false">VLOOKUP(A59,SortB!$A$1:$BM$65,65,FALSE())</f>
        <v>1</v>
      </c>
      <c r="BL59" s="1" t="n">
        <f aca="false">VLOOKUP(A59,SortC!$A$1:$BM$65,65,FALSE())</f>
        <v>1</v>
      </c>
      <c r="BM59" s="1" t="n">
        <f aca="false">IF(SUM(BJ59:BL59)=3,1,0)</f>
        <v>0</v>
      </c>
    </row>
    <row r="60" customFormat="false" ht="13" hidden="false" customHeight="false" outlineLevel="0" collapsed="false">
      <c r="A60" s="0" t="n">
        <f aca="false">A59+1</f>
        <v>59</v>
      </c>
      <c r="B60" s="0" t="s">
        <v>4</v>
      </c>
      <c r="C60" s="0" t="s">
        <v>3</v>
      </c>
      <c r="D60" s="0" t="s">
        <v>3</v>
      </c>
      <c r="E60" s="0" t="n">
        <f aca="false">(IF($B60="V",1,0))+IF($C60="V",1,0)+IF($D60="V",1,0)</f>
        <v>0</v>
      </c>
      <c r="F60" s="0" t="n">
        <f aca="false">(IF($B60="E",1,0))+IF($C60="E",1,0)+IF($D60="E",1,0)</f>
        <v>0</v>
      </c>
      <c r="G60" s="0" t="n">
        <f aca="false">(IF($B60="O",1,0))+IF($C60="O",1,0)+IF($D60="O",1,0)</f>
        <v>2</v>
      </c>
      <c r="H60" s="0" t="n">
        <f aca="false">(IF($B60="L",1,0))+IF($C60="L",1,0)+IF($D60="L",1,0)</f>
        <v>1</v>
      </c>
      <c r="I60" s="0" t="n">
        <f aca="false">(IF(B60="V",1,0))</f>
        <v>0</v>
      </c>
      <c r="J60" s="0" t="n">
        <f aca="false">(IF(B60="E",1,0))</f>
        <v>0</v>
      </c>
      <c r="K60" s="0" t="n">
        <f aca="false">(IF(B60="O",1,0))</f>
        <v>0</v>
      </c>
      <c r="L60" s="0" t="n">
        <f aca="false">(IF(B60="L",1,0))</f>
        <v>1</v>
      </c>
      <c r="M60" s="0" t="n">
        <f aca="false">(IF(C60="V",1,0))</f>
        <v>0</v>
      </c>
      <c r="N60" s="0" t="n">
        <f aca="false">(IF(C60="E",1,0))</f>
        <v>0</v>
      </c>
      <c r="O60" s="0" t="n">
        <f aca="false">(IF(C60="O",1,0))</f>
        <v>1</v>
      </c>
      <c r="P60" s="0" t="n">
        <f aca="false">(IF(C60="L",1,0))</f>
        <v>0</v>
      </c>
      <c r="Q60" s="0" t="n">
        <f aca="false">(IF(D60="V",1,0))</f>
        <v>0</v>
      </c>
      <c r="R60" s="0" t="n">
        <f aca="false">(IF(D60="E",1,0))</f>
        <v>0</v>
      </c>
      <c r="S60" s="0" t="n">
        <f aca="false">(IF(D60="O",1,0))</f>
        <v>1</v>
      </c>
      <c r="T60" s="0" t="n">
        <f aca="false">(IF(D60="L",1,0))</f>
        <v>0</v>
      </c>
      <c r="U60" s="0" t="n">
        <f aca="false">MAX(E60-1,0)</f>
        <v>0</v>
      </c>
      <c r="V60" s="0" t="n">
        <f aca="false">MAX(U60-1+F60,0)</f>
        <v>0</v>
      </c>
      <c r="W60" s="0" t="n">
        <f aca="false">MAX(V60-1+G60,0)</f>
        <v>1</v>
      </c>
      <c r="X60" s="0" t="n">
        <f aca="false">MAX(W60-1+H60,0)</f>
        <v>1</v>
      </c>
      <c r="Y60" s="1" t="n">
        <f aca="false">0.5*(E60*I60+F60*J60+G60*K60+H60*L60-1)+(0+$U60*J60+$V60*K60+$W60*L60)</f>
        <v>1</v>
      </c>
      <c r="Z60" s="1" t="n">
        <f aca="false">0.5*(E60*M60+F60*N60+G60*O60+H60*P60-1)+(0+$U60*N60+$V60*O60+$W60*P60)</f>
        <v>0.5</v>
      </c>
      <c r="AA60" s="1" t="n">
        <f aca="false">0.5*(E60*Q60+F60*R60+G60*S60+H60*T60-1)+(0+$U60*R60+$V60*S60+$W60*T60)</f>
        <v>0.5</v>
      </c>
      <c r="AB60" s="0" t="n">
        <f aca="false">IF(B60="V",-2,0)+IF(B60="E",-1,0)+IF(B60="O",0,0)+IF(B60="L",1,0)+Y60</f>
        <v>2</v>
      </c>
      <c r="AC60" s="0" t="n">
        <f aca="false">IF(C60="V",-2,0)+IF(C60="E",-1,0)+IF(C60="O",0,0)+IF(C60="L",1,0)+Z60</f>
        <v>0.5</v>
      </c>
      <c r="AD60" s="0" t="n">
        <f aca="false">IF(D60="V",-2,0)+IF(D60="E",-1,0)+IF(D60="O",0,0)+IF(D60="L",1,0)+AA60</f>
        <v>0.5</v>
      </c>
      <c r="AE60" s="1" t="n">
        <f aca="false">IF(B60="V",-2,0)+IF(B60="E",-1,0)+IF(B60="O",0,0)+IF(B60="L",1,0)</f>
        <v>1</v>
      </c>
      <c r="AF60" s="1" t="n">
        <f aca="false">IF(B60="V",-2,0)+IF(B60="E",-1,0)+IF(B60="O",0,0)+IF(B60="L",1,0)+Y60</f>
        <v>2</v>
      </c>
      <c r="AG60" s="1" t="n">
        <f aca="false">IF(B60="V",-2,0)+IF(B60="E",-1,0)+IF(B60="O",0,0)+IF(B60="L",1,0)+Y60*2</f>
        <v>3</v>
      </c>
      <c r="AH60" s="1" t="n">
        <f aca="false">IF(C60="V",-2,0)+IF(C60="E",-1,0)+IF(C60="O",0,0)+IF(C60="L",1,0)</f>
        <v>0</v>
      </c>
      <c r="AI60" s="1" t="n">
        <f aca="false">IF(C60="V",-2,0)+IF(C60="E",-1,0)+IF(C60="O",0,0)+IF(C60="L",1,0)+Z60</f>
        <v>0.5</v>
      </c>
      <c r="AJ60" s="1" t="n">
        <f aca="false">IF(C60="V",-2,0)+IF(C60="E",-1,0)+IF(C60="O",0,0)+IF(C60="L",1,0)+Z60*2</f>
        <v>1</v>
      </c>
      <c r="AK60" s="1" t="n">
        <f aca="false">IF(D60="V",-2,0)+IF(D60="E",-1,0)+IF(D60="O",0,0)+IF(D60="L",1,0)</f>
        <v>0</v>
      </c>
      <c r="AL60" s="1" t="n">
        <f aca="false">IF(D60="V",-2,0)+IF(D60="E",-1,0)+IF(D60="O",0,0)+IF(D60="L",1,0)+AA60</f>
        <v>0.5</v>
      </c>
      <c r="AM60" s="1" t="n">
        <f aca="false">IF(D60="V",-2,0)+IF(D60="E",-1,0)+IF(D60="O",0,0)+IF(D60="L",1,0)+AA60*2</f>
        <v>1</v>
      </c>
      <c r="AN60" s="1" t="n">
        <f aca="false">(ABS(IF(AE60&lt;0,AE60*Early,AE60*Late))+ABS(IF(AF60&lt;0,AF60*Early,AF60*Late))+ABS(IF(AG60&lt;0,AG60*Early,AG60*Late)))/3</f>
        <v>8</v>
      </c>
      <c r="AO60" s="1" t="n">
        <f aca="false">(ABS(IF(AH60&lt;0,AH60*Early,AH60*Late))+ABS(IF(AI60&lt;0,AI60*Early,AI60*Late))+ABS(IF(AJ60&lt;0,AJ60*Early,AJ60*Late)))/3</f>
        <v>2</v>
      </c>
      <c r="AP60" s="1" t="n">
        <f aca="false">(ABS(IF(AK60&lt;0,AK60*Early,AK60*Late))+ABS(IF(AL60&lt;0,AL60*Early,AL60*Late))+ABS(IF(AM60&lt;0,AM60*Early,AM60*Late)))/3</f>
        <v>2</v>
      </c>
      <c r="AQ60" s="0" t="n">
        <f aca="false">Y60*Delay+AN60</f>
        <v>9</v>
      </c>
      <c r="AR60" s="0" t="n">
        <f aca="false">Z60*Delay+AO60</f>
        <v>2.5</v>
      </c>
      <c r="AS60" s="0" t="n">
        <f aca="false">AA60*Delay+AP60</f>
        <v>2.5</v>
      </c>
      <c r="AT60" s="1" t="n">
        <f aca="false">VLOOKUP(A60,SortA!$A$1:$AT$65,46,FALSE())</f>
        <v>0</v>
      </c>
      <c r="AU60" s="1" t="n">
        <f aca="false">VLOOKUP(A60,SortB!$A$1:$AT$65,46,FALSE())</f>
        <v>1</v>
      </c>
      <c r="AV60" s="1" t="n">
        <f aca="false">VLOOKUP(A60,SortC!$A$1:$AT$65,46,FALSE())</f>
        <v>1</v>
      </c>
      <c r="AW60" s="0" t="n">
        <f aca="false">IF(SUM(AT60:AV60)=3,1,0)</f>
        <v>0</v>
      </c>
      <c r="AX60" s="0" t="str">
        <f aca="false">B60&amp;C60&amp;D60</f>
        <v>LOO</v>
      </c>
      <c r="AY60" s="1" t="n">
        <f aca="false">AQ60+AR60+AS60</f>
        <v>14</v>
      </c>
      <c r="AZ60" s="1" t="str">
        <f aca="false">RIGHT(AX60,2)</f>
        <v>OO</v>
      </c>
      <c r="BA60" s="1" t="str">
        <f aca="false">LEFT(AX60,1)&amp;RIGHT(AX60,1)</f>
        <v>LO</v>
      </c>
      <c r="BB60" s="1" t="str">
        <f aca="false">LEFT(AX60,2)</f>
        <v>LO</v>
      </c>
      <c r="BC60" s="1" t="n">
        <f aca="false">VLOOKUP(AZ60,TwoPlayers!$AG$1:$AH$17,2,FALSE())</f>
        <v>5</v>
      </c>
      <c r="BD60" s="1" t="n">
        <f aca="false">VLOOKUP(BA60,TwoPlayers!$AG$1:$AH$17,2,FALSE())</f>
        <v>4</v>
      </c>
      <c r="BE60" s="1" t="n">
        <f aca="false">VLOOKUP(BB60,TwoPlayers!$AG$1:$AH$17,2,FALSE())</f>
        <v>4</v>
      </c>
      <c r="BF60" s="1" t="n">
        <f aca="false">$AY60-BC60</f>
        <v>9</v>
      </c>
      <c r="BG60" s="1" t="n">
        <f aca="false">$AY60-BD60</f>
        <v>10</v>
      </c>
      <c r="BH60" s="1" t="n">
        <f aca="false">$AY60-BE60</f>
        <v>10</v>
      </c>
      <c r="BI60" s="0" t="str">
        <f aca="false">AX60</f>
        <v>LOO</v>
      </c>
      <c r="BJ60" s="1" t="n">
        <f aca="false">VLOOKUP(A60,SortA!$A$1:$BM$65,65,FALSE())</f>
        <v>0</v>
      </c>
      <c r="BK60" s="1" t="n">
        <f aca="false">VLOOKUP(A60,SortB!$A$1:$BM$65,65,FALSE())</f>
        <v>0</v>
      </c>
      <c r="BL60" s="1" t="n">
        <f aca="false">VLOOKUP(A60,SortC!$A$1:$BM$65,65,FALSE())</f>
        <v>0</v>
      </c>
      <c r="BM60" s="1" t="n">
        <f aca="false">IF(SUM(BJ60:BL60)=3,1,0)</f>
        <v>0</v>
      </c>
    </row>
    <row r="61" customFormat="false" ht="13" hidden="false" customHeight="false" outlineLevel="0" collapsed="false">
      <c r="A61" s="0" t="n">
        <f aca="false">A60+1</f>
        <v>60</v>
      </c>
      <c r="B61" s="0" t="s">
        <v>4</v>
      </c>
      <c r="C61" s="0" t="s">
        <v>3</v>
      </c>
      <c r="D61" s="0" t="s">
        <v>4</v>
      </c>
      <c r="E61" s="0" t="n">
        <f aca="false">(IF($B61="V",1,0))+IF($C61="V",1,0)+IF($D61="V",1,0)</f>
        <v>0</v>
      </c>
      <c r="F61" s="0" t="n">
        <f aca="false">(IF($B61="E",1,0))+IF($C61="E",1,0)+IF($D61="E",1,0)</f>
        <v>0</v>
      </c>
      <c r="G61" s="0" t="n">
        <f aca="false">(IF($B61="O",1,0))+IF($C61="O",1,0)+IF($D61="O",1,0)</f>
        <v>1</v>
      </c>
      <c r="H61" s="0" t="n">
        <f aca="false">(IF($B61="L",1,0))+IF($C61="L",1,0)+IF($D61="L",1,0)</f>
        <v>2</v>
      </c>
      <c r="I61" s="0" t="n">
        <f aca="false">(IF(B61="V",1,0))</f>
        <v>0</v>
      </c>
      <c r="J61" s="0" t="n">
        <f aca="false">(IF(B61="E",1,0))</f>
        <v>0</v>
      </c>
      <c r="K61" s="0" t="n">
        <f aca="false">(IF(B61="O",1,0))</f>
        <v>0</v>
      </c>
      <c r="L61" s="0" t="n">
        <f aca="false">(IF(B61="L",1,0))</f>
        <v>1</v>
      </c>
      <c r="M61" s="0" t="n">
        <f aca="false">(IF(C61="V",1,0))</f>
        <v>0</v>
      </c>
      <c r="N61" s="0" t="n">
        <f aca="false">(IF(C61="E",1,0))</f>
        <v>0</v>
      </c>
      <c r="O61" s="0" t="n">
        <f aca="false">(IF(C61="O",1,0))</f>
        <v>1</v>
      </c>
      <c r="P61" s="0" t="n">
        <f aca="false">(IF(C61="L",1,0))</f>
        <v>0</v>
      </c>
      <c r="Q61" s="0" t="n">
        <f aca="false">(IF(D61="V",1,0))</f>
        <v>0</v>
      </c>
      <c r="R61" s="0" t="n">
        <f aca="false">(IF(D61="E",1,0))</f>
        <v>0</v>
      </c>
      <c r="S61" s="0" t="n">
        <f aca="false">(IF(D61="O",1,0))</f>
        <v>0</v>
      </c>
      <c r="T61" s="0" t="n">
        <f aca="false">(IF(D61="L",1,0))</f>
        <v>1</v>
      </c>
      <c r="U61" s="0" t="n">
        <f aca="false">MAX(E61-1,0)</f>
        <v>0</v>
      </c>
      <c r="V61" s="0" t="n">
        <f aca="false">MAX(U61-1+F61,0)</f>
        <v>0</v>
      </c>
      <c r="W61" s="0" t="n">
        <f aca="false">MAX(V61-1+G61,0)</f>
        <v>0</v>
      </c>
      <c r="X61" s="0" t="n">
        <f aca="false">MAX(W61-1+H61,0)</f>
        <v>1</v>
      </c>
      <c r="Y61" s="1" t="n">
        <f aca="false">0.5*(E61*I61+F61*J61+G61*K61+H61*L61-1)+(0+$U61*J61+$V61*K61+$W61*L61)</f>
        <v>0.5</v>
      </c>
      <c r="Z61" s="1" t="n">
        <f aca="false">0.5*(E61*M61+F61*N61+G61*O61+H61*P61-1)+(0+$U61*N61+$V61*O61+$W61*P61)</f>
        <v>0</v>
      </c>
      <c r="AA61" s="1" t="n">
        <f aca="false">0.5*(E61*Q61+F61*R61+G61*S61+H61*T61-1)+(0+$U61*R61+$V61*S61+$W61*T61)</f>
        <v>0.5</v>
      </c>
      <c r="AB61" s="0" t="n">
        <f aca="false">IF(B61="V",-2,0)+IF(B61="E",-1,0)+IF(B61="O",0,0)+IF(B61="L",1,0)+Y61</f>
        <v>1.5</v>
      </c>
      <c r="AC61" s="0" t="n">
        <f aca="false">IF(C61="V",-2,0)+IF(C61="E",-1,0)+IF(C61="O",0,0)+IF(C61="L",1,0)+Z61</f>
        <v>0</v>
      </c>
      <c r="AD61" s="0" t="n">
        <f aca="false">IF(D61="V",-2,0)+IF(D61="E",-1,0)+IF(D61="O",0,0)+IF(D61="L",1,0)+AA61</f>
        <v>1.5</v>
      </c>
      <c r="AE61" s="1" t="n">
        <f aca="false">IF(B61="V",-2,0)+IF(B61="E",-1,0)+IF(B61="O",0,0)+IF(B61="L",1,0)</f>
        <v>1</v>
      </c>
      <c r="AF61" s="1" t="n">
        <f aca="false">IF(B61="V",-2,0)+IF(B61="E",-1,0)+IF(B61="O",0,0)+IF(B61="L",1,0)+Y61</f>
        <v>1.5</v>
      </c>
      <c r="AG61" s="1" t="n">
        <f aca="false">IF(B61="V",-2,0)+IF(B61="E",-1,0)+IF(B61="O",0,0)+IF(B61="L",1,0)+Y61*2</f>
        <v>2</v>
      </c>
      <c r="AH61" s="1" t="n">
        <f aca="false">IF(C61="V",-2,0)+IF(C61="E",-1,0)+IF(C61="O",0,0)+IF(C61="L",1,0)</f>
        <v>0</v>
      </c>
      <c r="AI61" s="1" t="n">
        <f aca="false">IF(C61="V",-2,0)+IF(C61="E",-1,0)+IF(C61="O",0,0)+IF(C61="L",1,0)+Z61</f>
        <v>0</v>
      </c>
      <c r="AJ61" s="1" t="n">
        <f aca="false">IF(C61="V",-2,0)+IF(C61="E",-1,0)+IF(C61="O",0,0)+IF(C61="L",1,0)+Z61*2</f>
        <v>0</v>
      </c>
      <c r="AK61" s="1" t="n">
        <f aca="false">IF(D61="V",-2,0)+IF(D61="E",-1,0)+IF(D61="O",0,0)+IF(D61="L",1,0)</f>
        <v>1</v>
      </c>
      <c r="AL61" s="1" t="n">
        <f aca="false">IF(D61="V",-2,0)+IF(D61="E",-1,0)+IF(D61="O",0,0)+IF(D61="L",1,0)+AA61</f>
        <v>1.5</v>
      </c>
      <c r="AM61" s="1" t="n">
        <f aca="false">IF(D61="V",-2,0)+IF(D61="E",-1,0)+IF(D61="O",0,0)+IF(D61="L",1,0)+AA61*2</f>
        <v>2</v>
      </c>
      <c r="AN61" s="1" t="n">
        <f aca="false">(ABS(IF(AE61&lt;0,AE61*Early,AE61*Late))+ABS(IF(AF61&lt;0,AF61*Early,AF61*Late))+ABS(IF(AG61&lt;0,AG61*Early,AG61*Late)))/3</f>
        <v>6</v>
      </c>
      <c r="AO61" s="1" t="n">
        <f aca="false">(ABS(IF(AH61&lt;0,AH61*Early,AH61*Late))+ABS(IF(AI61&lt;0,AI61*Early,AI61*Late))+ABS(IF(AJ61&lt;0,AJ61*Early,AJ61*Late)))/3</f>
        <v>0</v>
      </c>
      <c r="AP61" s="1" t="n">
        <f aca="false">(ABS(IF(AK61&lt;0,AK61*Early,AK61*Late))+ABS(IF(AL61&lt;0,AL61*Early,AL61*Late))+ABS(IF(AM61&lt;0,AM61*Early,AM61*Late)))/3</f>
        <v>6</v>
      </c>
      <c r="AQ61" s="0" t="n">
        <f aca="false">Y61*Delay+AN61</f>
        <v>6.5</v>
      </c>
      <c r="AR61" s="0" t="n">
        <f aca="false">Z61*Delay+AO61</f>
        <v>0</v>
      </c>
      <c r="AS61" s="0" t="n">
        <f aca="false">AA61*Delay+AP61</f>
        <v>6.5</v>
      </c>
      <c r="AT61" s="1" t="n">
        <f aca="false">VLOOKUP(A61,SortA!$A$1:$AT$65,46,FALSE())</f>
        <v>0</v>
      </c>
      <c r="AU61" s="1" t="n">
        <f aca="false">VLOOKUP(A61,SortB!$A$1:$AT$65,46,FALSE())</f>
        <v>1</v>
      </c>
      <c r="AV61" s="1" t="n">
        <f aca="false">VLOOKUP(A61,SortC!$A$1:$AT$65,46,FALSE())</f>
        <v>0</v>
      </c>
      <c r="AW61" s="0" t="n">
        <f aca="false">IF(SUM(AT61:AV61)=3,1,0)</f>
        <v>0</v>
      </c>
      <c r="AX61" s="0" t="str">
        <f aca="false">B61&amp;C61&amp;D61</f>
        <v>LOL</v>
      </c>
      <c r="AY61" s="1" t="n">
        <f aca="false">AQ61+AR61+AS61</f>
        <v>13</v>
      </c>
      <c r="AZ61" s="1" t="str">
        <f aca="false">RIGHT(AX61,2)</f>
        <v>OL</v>
      </c>
      <c r="BA61" s="1" t="str">
        <f aca="false">LEFT(AX61,1)&amp;RIGHT(AX61,1)</f>
        <v>LL</v>
      </c>
      <c r="BB61" s="1" t="str">
        <f aca="false">LEFT(AX61,2)</f>
        <v>LO</v>
      </c>
      <c r="BC61" s="1" t="n">
        <f aca="false">VLOOKUP(AZ61,TwoPlayers!$AG$1:$AH$17,2,FALSE())</f>
        <v>4</v>
      </c>
      <c r="BD61" s="1" t="n">
        <f aca="false">VLOOKUP(BA61,TwoPlayers!$AG$1:$AH$17,2,FALSE())</f>
        <v>13</v>
      </c>
      <c r="BE61" s="1" t="n">
        <f aca="false">VLOOKUP(BB61,TwoPlayers!$AG$1:$AH$17,2,FALSE())</f>
        <v>4</v>
      </c>
      <c r="BF61" s="1" t="n">
        <f aca="false">$AY61-BC61</f>
        <v>9</v>
      </c>
      <c r="BG61" s="1" t="n">
        <f aca="false">$AY61-BD61</f>
        <v>0</v>
      </c>
      <c r="BH61" s="1" t="n">
        <f aca="false">$AY61-BE61</f>
        <v>9</v>
      </c>
      <c r="BI61" s="0" t="str">
        <f aca="false">AX61</f>
        <v>LOL</v>
      </c>
      <c r="BJ61" s="1" t="n">
        <f aca="false">VLOOKUP(A61,SortA!$A$1:$BM$65,65,FALSE())</f>
        <v>0</v>
      </c>
      <c r="BK61" s="1" t="n">
        <f aca="false">VLOOKUP(A61,SortB!$A$1:$BM$65,65,FALSE())</f>
        <v>1</v>
      </c>
      <c r="BL61" s="1" t="n">
        <f aca="false">VLOOKUP(A61,SortC!$A$1:$BM$65,65,FALSE())</f>
        <v>0</v>
      </c>
      <c r="BM61" s="1" t="n">
        <f aca="false">IF(SUM(BJ61:BL61)=3,1,0)</f>
        <v>0</v>
      </c>
    </row>
    <row r="62" customFormat="false" ht="13" hidden="false" customHeight="false" outlineLevel="0" collapsed="false">
      <c r="A62" s="0" t="n">
        <f aca="false">A61+1</f>
        <v>61</v>
      </c>
      <c r="B62" s="0" t="s">
        <v>4</v>
      </c>
      <c r="C62" s="0" t="s">
        <v>4</v>
      </c>
      <c r="D62" s="0" t="s">
        <v>1</v>
      </c>
      <c r="E62" s="0" t="n">
        <f aca="false">(IF($B62="V",1,0))+IF($C62="V",1,0)+IF($D62="V",1,0)</f>
        <v>1</v>
      </c>
      <c r="F62" s="0" t="n">
        <f aca="false">(IF($B62="E",1,0))+IF($C62="E",1,0)+IF($D62="E",1,0)</f>
        <v>0</v>
      </c>
      <c r="G62" s="0" t="n">
        <f aca="false">(IF($B62="O",1,0))+IF($C62="O",1,0)+IF($D62="O",1,0)</f>
        <v>0</v>
      </c>
      <c r="H62" s="0" t="n">
        <f aca="false">(IF($B62="L",1,0))+IF($C62="L",1,0)+IF($D62="L",1,0)</f>
        <v>2</v>
      </c>
      <c r="I62" s="0" t="n">
        <f aca="false">(IF(B62="V",1,0))</f>
        <v>0</v>
      </c>
      <c r="J62" s="0" t="n">
        <f aca="false">(IF(B62="E",1,0))</f>
        <v>0</v>
      </c>
      <c r="K62" s="0" t="n">
        <f aca="false">(IF(B62="O",1,0))</f>
        <v>0</v>
      </c>
      <c r="L62" s="0" t="n">
        <f aca="false">(IF(B62="L",1,0))</f>
        <v>1</v>
      </c>
      <c r="M62" s="0" t="n">
        <f aca="false">(IF(C62="V",1,0))</f>
        <v>0</v>
      </c>
      <c r="N62" s="0" t="n">
        <f aca="false">(IF(C62="E",1,0))</f>
        <v>0</v>
      </c>
      <c r="O62" s="0" t="n">
        <f aca="false">(IF(C62="O",1,0))</f>
        <v>0</v>
      </c>
      <c r="P62" s="0" t="n">
        <f aca="false">(IF(C62="L",1,0))</f>
        <v>1</v>
      </c>
      <c r="Q62" s="0" t="n">
        <f aca="false">(IF(D62="V",1,0))</f>
        <v>1</v>
      </c>
      <c r="R62" s="0" t="n">
        <f aca="false">(IF(D62="E",1,0))</f>
        <v>0</v>
      </c>
      <c r="S62" s="0" t="n">
        <f aca="false">(IF(D62="O",1,0))</f>
        <v>0</v>
      </c>
      <c r="T62" s="0" t="n">
        <f aca="false">(IF(D62="L",1,0))</f>
        <v>0</v>
      </c>
      <c r="U62" s="0" t="n">
        <f aca="false">MAX(E62-1,0)</f>
        <v>0</v>
      </c>
      <c r="V62" s="0" t="n">
        <f aca="false">MAX(U62-1+F62,0)</f>
        <v>0</v>
      </c>
      <c r="W62" s="0" t="n">
        <f aca="false">MAX(V62-1+G62,0)</f>
        <v>0</v>
      </c>
      <c r="X62" s="0" t="n">
        <f aca="false">MAX(W62-1+H62,0)</f>
        <v>1</v>
      </c>
      <c r="Y62" s="1" t="n">
        <f aca="false">0.5*(E62*I62+F62*J62+G62*K62+H62*L62-1)+(0+$U62*J62+$V62*K62+$W62*L62)</f>
        <v>0.5</v>
      </c>
      <c r="Z62" s="1" t="n">
        <f aca="false">0.5*(E62*M62+F62*N62+G62*O62+H62*P62-1)+(0+$U62*N62+$V62*O62+$W62*P62)</f>
        <v>0.5</v>
      </c>
      <c r="AA62" s="1" t="n">
        <f aca="false">0.5*(E62*Q62+F62*R62+G62*S62+H62*T62-1)+(0+$U62*R62+$V62*S62+$W62*T62)</f>
        <v>0</v>
      </c>
      <c r="AB62" s="0" t="n">
        <f aca="false">IF(B62="V",-2,0)+IF(B62="E",-1,0)+IF(B62="O",0,0)+IF(B62="L",1,0)+Y62</f>
        <v>1.5</v>
      </c>
      <c r="AC62" s="0" t="n">
        <f aca="false">IF(C62="V",-2,0)+IF(C62="E",-1,0)+IF(C62="O",0,0)+IF(C62="L",1,0)+Z62</f>
        <v>1.5</v>
      </c>
      <c r="AD62" s="0" t="n">
        <f aca="false">IF(D62="V",-2,0)+IF(D62="E",-1,0)+IF(D62="O",0,0)+IF(D62="L",1,0)+AA62</f>
        <v>-2</v>
      </c>
      <c r="AE62" s="1" t="n">
        <f aca="false">IF(B62="V",-2,0)+IF(B62="E",-1,0)+IF(B62="O",0,0)+IF(B62="L",1,0)</f>
        <v>1</v>
      </c>
      <c r="AF62" s="1" t="n">
        <f aca="false">IF(B62="V",-2,0)+IF(B62="E",-1,0)+IF(B62="O",0,0)+IF(B62="L",1,0)+Y62</f>
        <v>1.5</v>
      </c>
      <c r="AG62" s="1" t="n">
        <f aca="false">IF(B62="V",-2,0)+IF(B62="E",-1,0)+IF(B62="O",0,0)+IF(B62="L",1,0)+Y62*2</f>
        <v>2</v>
      </c>
      <c r="AH62" s="1" t="n">
        <f aca="false">IF(C62="V",-2,0)+IF(C62="E",-1,0)+IF(C62="O",0,0)+IF(C62="L",1,0)</f>
        <v>1</v>
      </c>
      <c r="AI62" s="1" t="n">
        <f aca="false">IF(C62="V",-2,0)+IF(C62="E",-1,0)+IF(C62="O",0,0)+IF(C62="L",1,0)+Z62</f>
        <v>1.5</v>
      </c>
      <c r="AJ62" s="1" t="n">
        <f aca="false">IF(C62="V",-2,0)+IF(C62="E",-1,0)+IF(C62="O",0,0)+IF(C62="L",1,0)+Z62*2</f>
        <v>2</v>
      </c>
      <c r="AK62" s="1" t="n">
        <f aca="false">IF(D62="V",-2,0)+IF(D62="E",-1,0)+IF(D62="O",0,0)+IF(D62="L",1,0)</f>
        <v>-2</v>
      </c>
      <c r="AL62" s="1" t="n">
        <f aca="false">IF(D62="V",-2,0)+IF(D62="E",-1,0)+IF(D62="O",0,0)+IF(D62="L",1,0)+AA62</f>
        <v>-2</v>
      </c>
      <c r="AM62" s="1" t="n">
        <f aca="false">IF(D62="V",-2,0)+IF(D62="E",-1,0)+IF(D62="O",0,0)+IF(D62="L",1,0)+AA62*2</f>
        <v>-2</v>
      </c>
      <c r="AN62" s="1" t="n">
        <f aca="false">(ABS(IF(AE62&lt;0,AE62*Early,AE62*Late))+ABS(IF(AF62&lt;0,AF62*Early,AF62*Late))+ABS(IF(AG62&lt;0,AG62*Early,AG62*Late)))/3</f>
        <v>6</v>
      </c>
      <c r="AO62" s="1" t="n">
        <f aca="false">(ABS(IF(AH62&lt;0,AH62*Early,AH62*Late))+ABS(IF(AI62&lt;0,AI62*Early,AI62*Late))+ABS(IF(AJ62&lt;0,AJ62*Early,AJ62*Late)))/3</f>
        <v>6</v>
      </c>
      <c r="AP62" s="1" t="n">
        <f aca="false">(ABS(IF(AK62&lt;0,AK62*Early,AK62*Late))+ABS(IF(AL62&lt;0,AL62*Early,AL62*Late))+ABS(IF(AM62&lt;0,AM62*Early,AM62*Late)))/3</f>
        <v>6</v>
      </c>
      <c r="AQ62" s="0" t="n">
        <f aca="false">Y62*Delay+AN62</f>
        <v>6.5</v>
      </c>
      <c r="AR62" s="0" t="n">
        <f aca="false">Z62*Delay+AO62</f>
        <v>6.5</v>
      </c>
      <c r="AS62" s="0" t="n">
        <f aca="false">AA62*Delay+AP62</f>
        <v>6</v>
      </c>
      <c r="AT62" s="1" t="n">
        <f aca="false">VLOOKUP(A62,SortA!$A$1:$AT$65,46,FALSE())</f>
        <v>0</v>
      </c>
      <c r="AU62" s="1" t="n">
        <f aca="false">VLOOKUP(A62,SortB!$A$1:$AT$65,46,FALSE())</f>
        <v>0</v>
      </c>
      <c r="AV62" s="1" t="n">
        <f aca="false">VLOOKUP(A62,SortC!$A$1:$AT$65,46,FALSE())</f>
        <v>0</v>
      </c>
      <c r="AW62" s="0" t="n">
        <f aca="false">IF(SUM(AT62:AV62)=3,1,0)</f>
        <v>0</v>
      </c>
      <c r="AX62" s="0" t="str">
        <f aca="false">B62&amp;C62&amp;D62</f>
        <v>LLV</v>
      </c>
      <c r="AY62" s="1" t="n">
        <f aca="false">AQ62+AR62+AS62</f>
        <v>19</v>
      </c>
      <c r="AZ62" s="1" t="str">
        <f aca="false">RIGHT(AX62,2)</f>
        <v>LV</v>
      </c>
      <c r="BA62" s="1" t="str">
        <f aca="false">LEFT(AX62,1)&amp;RIGHT(AX62,1)</f>
        <v>LV</v>
      </c>
      <c r="BB62" s="1" t="str">
        <f aca="false">LEFT(AX62,2)</f>
        <v>LL</v>
      </c>
      <c r="BC62" s="1" t="n">
        <f aca="false">VLOOKUP(AZ62,TwoPlayers!$AG$1:$AH$17,2,FALSE())</f>
        <v>10</v>
      </c>
      <c r="BD62" s="1" t="n">
        <f aca="false">VLOOKUP(BA62,TwoPlayers!$AG$1:$AH$17,2,FALSE())</f>
        <v>10</v>
      </c>
      <c r="BE62" s="1" t="n">
        <f aca="false">VLOOKUP(BB62,TwoPlayers!$AG$1:$AH$17,2,FALSE())</f>
        <v>13</v>
      </c>
      <c r="BF62" s="1" t="n">
        <f aca="false">$AY62-BC62</f>
        <v>9</v>
      </c>
      <c r="BG62" s="1" t="n">
        <f aca="false">$AY62-BD62</f>
        <v>9</v>
      </c>
      <c r="BH62" s="1" t="n">
        <f aca="false">$AY62-BE62</f>
        <v>6</v>
      </c>
      <c r="BI62" s="0" t="str">
        <f aca="false">AX62</f>
        <v>LLV</v>
      </c>
      <c r="BJ62" s="1" t="n">
        <f aca="false">VLOOKUP(A62,SortA!$A$1:$BM$65,65,FALSE())</f>
        <v>0</v>
      </c>
      <c r="BK62" s="1" t="n">
        <f aca="false">VLOOKUP(A62,SortB!$A$1:$BM$65,65,FALSE())</f>
        <v>0</v>
      </c>
      <c r="BL62" s="1" t="n">
        <f aca="false">VLOOKUP(A62,SortC!$A$1:$BM$65,65,FALSE())</f>
        <v>0</v>
      </c>
      <c r="BM62" s="1" t="n">
        <f aca="false">IF(SUM(BJ62:BL62)=3,1,0)</f>
        <v>0</v>
      </c>
    </row>
    <row r="63" customFormat="false" ht="13" hidden="false" customHeight="false" outlineLevel="0" collapsed="false">
      <c r="A63" s="0" t="n">
        <f aca="false">A62+1</f>
        <v>62</v>
      </c>
      <c r="B63" s="0" t="s">
        <v>4</v>
      </c>
      <c r="C63" s="0" t="s">
        <v>4</v>
      </c>
      <c r="D63" s="0" t="s">
        <v>2</v>
      </c>
      <c r="E63" s="0" t="n">
        <f aca="false">(IF($B63="V",1,0))+IF($C63="V",1,0)+IF($D63="V",1,0)</f>
        <v>0</v>
      </c>
      <c r="F63" s="0" t="n">
        <f aca="false">(IF($B63="E",1,0))+IF($C63="E",1,0)+IF($D63="E",1,0)</f>
        <v>1</v>
      </c>
      <c r="G63" s="0" t="n">
        <f aca="false">(IF($B63="O",1,0))+IF($C63="O",1,0)+IF($D63="O",1,0)</f>
        <v>0</v>
      </c>
      <c r="H63" s="0" t="n">
        <f aca="false">(IF($B63="L",1,0))+IF($C63="L",1,0)+IF($D63="L",1,0)</f>
        <v>2</v>
      </c>
      <c r="I63" s="0" t="n">
        <f aca="false">(IF(B63="V",1,0))</f>
        <v>0</v>
      </c>
      <c r="J63" s="0" t="n">
        <f aca="false">(IF(B63="E",1,0))</f>
        <v>0</v>
      </c>
      <c r="K63" s="0" t="n">
        <f aca="false">(IF(B63="O",1,0))</f>
        <v>0</v>
      </c>
      <c r="L63" s="0" t="n">
        <f aca="false">(IF(B63="L",1,0))</f>
        <v>1</v>
      </c>
      <c r="M63" s="0" t="n">
        <f aca="false">(IF(C63="V",1,0))</f>
        <v>0</v>
      </c>
      <c r="N63" s="0" t="n">
        <f aca="false">(IF(C63="E",1,0))</f>
        <v>0</v>
      </c>
      <c r="O63" s="0" t="n">
        <f aca="false">(IF(C63="O",1,0))</f>
        <v>0</v>
      </c>
      <c r="P63" s="0" t="n">
        <f aca="false">(IF(C63="L",1,0))</f>
        <v>1</v>
      </c>
      <c r="Q63" s="0" t="n">
        <f aca="false">(IF(D63="V",1,0))</f>
        <v>0</v>
      </c>
      <c r="R63" s="0" t="n">
        <f aca="false">(IF(D63="E",1,0))</f>
        <v>1</v>
      </c>
      <c r="S63" s="0" t="n">
        <f aca="false">(IF(D63="O",1,0))</f>
        <v>0</v>
      </c>
      <c r="T63" s="0" t="n">
        <f aca="false">(IF(D63="L",1,0))</f>
        <v>0</v>
      </c>
      <c r="U63" s="0" t="n">
        <f aca="false">MAX(E63-1,0)</f>
        <v>0</v>
      </c>
      <c r="V63" s="0" t="n">
        <f aca="false">MAX(U63-1+F63,0)</f>
        <v>0</v>
      </c>
      <c r="W63" s="0" t="n">
        <f aca="false">MAX(V63-1+G63,0)</f>
        <v>0</v>
      </c>
      <c r="X63" s="0" t="n">
        <f aca="false">MAX(W63-1+H63,0)</f>
        <v>1</v>
      </c>
      <c r="Y63" s="1" t="n">
        <f aca="false">0.5*(E63*I63+F63*J63+G63*K63+H63*L63-1)+(0+$U63*J63+$V63*K63+$W63*L63)</f>
        <v>0.5</v>
      </c>
      <c r="Z63" s="1" t="n">
        <f aca="false">0.5*(E63*M63+F63*N63+G63*O63+H63*P63-1)+(0+$U63*N63+$V63*O63+$W63*P63)</f>
        <v>0.5</v>
      </c>
      <c r="AA63" s="1" t="n">
        <f aca="false">0.5*(E63*Q63+F63*R63+G63*S63+H63*T63-1)+(0+$U63*R63+$V63*S63+$W63*T63)</f>
        <v>0</v>
      </c>
      <c r="AB63" s="0" t="n">
        <f aca="false">IF(B63="V",-2,0)+IF(B63="E",-1,0)+IF(B63="O",0,0)+IF(B63="L",1,0)+Y63</f>
        <v>1.5</v>
      </c>
      <c r="AC63" s="0" t="n">
        <f aca="false">IF(C63="V",-2,0)+IF(C63="E",-1,0)+IF(C63="O",0,0)+IF(C63="L",1,0)+Z63</f>
        <v>1.5</v>
      </c>
      <c r="AD63" s="0" t="n">
        <f aca="false">IF(D63="V",-2,0)+IF(D63="E",-1,0)+IF(D63="O",0,0)+IF(D63="L",1,0)+AA63</f>
        <v>-1</v>
      </c>
      <c r="AE63" s="1" t="n">
        <f aca="false">IF(B63="V",-2,0)+IF(B63="E",-1,0)+IF(B63="O",0,0)+IF(B63="L",1,0)</f>
        <v>1</v>
      </c>
      <c r="AF63" s="1" t="n">
        <f aca="false">IF(B63="V",-2,0)+IF(B63="E",-1,0)+IF(B63="O",0,0)+IF(B63="L",1,0)+Y63</f>
        <v>1.5</v>
      </c>
      <c r="AG63" s="1" t="n">
        <f aca="false">IF(B63="V",-2,0)+IF(B63="E",-1,0)+IF(B63="O",0,0)+IF(B63="L",1,0)+Y63*2</f>
        <v>2</v>
      </c>
      <c r="AH63" s="1" t="n">
        <f aca="false">IF(C63="V",-2,0)+IF(C63="E",-1,0)+IF(C63="O",0,0)+IF(C63="L",1,0)</f>
        <v>1</v>
      </c>
      <c r="AI63" s="1" t="n">
        <f aca="false">IF(C63="V",-2,0)+IF(C63="E",-1,0)+IF(C63="O",0,0)+IF(C63="L",1,0)+Z63</f>
        <v>1.5</v>
      </c>
      <c r="AJ63" s="1" t="n">
        <f aca="false">IF(C63="V",-2,0)+IF(C63="E",-1,0)+IF(C63="O",0,0)+IF(C63="L",1,0)+Z63*2</f>
        <v>2</v>
      </c>
      <c r="AK63" s="1" t="n">
        <f aca="false">IF(D63="V",-2,0)+IF(D63="E",-1,0)+IF(D63="O",0,0)+IF(D63="L",1,0)</f>
        <v>-1</v>
      </c>
      <c r="AL63" s="1" t="n">
        <f aca="false">IF(D63="V",-2,0)+IF(D63="E",-1,0)+IF(D63="O",0,0)+IF(D63="L",1,0)+AA63</f>
        <v>-1</v>
      </c>
      <c r="AM63" s="1" t="n">
        <f aca="false">IF(D63="V",-2,0)+IF(D63="E",-1,0)+IF(D63="O",0,0)+IF(D63="L",1,0)+AA63*2</f>
        <v>-1</v>
      </c>
      <c r="AN63" s="1" t="n">
        <f aca="false">(ABS(IF(AE63&lt;0,AE63*Early,AE63*Late))+ABS(IF(AF63&lt;0,AF63*Early,AF63*Late))+ABS(IF(AG63&lt;0,AG63*Early,AG63*Late)))/3</f>
        <v>6</v>
      </c>
      <c r="AO63" s="1" t="n">
        <f aca="false">(ABS(IF(AH63&lt;0,AH63*Early,AH63*Late))+ABS(IF(AI63&lt;0,AI63*Early,AI63*Late))+ABS(IF(AJ63&lt;0,AJ63*Early,AJ63*Late)))/3</f>
        <v>6</v>
      </c>
      <c r="AP63" s="1" t="n">
        <f aca="false">(ABS(IF(AK63&lt;0,AK63*Early,AK63*Late))+ABS(IF(AL63&lt;0,AL63*Early,AL63*Late))+ABS(IF(AM63&lt;0,AM63*Early,AM63*Late)))/3</f>
        <v>3</v>
      </c>
      <c r="AQ63" s="0" t="n">
        <f aca="false">Y63*Delay+AN63</f>
        <v>6.5</v>
      </c>
      <c r="AR63" s="0" t="n">
        <f aca="false">Z63*Delay+AO63</f>
        <v>6.5</v>
      </c>
      <c r="AS63" s="0" t="n">
        <f aca="false">AA63*Delay+AP63</f>
        <v>3</v>
      </c>
      <c r="AT63" s="1" t="n">
        <f aca="false">VLOOKUP(A63,SortA!$A$1:$AT$65,46,FALSE())</f>
        <v>0</v>
      </c>
      <c r="AU63" s="1" t="n">
        <f aca="false">VLOOKUP(A63,SortB!$A$1:$AT$65,46,FALSE())</f>
        <v>0</v>
      </c>
      <c r="AV63" s="1" t="n">
        <f aca="false">VLOOKUP(A63,SortC!$A$1:$AT$65,46,FALSE())</f>
        <v>0</v>
      </c>
      <c r="AW63" s="0" t="n">
        <f aca="false">IF(SUM(AT63:AV63)=3,1,0)</f>
        <v>0</v>
      </c>
      <c r="AX63" s="0" t="str">
        <f aca="false">B63&amp;C63&amp;D63</f>
        <v>LLE</v>
      </c>
      <c r="AY63" s="1" t="n">
        <f aca="false">AQ63+AR63+AS63</f>
        <v>16</v>
      </c>
      <c r="AZ63" s="1" t="str">
        <f aca="false">RIGHT(AX63,2)</f>
        <v>LE</v>
      </c>
      <c r="BA63" s="1" t="str">
        <f aca="false">LEFT(AX63,1)&amp;RIGHT(AX63,1)</f>
        <v>LE</v>
      </c>
      <c r="BB63" s="1" t="str">
        <f aca="false">LEFT(AX63,2)</f>
        <v>LL</v>
      </c>
      <c r="BC63" s="1" t="n">
        <f aca="false">VLOOKUP(AZ63,TwoPlayers!$AG$1:$AH$17,2,FALSE())</f>
        <v>7</v>
      </c>
      <c r="BD63" s="1" t="n">
        <f aca="false">VLOOKUP(BA63,TwoPlayers!$AG$1:$AH$17,2,FALSE())</f>
        <v>7</v>
      </c>
      <c r="BE63" s="1" t="n">
        <f aca="false">VLOOKUP(BB63,TwoPlayers!$AG$1:$AH$17,2,FALSE())</f>
        <v>13</v>
      </c>
      <c r="BF63" s="1" t="n">
        <f aca="false">$AY63-BC63</f>
        <v>9</v>
      </c>
      <c r="BG63" s="1" t="n">
        <f aca="false">$AY63-BD63</f>
        <v>9</v>
      </c>
      <c r="BH63" s="1" t="n">
        <f aca="false">$AY63-BE63</f>
        <v>3</v>
      </c>
      <c r="BI63" s="0" t="str">
        <f aca="false">AX63</f>
        <v>LLE</v>
      </c>
      <c r="BJ63" s="1" t="n">
        <f aca="false">VLOOKUP(A63,SortA!$A$1:$BM$65,65,FALSE())</f>
        <v>0</v>
      </c>
      <c r="BK63" s="1" t="n">
        <f aca="false">VLOOKUP(A63,SortB!$A$1:$BM$65,65,FALSE())</f>
        <v>0</v>
      </c>
      <c r="BL63" s="1" t="n">
        <f aca="false">VLOOKUP(A63,SortC!$A$1:$BM$65,65,FALSE())</f>
        <v>0</v>
      </c>
      <c r="BM63" s="1" t="n">
        <f aca="false">IF(SUM(BJ63:BL63)=3,1,0)</f>
        <v>0</v>
      </c>
    </row>
    <row r="64" customFormat="false" ht="13" hidden="false" customHeight="false" outlineLevel="0" collapsed="false">
      <c r="A64" s="0" t="n">
        <f aca="false">A63+1</f>
        <v>63</v>
      </c>
      <c r="B64" s="0" t="s">
        <v>4</v>
      </c>
      <c r="C64" s="0" t="s">
        <v>4</v>
      </c>
      <c r="D64" s="0" t="s">
        <v>3</v>
      </c>
      <c r="E64" s="0" t="n">
        <f aca="false">(IF($B64="V",1,0))+IF($C64="V",1,0)+IF($D64="V",1,0)</f>
        <v>0</v>
      </c>
      <c r="F64" s="0" t="n">
        <f aca="false">(IF($B64="E",1,0))+IF($C64="E",1,0)+IF($D64="E",1,0)</f>
        <v>0</v>
      </c>
      <c r="G64" s="0" t="n">
        <f aca="false">(IF($B64="O",1,0))+IF($C64="O",1,0)+IF($D64="O",1,0)</f>
        <v>1</v>
      </c>
      <c r="H64" s="0" t="n">
        <f aca="false">(IF($B64="L",1,0))+IF($C64="L",1,0)+IF($D64="L",1,0)</f>
        <v>2</v>
      </c>
      <c r="I64" s="0" t="n">
        <f aca="false">(IF(B64="V",1,0))</f>
        <v>0</v>
      </c>
      <c r="J64" s="0" t="n">
        <f aca="false">(IF(B64="E",1,0))</f>
        <v>0</v>
      </c>
      <c r="K64" s="0" t="n">
        <f aca="false">(IF(B64="O",1,0))</f>
        <v>0</v>
      </c>
      <c r="L64" s="0" t="n">
        <f aca="false">(IF(B64="L",1,0))</f>
        <v>1</v>
      </c>
      <c r="M64" s="0" t="n">
        <f aca="false">(IF(C64="V",1,0))</f>
        <v>0</v>
      </c>
      <c r="N64" s="0" t="n">
        <f aca="false">(IF(C64="E",1,0))</f>
        <v>0</v>
      </c>
      <c r="O64" s="0" t="n">
        <f aca="false">(IF(C64="O",1,0))</f>
        <v>0</v>
      </c>
      <c r="P64" s="0" t="n">
        <f aca="false">(IF(C64="L",1,0))</f>
        <v>1</v>
      </c>
      <c r="Q64" s="0" t="n">
        <f aca="false">(IF(D64="V",1,0))</f>
        <v>0</v>
      </c>
      <c r="R64" s="0" t="n">
        <f aca="false">(IF(D64="E",1,0))</f>
        <v>0</v>
      </c>
      <c r="S64" s="0" t="n">
        <f aca="false">(IF(D64="O",1,0))</f>
        <v>1</v>
      </c>
      <c r="T64" s="0" t="n">
        <f aca="false">(IF(D64="L",1,0))</f>
        <v>0</v>
      </c>
      <c r="U64" s="0" t="n">
        <f aca="false">MAX(E64-1,0)</f>
        <v>0</v>
      </c>
      <c r="V64" s="0" t="n">
        <f aca="false">MAX(U64-1+F64,0)</f>
        <v>0</v>
      </c>
      <c r="W64" s="0" t="n">
        <f aca="false">MAX(V64-1+G64,0)</f>
        <v>0</v>
      </c>
      <c r="X64" s="0" t="n">
        <f aca="false">MAX(W64-1+H64,0)</f>
        <v>1</v>
      </c>
      <c r="Y64" s="1" t="n">
        <f aca="false">0.5*(E64*I64+F64*J64+G64*K64+H64*L64-1)+(0+$U64*J64+$V64*K64+$W64*L64)</f>
        <v>0.5</v>
      </c>
      <c r="Z64" s="1" t="n">
        <f aca="false">0.5*(E64*M64+F64*N64+G64*O64+H64*P64-1)+(0+$U64*N64+$V64*O64+$W64*P64)</f>
        <v>0.5</v>
      </c>
      <c r="AA64" s="1" t="n">
        <f aca="false">0.5*(E64*Q64+F64*R64+G64*S64+H64*T64-1)+(0+$U64*R64+$V64*S64+$W64*T64)</f>
        <v>0</v>
      </c>
      <c r="AB64" s="0" t="n">
        <f aca="false">IF(B64="V",-2,0)+IF(B64="E",-1,0)+IF(B64="O",0,0)+IF(B64="L",1,0)+Y64</f>
        <v>1.5</v>
      </c>
      <c r="AC64" s="0" t="n">
        <f aca="false">IF(C64="V",-2,0)+IF(C64="E",-1,0)+IF(C64="O",0,0)+IF(C64="L",1,0)+Z64</f>
        <v>1.5</v>
      </c>
      <c r="AD64" s="0" t="n">
        <f aca="false">IF(D64="V",-2,0)+IF(D64="E",-1,0)+IF(D64="O",0,0)+IF(D64="L",1,0)+AA64</f>
        <v>0</v>
      </c>
      <c r="AE64" s="1" t="n">
        <f aca="false">IF(B64="V",-2,0)+IF(B64="E",-1,0)+IF(B64="O",0,0)+IF(B64="L",1,0)</f>
        <v>1</v>
      </c>
      <c r="AF64" s="1" t="n">
        <f aca="false">IF(B64="V",-2,0)+IF(B64="E",-1,0)+IF(B64="O",0,0)+IF(B64="L",1,0)+Y64</f>
        <v>1.5</v>
      </c>
      <c r="AG64" s="1" t="n">
        <f aca="false">IF(B64="V",-2,0)+IF(B64="E",-1,0)+IF(B64="O",0,0)+IF(B64="L",1,0)+Y64*2</f>
        <v>2</v>
      </c>
      <c r="AH64" s="1" t="n">
        <f aca="false">IF(C64="V",-2,0)+IF(C64="E",-1,0)+IF(C64="O",0,0)+IF(C64="L",1,0)</f>
        <v>1</v>
      </c>
      <c r="AI64" s="1" t="n">
        <f aca="false">IF(C64="V",-2,0)+IF(C64="E",-1,0)+IF(C64="O",0,0)+IF(C64="L",1,0)+Z64</f>
        <v>1.5</v>
      </c>
      <c r="AJ64" s="1" t="n">
        <f aca="false">IF(C64="V",-2,0)+IF(C64="E",-1,0)+IF(C64="O",0,0)+IF(C64="L",1,0)+Z64*2</f>
        <v>2</v>
      </c>
      <c r="AK64" s="1" t="n">
        <f aca="false">IF(D64="V",-2,0)+IF(D64="E",-1,0)+IF(D64="O",0,0)+IF(D64="L",1,0)</f>
        <v>0</v>
      </c>
      <c r="AL64" s="1" t="n">
        <f aca="false">IF(D64="V",-2,0)+IF(D64="E",-1,0)+IF(D64="O",0,0)+IF(D64="L",1,0)+AA64</f>
        <v>0</v>
      </c>
      <c r="AM64" s="1" t="n">
        <f aca="false">IF(D64="V",-2,0)+IF(D64="E",-1,0)+IF(D64="O",0,0)+IF(D64="L",1,0)+AA64*2</f>
        <v>0</v>
      </c>
      <c r="AN64" s="1" t="n">
        <f aca="false">(ABS(IF(AE64&lt;0,AE64*Early,AE64*Late))+ABS(IF(AF64&lt;0,AF64*Early,AF64*Late))+ABS(IF(AG64&lt;0,AG64*Early,AG64*Late)))/3</f>
        <v>6</v>
      </c>
      <c r="AO64" s="1" t="n">
        <f aca="false">(ABS(IF(AH64&lt;0,AH64*Early,AH64*Late))+ABS(IF(AI64&lt;0,AI64*Early,AI64*Late))+ABS(IF(AJ64&lt;0,AJ64*Early,AJ64*Late)))/3</f>
        <v>6</v>
      </c>
      <c r="AP64" s="1" t="n">
        <f aca="false">(ABS(IF(AK64&lt;0,AK64*Early,AK64*Late))+ABS(IF(AL64&lt;0,AL64*Early,AL64*Late))+ABS(IF(AM64&lt;0,AM64*Early,AM64*Late)))/3</f>
        <v>0</v>
      </c>
      <c r="AQ64" s="0" t="n">
        <f aca="false">Y64*Delay+AN64</f>
        <v>6.5</v>
      </c>
      <c r="AR64" s="0" t="n">
        <f aca="false">Z64*Delay+AO64</f>
        <v>6.5</v>
      </c>
      <c r="AS64" s="0" t="n">
        <f aca="false">AA64*Delay+AP64</f>
        <v>0</v>
      </c>
      <c r="AT64" s="1" t="n">
        <f aca="false">VLOOKUP(A64,SortA!$A$1:$AT$65,46,FALSE())</f>
        <v>0</v>
      </c>
      <c r="AU64" s="1" t="n">
        <f aca="false">VLOOKUP(A64,SortB!$A$1:$AT$65,46,FALSE())</f>
        <v>0</v>
      </c>
      <c r="AV64" s="1" t="n">
        <f aca="false">VLOOKUP(A64,SortC!$A$1:$AT$65,46,FALSE())</f>
        <v>1</v>
      </c>
      <c r="AW64" s="0" t="n">
        <f aca="false">IF(SUM(AT64:AV64)=3,1,0)</f>
        <v>0</v>
      </c>
      <c r="AX64" s="0" t="str">
        <f aca="false">B64&amp;C64&amp;D64</f>
        <v>LLO</v>
      </c>
      <c r="AY64" s="1" t="n">
        <f aca="false">AQ64+AR64+AS64</f>
        <v>13</v>
      </c>
      <c r="AZ64" s="1" t="str">
        <f aca="false">RIGHT(AX64,2)</f>
        <v>LO</v>
      </c>
      <c r="BA64" s="1" t="str">
        <f aca="false">LEFT(AX64,1)&amp;RIGHT(AX64,1)</f>
        <v>LO</v>
      </c>
      <c r="BB64" s="1" t="str">
        <f aca="false">LEFT(AX64,2)</f>
        <v>LL</v>
      </c>
      <c r="BC64" s="1" t="n">
        <f aca="false">VLOOKUP(AZ64,TwoPlayers!$AG$1:$AH$17,2,FALSE())</f>
        <v>4</v>
      </c>
      <c r="BD64" s="1" t="n">
        <f aca="false">VLOOKUP(BA64,TwoPlayers!$AG$1:$AH$17,2,FALSE())</f>
        <v>4</v>
      </c>
      <c r="BE64" s="1" t="n">
        <f aca="false">VLOOKUP(BB64,TwoPlayers!$AG$1:$AH$17,2,FALSE())</f>
        <v>13</v>
      </c>
      <c r="BF64" s="1" t="n">
        <f aca="false">$AY64-BC64</f>
        <v>9</v>
      </c>
      <c r="BG64" s="1" t="n">
        <f aca="false">$AY64-BD64</f>
        <v>9</v>
      </c>
      <c r="BH64" s="1" t="n">
        <f aca="false">$AY64-BE64</f>
        <v>0</v>
      </c>
      <c r="BI64" s="0" t="str">
        <f aca="false">AX64</f>
        <v>LLO</v>
      </c>
      <c r="BJ64" s="1" t="n">
        <f aca="false">VLOOKUP(A64,SortA!$A$1:$BM$65,65,FALSE())</f>
        <v>0</v>
      </c>
      <c r="BK64" s="1" t="n">
        <f aca="false">VLOOKUP(A64,SortB!$A$1:$BM$65,65,FALSE())</f>
        <v>0</v>
      </c>
      <c r="BL64" s="1" t="n">
        <f aca="false">VLOOKUP(A64,SortC!$A$1:$BM$65,65,FALSE())</f>
        <v>1</v>
      </c>
      <c r="BM64" s="1" t="n">
        <f aca="false">IF(SUM(BJ64:BL64)=3,1,0)</f>
        <v>0</v>
      </c>
    </row>
    <row r="65" customFormat="false" ht="13" hidden="false" customHeight="false" outlineLevel="0" collapsed="false">
      <c r="A65" s="1" t="n">
        <f aca="false">A64+1</f>
        <v>64</v>
      </c>
      <c r="B65" s="1" t="s">
        <v>4</v>
      </c>
      <c r="C65" s="1" t="s">
        <v>4</v>
      </c>
      <c r="D65" s="1" t="s">
        <v>4</v>
      </c>
      <c r="E65" s="1" t="n">
        <f aca="false">(IF($B65="V",1,0))+IF($C65="V",1,0)+IF($D65="V",1,0)</f>
        <v>0</v>
      </c>
      <c r="F65" s="1" t="n">
        <f aca="false">(IF($B65="E",1,0))+IF($C65="E",1,0)+IF($D65="E",1,0)</f>
        <v>0</v>
      </c>
      <c r="G65" s="1" t="n">
        <f aca="false">(IF($B65="O",1,0))+IF($C65="O",1,0)+IF($D65="O",1,0)</f>
        <v>0</v>
      </c>
      <c r="H65" s="1" t="n">
        <f aca="false">(IF($B65="L",1,0))+IF($C65="L",1,0)+IF($D65="L",1,0)</f>
        <v>3</v>
      </c>
      <c r="I65" s="1" t="n">
        <f aca="false">(IF(B65="V",1,0))</f>
        <v>0</v>
      </c>
      <c r="J65" s="1" t="n">
        <f aca="false">(IF(B65="E",1,0))</f>
        <v>0</v>
      </c>
      <c r="K65" s="1" t="n">
        <f aca="false">(IF(B65="O",1,0))</f>
        <v>0</v>
      </c>
      <c r="L65" s="1" t="n">
        <f aca="false">(IF(B65="L",1,0))</f>
        <v>1</v>
      </c>
      <c r="M65" s="1" t="n">
        <f aca="false">(IF(C65="V",1,0))</f>
        <v>0</v>
      </c>
      <c r="N65" s="1" t="n">
        <f aca="false">(IF(C65="E",1,0))</f>
        <v>0</v>
      </c>
      <c r="O65" s="1" t="n">
        <f aca="false">(IF(C65="O",1,0))</f>
        <v>0</v>
      </c>
      <c r="P65" s="1" t="n">
        <f aca="false">(IF(C65="L",1,0))</f>
        <v>1</v>
      </c>
      <c r="Q65" s="1" t="n">
        <f aca="false">(IF(D65="V",1,0))</f>
        <v>0</v>
      </c>
      <c r="R65" s="1" t="n">
        <f aca="false">(IF(D65="E",1,0))</f>
        <v>0</v>
      </c>
      <c r="S65" s="1" t="n">
        <f aca="false">(IF(D65="O",1,0))</f>
        <v>0</v>
      </c>
      <c r="T65" s="1" t="n">
        <f aca="false">(IF(D65="L",1,0))</f>
        <v>1</v>
      </c>
      <c r="U65" s="1" t="n">
        <f aca="false">MAX(E65-1,0)</f>
        <v>0</v>
      </c>
      <c r="V65" s="1" t="n">
        <f aca="false">MAX(U65-1+F65,0)</f>
        <v>0</v>
      </c>
      <c r="W65" s="1" t="n">
        <f aca="false">MAX(V65-1+G65,0)</f>
        <v>0</v>
      </c>
      <c r="X65" s="1" t="n">
        <f aca="false">MAX(W65-1+H65,0)</f>
        <v>2</v>
      </c>
      <c r="Y65" s="1" t="n">
        <f aca="false">0.5*(E65*I65+F65*J65+G65*K65+H65*L65-1)+(0+$U65*J65+$V65*K65+$W65*L65)</f>
        <v>1</v>
      </c>
      <c r="Z65" s="1" t="n">
        <f aca="false">0.5*(E65*M65+F65*N65+G65*O65+H65*P65-1)+(0+$U65*N65+$V65*O65+$W65*P65)</f>
        <v>1</v>
      </c>
      <c r="AA65" s="1" t="n">
        <f aca="false">0.5*(E65*Q65+F65*R65+G65*S65+H65*T65-1)+(0+$U65*R65+$V65*S65+$W65*T65)</f>
        <v>1</v>
      </c>
      <c r="AB65" s="1" t="n">
        <f aca="false">IF(B65="V",-2,0)+IF(B65="E",-1,0)+IF(B65="O",0,0)+IF(B65="L",1,0)+Y65</f>
        <v>2</v>
      </c>
      <c r="AC65" s="1" t="n">
        <f aca="false">IF(C65="V",-2,0)+IF(C65="E",-1,0)+IF(C65="O",0,0)+IF(C65="L",1,0)+Z65</f>
        <v>2</v>
      </c>
      <c r="AD65" s="1" t="n">
        <f aca="false">IF(D65="V",-2,0)+IF(D65="E",-1,0)+IF(D65="O",0,0)+IF(D65="L",1,0)+AA65</f>
        <v>2</v>
      </c>
      <c r="AE65" s="1" t="n">
        <f aca="false">IF(B65="V",-2,0)+IF(B65="E",-1,0)+IF(B65="O",0,0)+IF(B65="L",1,0)</f>
        <v>1</v>
      </c>
      <c r="AF65" s="1" t="n">
        <f aca="false">IF(B65="V",-2,0)+IF(B65="E",-1,0)+IF(B65="O",0,0)+IF(B65="L",1,0)+Y65</f>
        <v>2</v>
      </c>
      <c r="AG65" s="1" t="n">
        <f aca="false">IF(B65="V",-2,0)+IF(B65="E",-1,0)+IF(B65="O",0,0)+IF(B65="L",1,0)+Y65*2</f>
        <v>3</v>
      </c>
      <c r="AH65" s="1" t="n">
        <f aca="false">IF(C65="V",-2,0)+IF(C65="E",-1,0)+IF(C65="O",0,0)+IF(C65="L",1,0)</f>
        <v>1</v>
      </c>
      <c r="AI65" s="1" t="n">
        <f aca="false">IF(C65="V",-2,0)+IF(C65="E",-1,0)+IF(C65="O",0,0)+IF(C65="L",1,0)+Z65</f>
        <v>2</v>
      </c>
      <c r="AJ65" s="1" t="n">
        <f aca="false">IF(C65="V",-2,0)+IF(C65="E",-1,0)+IF(C65="O",0,0)+IF(C65="L",1,0)+Z65*2</f>
        <v>3</v>
      </c>
      <c r="AK65" s="1" t="n">
        <f aca="false">IF(D65="V",-2,0)+IF(D65="E",-1,0)+IF(D65="O",0,0)+IF(D65="L",1,0)</f>
        <v>1</v>
      </c>
      <c r="AL65" s="1" t="n">
        <f aca="false">IF(D65="V",-2,0)+IF(D65="E",-1,0)+IF(D65="O",0,0)+IF(D65="L",1,0)+AA65</f>
        <v>2</v>
      </c>
      <c r="AM65" s="1" t="n">
        <f aca="false">IF(D65="V",-2,0)+IF(D65="E",-1,0)+IF(D65="O",0,0)+IF(D65="L",1,0)+AA65*2</f>
        <v>3</v>
      </c>
      <c r="AN65" s="1" t="n">
        <f aca="false">(ABS(IF(AE65&lt;0,AE65*Early,AE65*Late))+ABS(IF(AF65&lt;0,AF65*Early,AF65*Late))+ABS(IF(AG65&lt;0,AG65*Early,AG65*Late)))/3</f>
        <v>8</v>
      </c>
      <c r="AO65" s="1" t="n">
        <f aca="false">(ABS(IF(AH65&lt;0,AH65*Early,AH65*Late))+ABS(IF(AI65&lt;0,AI65*Early,AI65*Late))+ABS(IF(AJ65&lt;0,AJ65*Early,AJ65*Late)))/3</f>
        <v>8</v>
      </c>
      <c r="AP65" s="1" t="n">
        <f aca="false">(ABS(IF(AK65&lt;0,AK65*Early,AK65*Late))+ABS(IF(AL65&lt;0,AL65*Early,AL65*Late))+ABS(IF(AM65&lt;0,AM65*Early,AM65*Late)))/3</f>
        <v>8</v>
      </c>
      <c r="AQ65" s="1" t="n">
        <f aca="false">Y65*Delay+AN65</f>
        <v>9</v>
      </c>
      <c r="AR65" s="1" t="n">
        <f aca="false">Z65*Delay+AO65</f>
        <v>9</v>
      </c>
      <c r="AS65" s="1" t="n">
        <f aca="false">AA65*Delay+AP65</f>
        <v>9</v>
      </c>
      <c r="AT65" s="1" t="n">
        <f aca="false">VLOOKUP(A65,SortA!$A$1:$AT$65,46,FALSE())</f>
        <v>0</v>
      </c>
      <c r="AU65" s="1" t="n">
        <f aca="false">VLOOKUP(A65,SortB!$A$1:$AT$65,46,FALSE())</f>
        <v>0</v>
      </c>
      <c r="AV65" s="1" t="n">
        <f aca="false">VLOOKUP(A65,SortC!$A$1:$AT$65,46,FALSE())</f>
        <v>0</v>
      </c>
      <c r="AW65" s="1" t="n">
        <f aca="false">IF(SUM(AT65:AV65)=3,1,0)</f>
        <v>0</v>
      </c>
      <c r="AX65" s="1" t="str">
        <f aca="false">B65&amp;C65&amp;D65</f>
        <v>LLL</v>
      </c>
      <c r="AY65" s="1" t="n">
        <f aca="false">AQ65+AR65+AS65</f>
        <v>27</v>
      </c>
      <c r="AZ65" s="1" t="str">
        <f aca="false">RIGHT(AX65,2)</f>
        <v>LL</v>
      </c>
      <c r="BA65" s="1" t="str">
        <f aca="false">LEFT(AX65,1)&amp;RIGHT(AX65,1)</f>
        <v>LL</v>
      </c>
      <c r="BB65" s="1" t="str">
        <f aca="false">LEFT(AX65,2)</f>
        <v>LL</v>
      </c>
      <c r="BC65" s="1" t="n">
        <f aca="false">VLOOKUP(AZ65,TwoPlayers!$AG$1:$AH$17,2,FALSE())</f>
        <v>13</v>
      </c>
      <c r="BD65" s="1" t="n">
        <f aca="false">VLOOKUP(BA65,TwoPlayers!$AG$1:$AH$17,2,FALSE())</f>
        <v>13</v>
      </c>
      <c r="BE65" s="1" t="n">
        <f aca="false">VLOOKUP(BB65,TwoPlayers!$AG$1:$AH$17,2,FALSE())</f>
        <v>13</v>
      </c>
      <c r="BF65" s="1" t="n">
        <f aca="false">$AY65-BC65</f>
        <v>14</v>
      </c>
      <c r="BG65" s="1" t="n">
        <f aca="false">$AY65-BD65</f>
        <v>14</v>
      </c>
      <c r="BH65" s="1" t="n">
        <f aca="false">$AY65-BE65</f>
        <v>14</v>
      </c>
      <c r="BI65" s="0" t="str">
        <f aca="false">AX65</f>
        <v>LLL</v>
      </c>
      <c r="BJ65" s="1" t="n">
        <f aca="false">VLOOKUP(A65,SortA!$A$1:$BM$65,65,FALSE())</f>
        <v>0</v>
      </c>
      <c r="BK65" s="1" t="n">
        <f aca="false">VLOOKUP(A65,SortB!$A$1:$BM$65,65,FALSE())</f>
        <v>0</v>
      </c>
      <c r="BL65" s="1" t="n">
        <f aca="false">VLOOKUP(A65,SortC!$A$1:$BM$65,65,FALSE())</f>
        <v>0</v>
      </c>
      <c r="BM65" s="1" t="n">
        <f aca="false">IF(SUM(BJ65:BL65)=3,1,0)</f>
        <v>0</v>
      </c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customFormat="false" ht="13" hidden="false" customHeight="false" outlineLevel="0" collapsed="false">
      <c r="AN66" s="1" t="n">
        <f aca="false">(ABS(IF(AE66&lt;0,AE66*Early,AE66*Late))+ABS(IF(AF66&lt;0,AF66*Early,AF66*Late))+ABS(IF(AG66&lt;0,AG66*Early,AG66*Late)))/3</f>
        <v>0</v>
      </c>
      <c r="AO66" s="1" t="n">
        <f aca="false">(ABS(IF(AH66&lt;0,AH66*Early,AH66*Late))+ABS(IF(AI66&lt;0,AI66*Early,AI66*Late))+ABS(IF(AJ66&lt;0,AJ66*Early,AJ66*Late)))/3</f>
        <v>0</v>
      </c>
      <c r="AP66" s="1" t="n">
        <f aca="false">(ABS(IF(AK66&lt;0,AK66*Early,AK66*Late))+ABS(IF(AL66&lt;0,AL66*Early,AL66*Late))+ABS(IF(AM66&lt;0,AM66*Early,AM66*Late)))/3</f>
        <v>0</v>
      </c>
    </row>
    <row r="67" customFormat="false" ht="13" hidden="false" customHeight="false" outlineLevel="0" collapsed="false">
      <c r="AW67" s="0" t="n">
        <f aca="false">SUM(AW2:AW65)</f>
        <v>1</v>
      </c>
      <c r="AY67" s="1" t="n">
        <f aca="false">MIN(AY2:AY65)</f>
        <v>7</v>
      </c>
      <c r="BM67" s="0" t="n">
        <f aca="false">SUM(BM2:BM65)</f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45" activeCellId="0" sqref="Y45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83" min="1" style="0" width="5.7"/>
  </cols>
  <sheetData>
    <row r="1" customFormat="false" ht="13" hidden="false" customHeight="false" outlineLevel="0" collapsed="false">
      <c r="A1" s="0" t="s">
        <v>162</v>
      </c>
      <c r="B1" s="0" t="s">
        <v>132</v>
      </c>
      <c r="C1" s="0" t="s">
        <v>133</v>
      </c>
      <c r="D1" s="0" t="s">
        <v>163</v>
      </c>
      <c r="E1" s="0" t="s">
        <v>1</v>
      </c>
      <c r="F1" s="0" t="s">
        <v>2</v>
      </c>
      <c r="G1" s="0" t="s">
        <v>3</v>
      </c>
      <c r="H1" s="0" t="s">
        <v>4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164</v>
      </c>
      <c r="R1" s="0" t="s">
        <v>165</v>
      </c>
      <c r="S1" s="0" t="s">
        <v>166</v>
      </c>
      <c r="T1" s="0" t="s">
        <v>167</v>
      </c>
      <c r="U1" s="0" t="s">
        <v>142</v>
      </c>
      <c r="V1" s="0" t="s">
        <v>143</v>
      </c>
      <c r="W1" s="0" t="s">
        <v>144</v>
      </c>
      <c r="X1" s="0" t="s">
        <v>145</v>
      </c>
      <c r="Y1" s="0" t="s">
        <v>146</v>
      </c>
      <c r="Z1" s="0" t="s">
        <v>147</v>
      </c>
      <c r="AA1" s="0" t="s">
        <v>168</v>
      </c>
      <c r="AB1" s="0" t="s">
        <v>148</v>
      </c>
      <c r="AC1" s="0" t="s">
        <v>149</v>
      </c>
      <c r="AD1" s="0" t="s">
        <v>169</v>
      </c>
      <c r="AE1" s="0" t="s">
        <v>150</v>
      </c>
      <c r="AF1" s="0" t="s">
        <v>151</v>
      </c>
      <c r="AG1" s="0" t="s">
        <v>152</v>
      </c>
      <c r="AH1" s="0" t="s">
        <v>153</v>
      </c>
      <c r="AI1" s="0" t="s">
        <v>154</v>
      </c>
      <c r="AJ1" s="0" t="s">
        <v>155</v>
      </c>
      <c r="AK1" s="0" t="s">
        <v>170</v>
      </c>
      <c r="AL1" s="0" t="s">
        <v>171</v>
      </c>
      <c r="AM1" s="0" t="s">
        <v>172</v>
      </c>
      <c r="AN1" s="0" t="s">
        <v>156</v>
      </c>
      <c r="AO1" s="0" t="s">
        <v>157</v>
      </c>
      <c r="AP1" s="0" t="s">
        <v>173</v>
      </c>
      <c r="AQ1" s="0" t="s">
        <v>158</v>
      </c>
      <c r="AR1" s="0" t="s">
        <v>159</v>
      </c>
      <c r="AS1" s="0" t="s">
        <v>174</v>
      </c>
      <c r="AT1" s="0" t="s">
        <v>175</v>
      </c>
      <c r="AX1" s="0" t="s">
        <v>179</v>
      </c>
      <c r="AY1" s="0" t="s">
        <v>161</v>
      </c>
      <c r="AZ1" s="0" t="s">
        <v>180</v>
      </c>
      <c r="BA1" s="0" t="s">
        <v>181</v>
      </c>
      <c r="BB1" s="0" t="s">
        <v>182</v>
      </c>
      <c r="BC1" s="0" t="s">
        <v>183</v>
      </c>
      <c r="BD1" s="0" t="s">
        <v>184</v>
      </c>
      <c r="BE1" s="0" t="s">
        <v>185</v>
      </c>
      <c r="BF1" s="0" t="s">
        <v>186</v>
      </c>
      <c r="BG1" s="0" t="s">
        <v>187</v>
      </c>
      <c r="BH1" s="0" t="s">
        <v>188</v>
      </c>
      <c r="BJ1" s="0" t="s">
        <v>158</v>
      </c>
      <c r="BK1" s="0" t="s">
        <v>159</v>
      </c>
      <c r="BL1" s="0" t="s">
        <v>174</v>
      </c>
      <c r="BM1" s="0" t="s">
        <v>175</v>
      </c>
    </row>
    <row r="2" customFormat="false" ht="13" hidden="false" customHeight="false" outlineLevel="0" collapsed="false">
      <c r="A2" s="0" t="n">
        <v>6</v>
      </c>
      <c r="B2" s="0" t="s">
        <v>1</v>
      </c>
      <c r="C2" s="0" t="s">
        <v>2</v>
      </c>
      <c r="D2" s="0" t="s">
        <v>2</v>
      </c>
      <c r="E2" s="0" t="n">
        <f aca="false">(IF($B2="V",1,0))+IF($C2="V",1,0)+IF($D2="V",1,0)</f>
        <v>1</v>
      </c>
      <c r="F2" s="0" t="n">
        <f aca="false">(IF($B2="E",1,0))+IF($C2="E",1,0)+IF($D2="E",1,0)</f>
        <v>2</v>
      </c>
      <c r="G2" s="0" t="n">
        <f aca="false">(IF($B2="O",1,0))+IF($C2="O",1,0)+IF($D2="O",1,0)</f>
        <v>0</v>
      </c>
      <c r="H2" s="0" t="n">
        <f aca="false">(IF($B2="L",1,0))+IF($C2="L",1,0)+IF($D2="L",1,0)</f>
        <v>0</v>
      </c>
      <c r="I2" s="0" t="n">
        <f aca="false">(IF(B2="V",1,0))</f>
        <v>1</v>
      </c>
      <c r="J2" s="0" t="n">
        <f aca="false">(IF(B2="E",1,0))</f>
        <v>0</v>
      </c>
      <c r="K2" s="0" t="n">
        <f aca="false">(IF(B2="O",1,0))</f>
        <v>0</v>
      </c>
      <c r="L2" s="0" t="n">
        <f aca="false">(IF(B2="L",1,0))</f>
        <v>0</v>
      </c>
      <c r="M2" s="0" t="n">
        <f aca="false">(IF(C2="V",1,0))</f>
        <v>0</v>
      </c>
      <c r="N2" s="0" t="n">
        <f aca="false">(IF(C2="E",1,0))</f>
        <v>1</v>
      </c>
      <c r="O2" s="0" t="n">
        <f aca="false">(IF(C2="O",1,0))</f>
        <v>0</v>
      </c>
      <c r="P2" s="0" t="n">
        <f aca="false">(IF(C2="L",1,0))</f>
        <v>0</v>
      </c>
      <c r="Q2" s="0" t="n">
        <f aca="false">(IF(D2="V",1,0))</f>
        <v>0</v>
      </c>
      <c r="R2" s="0" t="n">
        <f aca="false">(IF(D2="E",1,0))</f>
        <v>1</v>
      </c>
      <c r="S2" s="0" t="n">
        <f aca="false">(IF(D2="O",1,0))</f>
        <v>0</v>
      </c>
      <c r="T2" s="0" t="n">
        <f aca="false">(IF(D2="L",1,0))</f>
        <v>0</v>
      </c>
      <c r="U2" s="0" t="n">
        <f aca="false">MAX(E2-1,0)</f>
        <v>0</v>
      </c>
      <c r="V2" s="0" t="n">
        <f aca="false">MAX(U2-1+F2,0)</f>
        <v>1</v>
      </c>
      <c r="W2" s="0" t="n">
        <f aca="false">MAX(V2-1+G2,0)</f>
        <v>0</v>
      </c>
      <c r="X2" s="0" t="n">
        <f aca="false">MAX(W2-1+H2,0)</f>
        <v>0</v>
      </c>
      <c r="Y2" s="1" t="n">
        <f aca="false">0.5*(E2*I2+F2*J2+G2*K2+H2*L2-1)+(0+$U2*J2+$V2*K2+$W2*L2)</f>
        <v>0</v>
      </c>
      <c r="Z2" s="1" t="n">
        <f aca="false">0.5*(E2*M2+F2*N2+G2*O2+H2*P2-1)+(0+$U2*N2+$V2*O2+$W2*P2)</f>
        <v>0.5</v>
      </c>
      <c r="AA2" s="1" t="n">
        <f aca="false">0.5*(E2*Q2+F2*R2+G2*S2+H2*T2-1)+(0+$U2*R2+$V2*S2+$W2*T2)</f>
        <v>0.5</v>
      </c>
      <c r="AB2" s="0" t="n">
        <f aca="false">IF(B2="V",-2,0)+IF(B2="E",-1,0)+IF(B2="O",0,0)+IF(B2="L",1,0)+Y2</f>
        <v>-2</v>
      </c>
      <c r="AC2" s="0" t="n">
        <f aca="false">IF(C2="V",-2,0)+IF(C2="E",-1,0)+IF(C2="O",0,0)+IF(C2="L",1,0)+Z2</f>
        <v>-0.5</v>
      </c>
      <c r="AD2" s="0" t="n">
        <f aca="false">IF(D2="V",-2,0)+IF(D2="E",-1,0)+IF(D2="O",0,0)+IF(D2="L",1,0)+AA2</f>
        <v>-0.5</v>
      </c>
      <c r="AE2" s="1" t="n">
        <f aca="false">IF(B2="V",-2,0)+IF(B2="E",-1,0)+IF(B2="O",0,0)+IF(B2="L",1,0)</f>
        <v>-2</v>
      </c>
      <c r="AF2" s="1" t="n">
        <f aca="false">IF(B2="V",-2,0)+IF(B2="E",-1,0)+IF(B2="O",0,0)+IF(B2="L",1,0)+Y2</f>
        <v>-2</v>
      </c>
      <c r="AG2" s="1" t="n">
        <f aca="false">IF(B2="V",-2,0)+IF(B2="E",-1,0)+IF(B2="O",0,0)+IF(B2="L",1,0)+Y2*2</f>
        <v>-2</v>
      </c>
      <c r="AH2" s="1" t="n">
        <f aca="false">IF(C2="V",-2,0)+IF(C2="E",-1,0)+IF(C2="O",0,0)+IF(C2="L",1,0)</f>
        <v>-1</v>
      </c>
      <c r="AI2" s="1" t="n">
        <f aca="false">IF(C2="V",-2,0)+IF(C2="E",-1,0)+IF(C2="O",0,0)+IF(C2="L",1,0)+Z2</f>
        <v>-0.5</v>
      </c>
      <c r="AJ2" s="1" t="n">
        <f aca="false">IF(C2="V",-2,0)+IF(C2="E",-1,0)+IF(C2="O",0,0)+IF(C2="L",1,0)+Z2*2</f>
        <v>0</v>
      </c>
      <c r="AK2" s="1" t="n">
        <f aca="false">IF(D2="V",-2,0)+IF(D2="E",-1,0)+IF(D2="O",0,0)+IF(D2="L",1,0)</f>
        <v>-1</v>
      </c>
      <c r="AL2" s="1" t="n">
        <f aca="false">IF(D2="V",-2,0)+IF(D2="E",-1,0)+IF(D2="O",0,0)+IF(D2="L",1,0)+AA2</f>
        <v>-0.5</v>
      </c>
      <c r="AM2" s="1" t="n">
        <f aca="false">IF(D2="V",-2,0)+IF(D2="E",-1,0)+IF(D2="O",0,0)+IF(D2="L",1,0)+AA2*2</f>
        <v>0</v>
      </c>
      <c r="AN2" s="1" t="n">
        <f aca="false">(ABS(IF(AE2&lt;0,AE2*Early,AE2*Late))+ABS(IF(AF2&lt;0,AF2*Early,AF2*Late))+ABS(IF(AG2&lt;0,AG2*Early,AG2*Late)))/3</f>
        <v>6</v>
      </c>
      <c r="AO2" s="1" t="n">
        <f aca="false">(ABS(IF(AH2&lt;0,AH2*Early,AH2*Late))+ABS(IF(AI2&lt;0,AI2*Early,AI2*Late))+ABS(IF(AJ2&lt;0,AJ2*Early,AJ2*Late)))/3</f>
        <v>1.5</v>
      </c>
      <c r="AP2" s="1" t="n">
        <f aca="false">(ABS(IF(AK2&lt;0,AK2*Early,AK2*Late))+ABS(IF(AL2&lt;0,AL2*Early,AL2*Late))+ABS(IF(AM2&lt;0,AM2*Early,AM2*Late)))/3</f>
        <v>1.5</v>
      </c>
      <c r="AQ2" s="0" t="n">
        <f aca="false">Y2*Delay+AN2</f>
        <v>6</v>
      </c>
      <c r="AR2" s="0" t="n">
        <f aca="false">Z2*Delay+AO2</f>
        <v>2</v>
      </c>
      <c r="AS2" s="0" t="n">
        <f aca="false">AA2*Delay+AP2</f>
        <v>2</v>
      </c>
      <c r="AT2" s="0" t="n">
        <f aca="false">IF(AQ2=MIN(AQ2:AQ5),1,0)</f>
        <v>0</v>
      </c>
      <c r="AX2" s="1" t="str">
        <f aca="false">B2&amp;C2&amp;D2</f>
        <v>VEE</v>
      </c>
      <c r="AY2" s="1" t="n">
        <f aca="false">AQ2+AR2+AS2</f>
        <v>10</v>
      </c>
      <c r="AZ2" s="1" t="str">
        <f aca="false">RIGHT(AX2,2)</f>
        <v>EE</v>
      </c>
      <c r="BA2" s="1" t="str">
        <f aca="false">LEFT(AX2,1)&amp;RIGHT(AX2,1)</f>
        <v>VE</v>
      </c>
      <c r="BB2" s="1" t="str">
        <f aca="false">LEFT(AX2,2)</f>
        <v>VE</v>
      </c>
      <c r="BC2" s="1" t="n">
        <f aca="false">VLOOKUP(AZ2,TwoPlayers!$AG$1:$AH$17,2,FALSE())</f>
        <v>4</v>
      </c>
      <c r="BD2" s="1" t="n">
        <f aca="false">VLOOKUP(BA2,TwoPlayers!$AG$1:$AH$17,2,FALSE())</f>
        <v>9</v>
      </c>
      <c r="BE2" s="1" t="n">
        <f aca="false">VLOOKUP(BB2,TwoPlayers!$AG$1:$AH$17,2,FALSE())</f>
        <v>9</v>
      </c>
      <c r="BF2" s="1" t="n">
        <f aca="false">$AY2-BC2</f>
        <v>6</v>
      </c>
      <c r="BG2" s="1" t="n">
        <f aca="false">$AY2-BD2</f>
        <v>1</v>
      </c>
      <c r="BH2" s="1" t="n">
        <f aca="false">$AY2-BE2</f>
        <v>1</v>
      </c>
      <c r="BJ2" s="0" t="n">
        <f aca="false">AQ2+BF2</f>
        <v>12</v>
      </c>
      <c r="BK2" s="0" t="n">
        <f aca="false">AR2+BG2</f>
        <v>3</v>
      </c>
      <c r="BL2" s="0" t="n">
        <f aca="false">AS2+BH2</f>
        <v>3</v>
      </c>
      <c r="BM2" s="0" t="n">
        <f aca="false">IF(BJ2=MIN(BJ2:BJ6),1,0)</f>
        <v>0</v>
      </c>
    </row>
    <row r="3" customFormat="false" ht="13" hidden="false" customHeight="false" outlineLevel="0" collapsed="false">
      <c r="A3" s="0" t="n">
        <v>22</v>
      </c>
      <c r="B3" s="0" t="s">
        <v>2</v>
      </c>
      <c r="C3" s="0" t="s">
        <v>2</v>
      </c>
      <c r="D3" s="0" t="s">
        <v>2</v>
      </c>
      <c r="E3" s="0" t="n">
        <f aca="false">(IF($B3="V",1,0))+IF($C3="V",1,0)+IF($D3="V",1,0)</f>
        <v>0</v>
      </c>
      <c r="F3" s="0" t="n">
        <f aca="false">(IF($B3="E",1,0))+IF($C3="E",1,0)+IF($D3="E",1,0)</f>
        <v>3</v>
      </c>
      <c r="G3" s="0" t="n">
        <f aca="false">(IF($B3="O",1,0))+IF($C3="O",1,0)+IF($D3="O",1,0)</f>
        <v>0</v>
      </c>
      <c r="H3" s="0" t="n">
        <f aca="false">(IF($B3="L",1,0))+IF($C3="L",1,0)+IF($D3="L",1,0)</f>
        <v>0</v>
      </c>
      <c r="I3" s="0" t="n">
        <f aca="false">(IF(B3="V",1,0))</f>
        <v>0</v>
      </c>
      <c r="J3" s="0" t="n">
        <f aca="false">(IF(B3="E",1,0))</f>
        <v>1</v>
      </c>
      <c r="K3" s="0" t="n">
        <f aca="false">(IF(B3="O",1,0))</f>
        <v>0</v>
      </c>
      <c r="L3" s="0" t="n">
        <f aca="false">(IF(B3="L",1,0))</f>
        <v>0</v>
      </c>
      <c r="M3" s="0" t="n">
        <f aca="false">(IF(C3="V",1,0))</f>
        <v>0</v>
      </c>
      <c r="N3" s="0" t="n">
        <f aca="false">(IF(C3="E",1,0))</f>
        <v>1</v>
      </c>
      <c r="O3" s="0" t="n">
        <f aca="false">(IF(C3="O",1,0))</f>
        <v>0</v>
      </c>
      <c r="P3" s="0" t="n">
        <f aca="false">(IF(C3="L",1,0))</f>
        <v>0</v>
      </c>
      <c r="Q3" s="0" t="n">
        <f aca="false">(IF(D3="V",1,0))</f>
        <v>0</v>
      </c>
      <c r="R3" s="0" t="n">
        <f aca="false">(IF(D3="E",1,0))</f>
        <v>1</v>
      </c>
      <c r="S3" s="0" t="n">
        <f aca="false">(IF(D3="O",1,0))</f>
        <v>0</v>
      </c>
      <c r="T3" s="0" t="n">
        <f aca="false">(IF(D3="L",1,0))</f>
        <v>0</v>
      </c>
      <c r="U3" s="0" t="n">
        <f aca="false">MAX(E3-1,0)</f>
        <v>0</v>
      </c>
      <c r="V3" s="0" t="n">
        <f aca="false">MAX(U3-1+F3,0)</f>
        <v>2</v>
      </c>
      <c r="W3" s="0" t="n">
        <f aca="false">MAX(V3-1+G3,0)</f>
        <v>1</v>
      </c>
      <c r="X3" s="0" t="n">
        <f aca="false">MAX(W3-1+H3,0)</f>
        <v>0</v>
      </c>
      <c r="Y3" s="1" t="n">
        <f aca="false">0.5*(E3*I3+F3*J3+G3*K3+H3*L3-1)+(0+$U3*J3+$V3*K3+$W3*L3)</f>
        <v>1</v>
      </c>
      <c r="Z3" s="1" t="n">
        <f aca="false">0.5*(E3*M3+F3*N3+G3*O3+H3*P3-1)+(0+$U3*N3+$V3*O3+$W3*P3)</f>
        <v>1</v>
      </c>
      <c r="AA3" s="1" t="n">
        <f aca="false">0.5*(E3*Q3+F3*R3+G3*S3+H3*T3-1)+(0+$U3*R3+$V3*S3+$W3*T3)</f>
        <v>1</v>
      </c>
      <c r="AB3" s="0" t="n">
        <f aca="false">IF(B3="V",-2,0)+IF(B3="E",-1,0)+IF(B3="O",0,0)+IF(B3="L",1,0)+Y3</f>
        <v>0</v>
      </c>
      <c r="AC3" s="0" t="n">
        <f aca="false">IF(C3="V",-2,0)+IF(C3="E",-1,0)+IF(C3="O",0,0)+IF(C3="L",1,0)+Z3</f>
        <v>0</v>
      </c>
      <c r="AD3" s="0" t="n">
        <f aca="false">IF(D3="V",-2,0)+IF(D3="E",-1,0)+IF(D3="O",0,0)+IF(D3="L",1,0)+AA3</f>
        <v>0</v>
      </c>
      <c r="AE3" s="1" t="n">
        <f aca="false">IF(B3="V",-2,0)+IF(B3="E",-1,0)+IF(B3="O",0,0)+IF(B3="L",1,0)</f>
        <v>-1</v>
      </c>
      <c r="AF3" s="1" t="n">
        <f aca="false">IF(B3="V",-2,0)+IF(B3="E",-1,0)+IF(B3="O",0,0)+IF(B3="L",1,0)+Y3</f>
        <v>0</v>
      </c>
      <c r="AG3" s="1" t="n">
        <f aca="false">IF(B3="V",-2,0)+IF(B3="E",-1,0)+IF(B3="O",0,0)+IF(B3="L",1,0)+Y3*2</f>
        <v>1</v>
      </c>
      <c r="AH3" s="1" t="n">
        <f aca="false">IF(C3="V",-2,0)+IF(C3="E",-1,0)+IF(C3="O",0,0)+IF(C3="L",1,0)</f>
        <v>-1</v>
      </c>
      <c r="AI3" s="1" t="n">
        <f aca="false">IF(C3="V",-2,0)+IF(C3="E",-1,0)+IF(C3="O",0,0)+IF(C3="L",1,0)+Z3</f>
        <v>0</v>
      </c>
      <c r="AJ3" s="1" t="n">
        <f aca="false">IF(C3="V",-2,0)+IF(C3="E",-1,0)+IF(C3="O",0,0)+IF(C3="L",1,0)+Z3*2</f>
        <v>1</v>
      </c>
      <c r="AK3" s="1" t="n">
        <f aca="false">IF(D3="V",-2,0)+IF(D3="E",-1,0)+IF(D3="O",0,0)+IF(D3="L",1,0)</f>
        <v>-1</v>
      </c>
      <c r="AL3" s="1" t="n">
        <f aca="false">IF(D3="V",-2,0)+IF(D3="E",-1,0)+IF(D3="O",0,0)+IF(D3="L",1,0)+AA3</f>
        <v>0</v>
      </c>
      <c r="AM3" s="1" t="n">
        <f aca="false">IF(D3="V",-2,0)+IF(D3="E",-1,0)+IF(D3="O",0,0)+IF(D3="L",1,0)+AA3*2</f>
        <v>1</v>
      </c>
      <c r="AN3" s="1" t="n">
        <f aca="false">(ABS(IF(AE3&lt;0,AE3*Early,AE3*Late))+ABS(IF(AF3&lt;0,AF3*Early,AF3*Late))+ABS(IF(AG3&lt;0,AG3*Early,AG3*Late)))/3</f>
        <v>2.33333333333333</v>
      </c>
      <c r="AO3" s="1" t="n">
        <f aca="false">(ABS(IF(AH3&lt;0,AH3*Early,AH3*Late))+ABS(IF(AI3&lt;0,AI3*Early,AI3*Late))+ABS(IF(AJ3&lt;0,AJ3*Early,AJ3*Late)))/3</f>
        <v>2.33333333333333</v>
      </c>
      <c r="AP3" s="1" t="n">
        <f aca="false">(ABS(IF(AK3&lt;0,AK3*Early,AK3*Late))+ABS(IF(AL3&lt;0,AL3*Early,AL3*Late))+ABS(IF(AM3&lt;0,AM3*Early,AM3*Late)))/3</f>
        <v>2.33333333333333</v>
      </c>
      <c r="AQ3" s="0" t="n">
        <f aca="false">Y3*Delay+AN3</f>
        <v>3.33333333333333</v>
      </c>
      <c r="AR3" s="0" t="n">
        <f aca="false">Z3*Delay+AO3</f>
        <v>3.33333333333333</v>
      </c>
      <c r="AS3" s="0" t="n">
        <f aca="false">AA3*Delay+AP3</f>
        <v>3.33333333333333</v>
      </c>
      <c r="AT3" s="0" t="n">
        <f aca="false">IF(AQ3=MIN(AQ2:AQ5),1,0)</f>
        <v>1</v>
      </c>
      <c r="AX3" s="0" t="str">
        <f aca="false">B3&amp;C3&amp;D3</f>
        <v>EEE</v>
      </c>
      <c r="AY3" s="1" t="n">
        <f aca="false">AQ3+AR3+AS3</f>
        <v>10</v>
      </c>
      <c r="AZ3" s="1" t="str">
        <f aca="false">RIGHT(AX3,2)</f>
        <v>EE</v>
      </c>
      <c r="BA3" s="1" t="str">
        <f aca="false">LEFT(AX3,1)&amp;RIGHT(AX3,1)</f>
        <v>EE</v>
      </c>
      <c r="BB3" s="1" t="str">
        <f aca="false">LEFT(AX3,2)</f>
        <v>EE</v>
      </c>
      <c r="BC3" s="1" t="n">
        <f aca="false">VLOOKUP(AZ3,TwoPlayers!$AG$1:$AH$17,2,FALSE())</f>
        <v>4</v>
      </c>
      <c r="BD3" s="1" t="n">
        <f aca="false">VLOOKUP(BA3,TwoPlayers!$AG$1:$AH$17,2,FALSE())</f>
        <v>4</v>
      </c>
      <c r="BE3" s="1" t="n">
        <f aca="false">VLOOKUP(BB3,TwoPlayers!$AG$1:$AH$17,2,FALSE())</f>
        <v>4</v>
      </c>
      <c r="BF3" s="1" t="n">
        <f aca="false">$AY3-BC3</f>
        <v>6</v>
      </c>
      <c r="BG3" s="1" t="n">
        <f aca="false">$AY3-BD3</f>
        <v>6</v>
      </c>
      <c r="BH3" s="1" t="n">
        <f aca="false">$AY3-BE3</f>
        <v>6</v>
      </c>
      <c r="BJ3" s="0" t="n">
        <f aca="false">AQ3+BF3</f>
        <v>9.33333333333333</v>
      </c>
      <c r="BK3" s="0" t="n">
        <f aca="false">AR3+BG3</f>
        <v>9.33333333333333</v>
      </c>
      <c r="BL3" s="0" t="n">
        <f aca="false">AS3+BH3</f>
        <v>9.33333333333333</v>
      </c>
      <c r="BM3" s="0" t="n">
        <f aca="false">IF(BJ3=MIN(BJ2:BJ6),1,0)</f>
        <v>0</v>
      </c>
    </row>
    <row r="4" customFormat="false" ht="13" hidden="false" customHeight="false" outlineLevel="0" collapsed="false">
      <c r="A4" s="0" t="n">
        <v>38</v>
      </c>
      <c r="B4" s="0" t="s">
        <v>3</v>
      </c>
      <c r="C4" s="0" t="s">
        <v>2</v>
      </c>
      <c r="D4" s="0" t="s">
        <v>2</v>
      </c>
      <c r="E4" s="0" t="n">
        <f aca="false">(IF($B4="V",1,0))+IF($C4="V",1,0)+IF($D4="V",1,0)</f>
        <v>0</v>
      </c>
      <c r="F4" s="0" t="n">
        <f aca="false">(IF($B4="E",1,0))+IF($C4="E",1,0)+IF($D4="E",1,0)</f>
        <v>2</v>
      </c>
      <c r="G4" s="0" t="n">
        <f aca="false">(IF($B4="O",1,0))+IF($C4="O",1,0)+IF($D4="O",1,0)</f>
        <v>1</v>
      </c>
      <c r="H4" s="0" t="n">
        <f aca="false">(IF($B4="L",1,0))+IF($C4="L",1,0)+IF($D4="L",1,0)</f>
        <v>0</v>
      </c>
      <c r="I4" s="0" t="n">
        <f aca="false">(IF(B4="V",1,0))</f>
        <v>0</v>
      </c>
      <c r="J4" s="0" t="n">
        <f aca="false">(IF(B4="E",1,0))</f>
        <v>0</v>
      </c>
      <c r="K4" s="0" t="n">
        <f aca="false">(IF(B4="O",1,0))</f>
        <v>1</v>
      </c>
      <c r="L4" s="0" t="n">
        <f aca="false">(IF(B4="L",1,0))</f>
        <v>0</v>
      </c>
      <c r="M4" s="0" t="n">
        <f aca="false">(IF(C4="V",1,0))</f>
        <v>0</v>
      </c>
      <c r="N4" s="0" t="n">
        <f aca="false">(IF(C4="E",1,0))</f>
        <v>1</v>
      </c>
      <c r="O4" s="0" t="n">
        <f aca="false">(IF(C4="O",1,0))</f>
        <v>0</v>
      </c>
      <c r="P4" s="0" t="n">
        <f aca="false">(IF(C4="L",1,0))</f>
        <v>0</v>
      </c>
      <c r="Q4" s="0" t="n">
        <f aca="false">(IF(D4="V",1,0))</f>
        <v>0</v>
      </c>
      <c r="R4" s="0" t="n">
        <f aca="false">(IF(D4="E",1,0))</f>
        <v>1</v>
      </c>
      <c r="S4" s="0" t="n">
        <f aca="false">(IF(D4="O",1,0))</f>
        <v>0</v>
      </c>
      <c r="T4" s="0" t="n">
        <f aca="false">(IF(D4="L",1,0))</f>
        <v>0</v>
      </c>
      <c r="U4" s="0" t="n">
        <f aca="false">MAX(E4-1,0)</f>
        <v>0</v>
      </c>
      <c r="V4" s="0" t="n">
        <f aca="false">MAX(U4-1+F4,0)</f>
        <v>1</v>
      </c>
      <c r="W4" s="0" t="n">
        <f aca="false">MAX(V4-1+G4,0)</f>
        <v>1</v>
      </c>
      <c r="X4" s="0" t="n">
        <f aca="false">MAX(W4-1+H4,0)</f>
        <v>0</v>
      </c>
      <c r="Y4" s="1" t="n">
        <f aca="false">0.5*(E4*I4+F4*J4+G4*K4+H4*L4-1)+(0+$U4*J4+$V4*K4+$W4*L4)</f>
        <v>1</v>
      </c>
      <c r="Z4" s="1" t="n">
        <f aca="false">0.5*(E4*M4+F4*N4+G4*O4+H4*P4-1)+(0+$U4*N4+$V4*O4+$W4*P4)</f>
        <v>0.5</v>
      </c>
      <c r="AA4" s="1" t="n">
        <f aca="false">0.5*(E4*Q4+F4*R4+G4*S4+H4*T4-1)+(0+$U4*R4+$V4*S4+$W4*T4)</f>
        <v>0.5</v>
      </c>
      <c r="AB4" s="0" t="n">
        <f aca="false">IF(B4="V",-2,0)+IF(B4="E",-1,0)+IF(B4="O",0,0)+IF(B4="L",1,0)+Y4</f>
        <v>1</v>
      </c>
      <c r="AC4" s="0" t="n">
        <f aca="false">IF(C4="V",-2,0)+IF(C4="E",-1,0)+IF(C4="O",0,0)+IF(C4="L",1,0)+Z4</f>
        <v>-0.5</v>
      </c>
      <c r="AD4" s="0" t="n">
        <f aca="false">IF(D4="V",-2,0)+IF(D4="E",-1,0)+IF(D4="O",0,0)+IF(D4="L",1,0)+AA4</f>
        <v>-0.5</v>
      </c>
      <c r="AE4" s="1" t="n">
        <f aca="false">IF(B4="V",-2,0)+IF(B4="E",-1,0)+IF(B4="O",0,0)+IF(B4="L",1,0)</f>
        <v>0</v>
      </c>
      <c r="AF4" s="1" t="n">
        <f aca="false">IF(B4="V",-2,0)+IF(B4="E",-1,0)+IF(B4="O",0,0)+IF(B4="L",1,0)+Y4</f>
        <v>1</v>
      </c>
      <c r="AG4" s="1" t="n">
        <f aca="false">IF(B4="V",-2,0)+IF(B4="E",-1,0)+IF(B4="O",0,0)+IF(B4="L",1,0)+Y4*2</f>
        <v>2</v>
      </c>
      <c r="AH4" s="1" t="n">
        <f aca="false">IF(C4="V",-2,0)+IF(C4="E",-1,0)+IF(C4="O",0,0)+IF(C4="L",1,0)</f>
        <v>-1</v>
      </c>
      <c r="AI4" s="1" t="n">
        <f aca="false">IF(C4="V",-2,0)+IF(C4="E",-1,0)+IF(C4="O",0,0)+IF(C4="L",1,0)+Z4</f>
        <v>-0.5</v>
      </c>
      <c r="AJ4" s="1" t="n">
        <f aca="false">IF(C4="V",-2,0)+IF(C4="E",-1,0)+IF(C4="O",0,0)+IF(C4="L",1,0)+Z4*2</f>
        <v>0</v>
      </c>
      <c r="AK4" s="1" t="n">
        <f aca="false">IF(D4="V",-2,0)+IF(D4="E",-1,0)+IF(D4="O",0,0)+IF(D4="L",1,0)</f>
        <v>-1</v>
      </c>
      <c r="AL4" s="1" t="n">
        <f aca="false">IF(D4="V",-2,0)+IF(D4="E",-1,0)+IF(D4="O",0,0)+IF(D4="L",1,0)+AA4</f>
        <v>-0.5</v>
      </c>
      <c r="AM4" s="1" t="n">
        <f aca="false">IF(D4="V",-2,0)+IF(D4="E",-1,0)+IF(D4="O",0,0)+IF(D4="L",1,0)+AA4*2</f>
        <v>0</v>
      </c>
      <c r="AN4" s="1" t="n">
        <f aca="false">(ABS(IF(AE4&lt;0,AE4*Early,AE4*Late))+ABS(IF(AF4&lt;0,AF4*Early,AF4*Late))+ABS(IF(AG4&lt;0,AG4*Early,AG4*Late)))/3</f>
        <v>4</v>
      </c>
      <c r="AO4" s="1" t="n">
        <f aca="false">(ABS(IF(AH4&lt;0,AH4*Early,AH4*Late))+ABS(IF(AI4&lt;0,AI4*Early,AI4*Late))+ABS(IF(AJ4&lt;0,AJ4*Early,AJ4*Late)))/3</f>
        <v>1.5</v>
      </c>
      <c r="AP4" s="1" t="n">
        <f aca="false">(ABS(IF(AK4&lt;0,AK4*Early,AK4*Late))+ABS(IF(AL4&lt;0,AL4*Early,AL4*Late))+ABS(IF(AM4&lt;0,AM4*Early,AM4*Late)))/3</f>
        <v>1.5</v>
      </c>
      <c r="AQ4" s="0" t="n">
        <f aca="false">Y4*Delay+AN4</f>
        <v>5</v>
      </c>
      <c r="AR4" s="0" t="n">
        <f aca="false">Z4*Delay+AO4</f>
        <v>2</v>
      </c>
      <c r="AS4" s="0" t="n">
        <f aca="false">AA4*Delay+AP4</f>
        <v>2</v>
      </c>
      <c r="AT4" s="0" t="n">
        <f aca="false">IF(AQ4=MIN(AQ2:AQ5),1,0)</f>
        <v>0</v>
      </c>
      <c r="AX4" s="0" t="str">
        <f aca="false">B4&amp;C4&amp;D4</f>
        <v>OEE</v>
      </c>
      <c r="AY4" s="1" t="n">
        <f aca="false">AQ4+AR4+AS4</f>
        <v>9</v>
      </c>
      <c r="AZ4" s="1" t="str">
        <f aca="false">RIGHT(AX4,2)</f>
        <v>EE</v>
      </c>
      <c r="BA4" s="1" t="str">
        <f aca="false">LEFT(AX4,1)&amp;RIGHT(AX4,1)</f>
        <v>OE</v>
      </c>
      <c r="BB4" s="1" t="str">
        <f aca="false">LEFT(AX4,2)</f>
        <v>OE</v>
      </c>
      <c r="BC4" s="1" t="n">
        <f aca="false">VLOOKUP(AZ4,TwoPlayers!$AG$1:$AH$17,2,FALSE())</f>
        <v>4</v>
      </c>
      <c r="BD4" s="1" t="n">
        <f aca="false">VLOOKUP(BA4,TwoPlayers!$AG$1:$AH$17,2,FALSE())</f>
        <v>3</v>
      </c>
      <c r="BE4" s="1" t="n">
        <f aca="false">VLOOKUP(BB4,TwoPlayers!$AG$1:$AH$17,2,FALSE())</f>
        <v>3</v>
      </c>
      <c r="BF4" s="1" t="n">
        <f aca="false">$AY4-BC4</f>
        <v>5</v>
      </c>
      <c r="BG4" s="1" t="n">
        <f aca="false">$AY4-BD4</f>
        <v>6</v>
      </c>
      <c r="BH4" s="1" t="n">
        <f aca="false">$AY4-BE4</f>
        <v>6</v>
      </c>
      <c r="BJ4" s="0" t="n">
        <f aca="false">AQ4+BF4</f>
        <v>10</v>
      </c>
      <c r="BK4" s="0" t="n">
        <f aca="false">AR4+BG4</f>
        <v>8</v>
      </c>
      <c r="BL4" s="0" t="n">
        <f aca="false">AS4+BH4</f>
        <v>8</v>
      </c>
      <c r="BM4" s="0" t="n">
        <f aca="false">IF(BJ4=MIN(BJ2:BJ6),1,0)</f>
        <v>0</v>
      </c>
    </row>
    <row r="5" customFormat="false" ht="13" hidden="false" customHeight="false" outlineLevel="0" collapsed="false">
      <c r="A5" s="0" t="n">
        <v>54</v>
      </c>
      <c r="B5" s="0" t="s">
        <v>4</v>
      </c>
      <c r="C5" s="0" t="s">
        <v>2</v>
      </c>
      <c r="D5" s="0" t="s">
        <v>2</v>
      </c>
      <c r="E5" s="0" t="n">
        <f aca="false">(IF($B5="V",1,0))+IF($C5="V",1,0)+IF($D5="V",1,0)</f>
        <v>0</v>
      </c>
      <c r="F5" s="0" t="n">
        <f aca="false">(IF($B5="E",1,0))+IF($C5="E",1,0)+IF($D5="E",1,0)</f>
        <v>2</v>
      </c>
      <c r="G5" s="0" t="n">
        <f aca="false">(IF($B5="O",1,0))+IF($C5="O",1,0)+IF($D5="O",1,0)</f>
        <v>0</v>
      </c>
      <c r="H5" s="0" t="n">
        <f aca="false">(IF($B5="L",1,0))+IF($C5="L",1,0)+IF($D5="L",1,0)</f>
        <v>1</v>
      </c>
      <c r="I5" s="0" t="n">
        <f aca="false">(IF(B5="V",1,0))</f>
        <v>0</v>
      </c>
      <c r="J5" s="0" t="n">
        <f aca="false">(IF(B5="E",1,0))</f>
        <v>0</v>
      </c>
      <c r="K5" s="0" t="n">
        <f aca="false">(IF(B5="O",1,0))</f>
        <v>0</v>
      </c>
      <c r="L5" s="0" t="n">
        <f aca="false">(IF(B5="L",1,0))</f>
        <v>1</v>
      </c>
      <c r="M5" s="0" t="n">
        <f aca="false">(IF(C5="V",1,0))</f>
        <v>0</v>
      </c>
      <c r="N5" s="0" t="n">
        <f aca="false">(IF(C5="E",1,0))</f>
        <v>1</v>
      </c>
      <c r="O5" s="0" t="n">
        <f aca="false">(IF(C5="O",1,0))</f>
        <v>0</v>
      </c>
      <c r="P5" s="0" t="n">
        <f aca="false">(IF(C5="L",1,0))</f>
        <v>0</v>
      </c>
      <c r="Q5" s="0" t="n">
        <f aca="false">(IF(D5="V",1,0))</f>
        <v>0</v>
      </c>
      <c r="R5" s="0" t="n">
        <f aca="false">(IF(D5="E",1,0))</f>
        <v>1</v>
      </c>
      <c r="S5" s="0" t="n">
        <f aca="false">(IF(D5="O",1,0))</f>
        <v>0</v>
      </c>
      <c r="T5" s="0" t="n">
        <f aca="false">(IF(D5="L",1,0))</f>
        <v>0</v>
      </c>
      <c r="U5" s="0" t="n">
        <f aca="false">MAX(E5-1,0)</f>
        <v>0</v>
      </c>
      <c r="V5" s="0" t="n">
        <f aca="false">MAX(U5-1+F5,0)</f>
        <v>1</v>
      </c>
      <c r="W5" s="0" t="n">
        <f aca="false">MAX(V5-1+G5,0)</f>
        <v>0</v>
      </c>
      <c r="X5" s="0" t="n">
        <f aca="false">MAX(W5-1+H5,0)</f>
        <v>0</v>
      </c>
      <c r="Y5" s="1" t="n">
        <f aca="false">0.5*(E5*I5+F5*J5+G5*K5+H5*L5-1)+(0+$U5*J5+$V5*K5+$W5*L5)</f>
        <v>0</v>
      </c>
      <c r="Z5" s="1" t="n">
        <f aca="false">0.5*(E5*M5+F5*N5+G5*O5+H5*P5-1)+(0+$U5*N5+$V5*O5+$W5*P5)</f>
        <v>0.5</v>
      </c>
      <c r="AA5" s="1" t="n">
        <f aca="false">0.5*(E5*Q5+F5*R5+G5*S5+H5*T5-1)+(0+$U5*R5+$V5*S5+$W5*T5)</f>
        <v>0.5</v>
      </c>
      <c r="AB5" s="0" t="n">
        <f aca="false">IF(B5="V",-2,0)+IF(B5="E",-1,0)+IF(B5="O",0,0)+IF(B5="L",1,0)+Y5</f>
        <v>1</v>
      </c>
      <c r="AC5" s="0" t="n">
        <f aca="false">IF(C5="V",-2,0)+IF(C5="E",-1,0)+IF(C5="O",0,0)+IF(C5="L",1,0)+Z5</f>
        <v>-0.5</v>
      </c>
      <c r="AD5" s="0" t="n">
        <f aca="false">IF(D5="V",-2,0)+IF(D5="E",-1,0)+IF(D5="O",0,0)+IF(D5="L",1,0)+AA5</f>
        <v>-0.5</v>
      </c>
      <c r="AE5" s="1" t="n">
        <f aca="false">IF(B5="V",-2,0)+IF(B5="E",-1,0)+IF(B5="O",0,0)+IF(B5="L",1,0)</f>
        <v>1</v>
      </c>
      <c r="AF5" s="1" t="n">
        <f aca="false">IF(B5="V",-2,0)+IF(B5="E",-1,0)+IF(B5="O",0,0)+IF(B5="L",1,0)+Y5</f>
        <v>1</v>
      </c>
      <c r="AG5" s="1" t="n">
        <f aca="false">IF(B5="V",-2,0)+IF(B5="E",-1,0)+IF(B5="O",0,0)+IF(B5="L",1,0)+Y5*2</f>
        <v>1</v>
      </c>
      <c r="AH5" s="1" t="n">
        <f aca="false">IF(C5="V",-2,0)+IF(C5="E",-1,0)+IF(C5="O",0,0)+IF(C5="L",1,0)</f>
        <v>-1</v>
      </c>
      <c r="AI5" s="1" t="n">
        <f aca="false">IF(C5="V",-2,0)+IF(C5="E",-1,0)+IF(C5="O",0,0)+IF(C5="L",1,0)+Z5</f>
        <v>-0.5</v>
      </c>
      <c r="AJ5" s="1" t="n">
        <f aca="false">IF(C5="V",-2,0)+IF(C5="E",-1,0)+IF(C5="O",0,0)+IF(C5="L",1,0)+Z5*2</f>
        <v>0</v>
      </c>
      <c r="AK5" s="1" t="n">
        <f aca="false">IF(D5="V",-2,0)+IF(D5="E",-1,0)+IF(D5="O",0,0)+IF(D5="L",1,0)</f>
        <v>-1</v>
      </c>
      <c r="AL5" s="1" t="n">
        <f aca="false">IF(D5="V",-2,0)+IF(D5="E",-1,0)+IF(D5="O",0,0)+IF(D5="L",1,0)+AA5</f>
        <v>-0.5</v>
      </c>
      <c r="AM5" s="1" t="n">
        <f aca="false">IF(D5="V",-2,0)+IF(D5="E",-1,0)+IF(D5="O",0,0)+IF(D5="L",1,0)+AA5*2</f>
        <v>0</v>
      </c>
      <c r="AN5" s="1" t="n">
        <f aca="false">(ABS(IF(AE5&lt;0,AE5*Early,AE5*Late))+ABS(IF(AF5&lt;0,AF5*Early,AF5*Late))+ABS(IF(AG5&lt;0,AG5*Early,AG5*Late)))/3</f>
        <v>4</v>
      </c>
      <c r="AO5" s="1" t="n">
        <f aca="false">(ABS(IF(AH5&lt;0,AH5*Early,AH5*Late))+ABS(IF(AI5&lt;0,AI5*Early,AI5*Late))+ABS(IF(AJ5&lt;0,AJ5*Early,AJ5*Late)))/3</f>
        <v>1.5</v>
      </c>
      <c r="AP5" s="1" t="n">
        <f aca="false">(ABS(IF(AK5&lt;0,AK5*Early,AK5*Late))+ABS(IF(AL5&lt;0,AL5*Early,AL5*Late))+ABS(IF(AM5&lt;0,AM5*Early,AM5*Late)))/3</f>
        <v>1.5</v>
      </c>
      <c r="AQ5" s="0" t="n">
        <f aca="false">Y5*Delay+AN5</f>
        <v>4</v>
      </c>
      <c r="AR5" s="0" t="n">
        <f aca="false">Z5*Delay+AO5</f>
        <v>2</v>
      </c>
      <c r="AS5" s="0" t="n">
        <f aca="false">AA5*Delay+AP5</f>
        <v>2</v>
      </c>
      <c r="AT5" s="0" t="n">
        <f aca="false">IF(AQ5=MIN(AQ2:AQ5),1,0)</f>
        <v>0</v>
      </c>
      <c r="AX5" s="0" t="str">
        <f aca="false">B5&amp;C5&amp;D5</f>
        <v>LEE</v>
      </c>
      <c r="AY5" s="1" t="n">
        <f aca="false">AQ5+AR5+AS5</f>
        <v>8</v>
      </c>
      <c r="AZ5" s="1" t="str">
        <f aca="false">RIGHT(AX5,2)</f>
        <v>EE</v>
      </c>
      <c r="BA5" s="1" t="str">
        <f aca="false">LEFT(AX5,1)&amp;RIGHT(AX5,1)</f>
        <v>LE</v>
      </c>
      <c r="BB5" s="1" t="str">
        <f aca="false">LEFT(AX5,2)</f>
        <v>LE</v>
      </c>
      <c r="BC5" s="1" t="n">
        <f aca="false">VLOOKUP(AZ5,TwoPlayers!$AG$1:$AH$17,2,FALSE())</f>
        <v>4</v>
      </c>
      <c r="BD5" s="1" t="n">
        <f aca="false">VLOOKUP(BA5,TwoPlayers!$AG$1:$AH$17,2,FALSE())</f>
        <v>7</v>
      </c>
      <c r="BE5" s="1" t="n">
        <f aca="false">VLOOKUP(BB5,TwoPlayers!$AG$1:$AH$17,2,FALSE())</f>
        <v>7</v>
      </c>
      <c r="BF5" s="1" t="n">
        <f aca="false">$AY5-BC5</f>
        <v>4</v>
      </c>
      <c r="BG5" s="1" t="n">
        <f aca="false">$AY5-BD5</f>
        <v>1</v>
      </c>
      <c r="BH5" s="1" t="n">
        <f aca="false">$AY5-BE5</f>
        <v>1</v>
      </c>
      <c r="BJ5" s="0" t="n">
        <f aca="false">AQ5+BF5</f>
        <v>8</v>
      </c>
      <c r="BK5" s="0" t="n">
        <f aca="false">AR5+BG5</f>
        <v>3</v>
      </c>
      <c r="BL5" s="0" t="n">
        <f aca="false">AS5+BH5</f>
        <v>3</v>
      </c>
      <c r="BM5" s="0" t="n">
        <f aca="false">IF(BJ5=MIN(BJ2:BJ6),1,0)</f>
        <v>1</v>
      </c>
    </row>
    <row r="6" customFormat="false" ht="13" hidden="false" customHeight="false" outlineLevel="0" collapsed="false">
      <c r="A6" s="0" t="n">
        <v>8</v>
      </c>
      <c r="B6" s="0" t="s">
        <v>1</v>
      </c>
      <c r="C6" s="0" t="s">
        <v>2</v>
      </c>
      <c r="D6" s="0" t="s">
        <v>4</v>
      </c>
      <c r="E6" s="0" t="n">
        <f aca="false">(IF($B6="V",1,0))+IF($C6="V",1,0)+IF($D6="V",1,0)</f>
        <v>1</v>
      </c>
      <c r="F6" s="0" t="n">
        <f aca="false">(IF($B6="E",1,0))+IF($C6="E",1,0)+IF($D6="E",1,0)</f>
        <v>1</v>
      </c>
      <c r="G6" s="0" t="n">
        <f aca="false">(IF($B6="O",1,0))+IF($C6="O",1,0)+IF($D6="O",1,0)</f>
        <v>0</v>
      </c>
      <c r="H6" s="0" t="n">
        <f aca="false">(IF($B6="L",1,0))+IF($C6="L",1,0)+IF($D6="L",1,0)</f>
        <v>1</v>
      </c>
      <c r="I6" s="0" t="n">
        <f aca="false">(IF(B6="V",1,0))</f>
        <v>1</v>
      </c>
      <c r="J6" s="0" t="n">
        <f aca="false">(IF(B6="E",1,0))</f>
        <v>0</v>
      </c>
      <c r="K6" s="0" t="n">
        <f aca="false">(IF(B6="O",1,0))</f>
        <v>0</v>
      </c>
      <c r="L6" s="0" t="n">
        <f aca="false">(IF(B6="L",1,0))</f>
        <v>0</v>
      </c>
      <c r="M6" s="0" t="n">
        <f aca="false">(IF(C6="V",1,0))</f>
        <v>0</v>
      </c>
      <c r="N6" s="0" t="n">
        <f aca="false">(IF(C6="E",1,0))</f>
        <v>1</v>
      </c>
      <c r="O6" s="0" t="n">
        <f aca="false">(IF(C6="O",1,0))</f>
        <v>0</v>
      </c>
      <c r="P6" s="0" t="n">
        <f aca="false">(IF(C6="L",1,0))</f>
        <v>0</v>
      </c>
      <c r="Q6" s="0" t="n">
        <f aca="false">(IF(D6="V",1,0))</f>
        <v>0</v>
      </c>
      <c r="R6" s="0" t="n">
        <f aca="false">(IF(D6="E",1,0))</f>
        <v>0</v>
      </c>
      <c r="S6" s="0" t="n">
        <f aca="false">(IF(D6="O",1,0))</f>
        <v>0</v>
      </c>
      <c r="T6" s="0" t="n">
        <f aca="false">(IF(D6="L",1,0))</f>
        <v>1</v>
      </c>
      <c r="U6" s="0" t="n">
        <f aca="false">MAX(E6-1,0)</f>
        <v>0</v>
      </c>
      <c r="V6" s="0" t="n">
        <f aca="false">MAX(U6-1+F6,0)</f>
        <v>0</v>
      </c>
      <c r="W6" s="0" t="n">
        <f aca="false">MAX(V6-1+G6,0)</f>
        <v>0</v>
      </c>
      <c r="X6" s="0" t="n">
        <f aca="false">MAX(W6-1+H6,0)</f>
        <v>0</v>
      </c>
      <c r="Y6" s="1" t="n">
        <f aca="false">0.5*(E6*I6+F6*J6+G6*K6+H6*L6-1)+(0+$U6*J6+$V6*K6+$W6*L6)</f>
        <v>0</v>
      </c>
      <c r="Z6" s="1" t="n">
        <f aca="false">0.5*(E6*M6+F6*N6+G6*O6+H6*P6-1)+(0+$U6*N6+$V6*O6+$W6*P6)</f>
        <v>0</v>
      </c>
      <c r="AA6" s="1" t="n">
        <f aca="false">0.5*(E6*Q6+F6*R6+G6*S6+H6*T6-1)+(0+$U6*R6+$V6*S6+$W6*T6)</f>
        <v>0</v>
      </c>
      <c r="AB6" s="0" t="n">
        <f aca="false">IF(B6="V",-2,0)+IF(B6="E",-1,0)+IF(B6="O",0,0)+IF(B6="L",1,0)+Y6</f>
        <v>-2</v>
      </c>
      <c r="AC6" s="0" t="n">
        <f aca="false">IF(C6="V",-2,0)+IF(C6="E",-1,0)+IF(C6="O",0,0)+IF(C6="L",1,0)+Z6</f>
        <v>-1</v>
      </c>
      <c r="AD6" s="0" t="n">
        <f aca="false">IF(D6="V",-2,0)+IF(D6="E",-1,0)+IF(D6="O",0,0)+IF(D6="L",1,0)+AA6</f>
        <v>1</v>
      </c>
      <c r="AE6" s="1" t="n">
        <f aca="false">IF(B6="V",-2,0)+IF(B6="E",-1,0)+IF(B6="O",0,0)+IF(B6="L",1,0)</f>
        <v>-2</v>
      </c>
      <c r="AF6" s="1" t="n">
        <f aca="false">IF(B6="V",-2,0)+IF(B6="E",-1,0)+IF(B6="O",0,0)+IF(B6="L",1,0)+Y6</f>
        <v>-2</v>
      </c>
      <c r="AG6" s="1" t="n">
        <f aca="false">IF(B6="V",-2,0)+IF(B6="E",-1,0)+IF(B6="O",0,0)+IF(B6="L",1,0)+Y6*2</f>
        <v>-2</v>
      </c>
      <c r="AH6" s="1" t="n">
        <f aca="false">IF(C6="V",-2,0)+IF(C6="E",-1,0)+IF(C6="O",0,0)+IF(C6="L",1,0)</f>
        <v>-1</v>
      </c>
      <c r="AI6" s="1" t="n">
        <f aca="false">IF(C6="V",-2,0)+IF(C6="E",-1,0)+IF(C6="O",0,0)+IF(C6="L",1,0)+Z6</f>
        <v>-1</v>
      </c>
      <c r="AJ6" s="1" t="n">
        <f aca="false">IF(C6="V",-2,0)+IF(C6="E",-1,0)+IF(C6="O",0,0)+IF(C6="L",1,0)+Z6*2</f>
        <v>-1</v>
      </c>
      <c r="AK6" s="1" t="n">
        <f aca="false">IF(D6="V",-2,0)+IF(D6="E",-1,0)+IF(D6="O",0,0)+IF(D6="L",1,0)</f>
        <v>1</v>
      </c>
      <c r="AL6" s="1" t="n">
        <f aca="false">IF(D6="V",-2,0)+IF(D6="E",-1,0)+IF(D6="O",0,0)+IF(D6="L",1,0)+AA6</f>
        <v>1</v>
      </c>
      <c r="AM6" s="1" t="n">
        <f aca="false">IF(D6="V",-2,0)+IF(D6="E",-1,0)+IF(D6="O",0,0)+IF(D6="L",1,0)+AA6*2</f>
        <v>1</v>
      </c>
      <c r="AN6" s="1" t="n">
        <f aca="false">(ABS(IF(AE6&lt;0,AE6*Early,AE6*Late))+ABS(IF(AF6&lt;0,AF6*Early,AF6*Late))+ABS(IF(AG6&lt;0,AG6*Early,AG6*Late)))/3</f>
        <v>6</v>
      </c>
      <c r="AO6" s="1" t="n">
        <f aca="false">(ABS(IF(AH6&lt;0,AH6*Early,AH6*Late))+ABS(IF(AI6&lt;0,AI6*Early,AI6*Late))+ABS(IF(AJ6&lt;0,AJ6*Early,AJ6*Late)))/3</f>
        <v>3</v>
      </c>
      <c r="AP6" s="1" t="n">
        <f aca="false">(ABS(IF(AK6&lt;0,AK6*Early,AK6*Late))+ABS(IF(AL6&lt;0,AL6*Early,AL6*Late))+ABS(IF(AM6&lt;0,AM6*Early,AM6*Late)))/3</f>
        <v>4</v>
      </c>
      <c r="AQ6" s="0" t="n">
        <f aca="false">Y6*Delay+AN6</f>
        <v>6</v>
      </c>
      <c r="AR6" s="0" t="n">
        <f aca="false">Z6*Delay+AO6</f>
        <v>3</v>
      </c>
      <c r="AS6" s="0" t="n">
        <f aca="false">AA6*Delay+AP6</f>
        <v>4</v>
      </c>
      <c r="AT6" s="0" t="n">
        <f aca="false">IF(AQ6=MIN(AQ6:AQ9),1,0)</f>
        <v>0</v>
      </c>
      <c r="AX6" s="0" t="str">
        <f aca="false">B6&amp;C6&amp;D6</f>
        <v>VEL</v>
      </c>
      <c r="AY6" s="1" t="n">
        <f aca="false">AQ6+AR6+AS6</f>
        <v>13</v>
      </c>
      <c r="AZ6" s="1" t="str">
        <f aca="false">RIGHT(AX6,2)</f>
        <v>EL</v>
      </c>
      <c r="BA6" s="1" t="str">
        <f aca="false">LEFT(AX6,1)&amp;RIGHT(AX6,1)</f>
        <v>VL</v>
      </c>
      <c r="BB6" s="1" t="str">
        <f aca="false">LEFT(AX6,2)</f>
        <v>VE</v>
      </c>
      <c r="BC6" s="1" t="n">
        <f aca="false">VLOOKUP(AZ6,TwoPlayers!$AG$1:$AH$17,2,FALSE())</f>
        <v>7</v>
      </c>
      <c r="BD6" s="1" t="n">
        <f aca="false">VLOOKUP(BA6,TwoPlayers!$AG$1:$AH$17,2,FALSE())</f>
        <v>10</v>
      </c>
      <c r="BE6" s="1" t="n">
        <f aca="false">VLOOKUP(BB6,TwoPlayers!$AG$1:$AH$17,2,FALSE())</f>
        <v>9</v>
      </c>
      <c r="BF6" s="1" t="n">
        <f aca="false">$AY6-BC6</f>
        <v>6</v>
      </c>
      <c r="BG6" s="1" t="n">
        <f aca="false">$AY6-BD6</f>
        <v>3</v>
      </c>
      <c r="BH6" s="1" t="n">
        <f aca="false">$AY6-BE6</f>
        <v>4</v>
      </c>
      <c r="BJ6" s="0" t="n">
        <f aca="false">AQ6+BF6</f>
        <v>12</v>
      </c>
      <c r="BK6" s="0" t="n">
        <f aca="false">AR6+BG6</f>
        <v>6</v>
      </c>
      <c r="BL6" s="0" t="n">
        <f aca="false">AS6+BH6</f>
        <v>8</v>
      </c>
      <c r="BM6" s="0" t="n">
        <f aca="false">IF(BJ6=MIN(BJ6:BJ10),1,0)</f>
        <v>0</v>
      </c>
    </row>
    <row r="7" customFormat="false" ht="13" hidden="false" customHeight="false" outlineLevel="0" collapsed="false">
      <c r="A7" s="0" t="n">
        <v>24</v>
      </c>
      <c r="B7" s="0" t="s">
        <v>2</v>
      </c>
      <c r="C7" s="0" t="s">
        <v>2</v>
      </c>
      <c r="D7" s="0" t="s">
        <v>4</v>
      </c>
      <c r="E7" s="0" t="n">
        <f aca="false">(IF($B7="V",1,0))+IF($C7="V",1,0)+IF($D7="V",1,0)</f>
        <v>0</v>
      </c>
      <c r="F7" s="0" t="n">
        <f aca="false">(IF($B7="E",1,0))+IF($C7="E",1,0)+IF($D7="E",1,0)</f>
        <v>2</v>
      </c>
      <c r="G7" s="0" t="n">
        <f aca="false">(IF($B7="O",1,0))+IF($C7="O",1,0)+IF($D7="O",1,0)</f>
        <v>0</v>
      </c>
      <c r="H7" s="0" t="n">
        <f aca="false">(IF($B7="L",1,0))+IF($C7="L",1,0)+IF($D7="L",1,0)</f>
        <v>1</v>
      </c>
      <c r="I7" s="0" t="n">
        <f aca="false">(IF(B7="V",1,0))</f>
        <v>0</v>
      </c>
      <c r="J7" s="0" t="n">
        <f aca="false">(IF(B7="E",1,0))</f>
        <v>1</v>
      </c>
      <c r="K7" s="0" t="n">
        <f aca="false">(IF(B7="O",1,0))</f>
        <v>0</v>
      </c>
      <c r="L7" s="0" t="n">
        <f aca="false">(IF(B7="L",1,0))</f>
        <v>0</v>
      </c>
      <c r="M7" s="0" t="n">
        <f aca="false">(IF(C7="V",1,0))</f>
        <v>0</v>
      </c>
      <c r="N7" s="0" t="n">
        <f aca="false">(IF(C7="E",1,0))</f>
        <v>1</v>
      </c>
      <c r="O7" s="0" t="n">
        <f aca="false">(IF(C7="O",1,0))</f>
        <v>0</v>
      </c>
      <c r="P7" s="0" t="n">
        <f aca="false">(IF(C7="L",1,0))</f>
        <v>0</v>
      </c>
      <c r="Q7" s="0" t="n">
        <f aca="false">(IF(D7="V",1,0))</f>
        <v>0</v>
      </c>
      <c r="R7" s="0" t="n">
        <f aca="false">(IF(D7="E",1,0))</f>
        <v>0</v>
      </c>
      <c r="S7" s="0" t="n">
        <f aca="false">(IF(D7="O",1,0))</f>
        <v>0</v>
      </c>
      <c r="T7" s="0" t="n">
        <f aca="false">(IF(D7="L",1,0))</f>
        <v>1</v>
      </c>
      <c r="U7" s="0" t="n">
        <f aca="false">MAX(E7-1,0)</f>
        <v>0</v>
      </c>
      <c r="V7" s="0" t="n">
        <f aca="false">MAX(U7-1+F7,0)</f>
        <v>1</v>
      </c>
      <c r="W7" s="0" t="n">
        <f aca="false">MAX(V7-1+G7,0)</f>
        <v>0</v>
      </c>
      <c r="X7" s="0" t="n">
        <f aca="false">MAX(W7-1+H7,0)</f>
        <v>0</v>
      </c>
      <c r="Y7" s="1" t="n">
        <f aca="false">0.5*(E7*I7+F7*J7+G7*K7+H7*L7-1)+(0+$U7*J7+$V7*K7+$W7*L7)</f>
        <v>0.5</v>
      </c>
      <c r="Z7" s="1" t="n">
        <f aca="false">0.5*(E7*M7+F7*N7+G7*O7+H7*P7-1)+(0+$U7*N7+$V7*O7+$W7*P7)</f>
        <v>0.5</v>
      </c>
      <c r="AA7" s="1" t="n">
        <f aca="false">0.5*(E7*Q7+F7*R7+G7*S7+H7*T7-1)+(0+$U7*R7+$V7*S7+$W7*T7)</f>
        <v>0</v>
      </c>
      <c r="AB7" s="0" t="n">
        <f aca="false">IF(B7="V",-2,0)+IF(B7="E",-1,0)+IF(B7="O",0,0)+IF(B7="L",1,0)+Y7</f>
        <v>-0.5</v>
      </c>
      <c r="AC7" s="0" t="n">
        <f aca="false">IF(C7="V",-2,0)+IF(C7="E",-1,0)+IF(C7="O",0,0)+IF(C7="L",1,0)+Z7</f>
        <v>-0.5</v>
      </c>
      <c r="AD7" s="0" t="n">
        <f aca="false">IF(D7="V",-2,0)+IF(D7="E",-1,0)+IF(D7="O",0,0)+IF(D7="L",1,0)+AA7</f>
        <v>1</v>
      </c>
      <c r="AE7" s="1" t="n">
        <f aca="false">IF(B7="V",-2,0)+IF(B7="E",-1,0)+IF(B7="O",0,0)+IF(B7="L",1,0)</f>
        <v>-1</v>
      </c>
      <c r="AF7" s="1" t="n">
        <f aca="false">IF(B7="V",-2,0)+IF(B7="E",-1,0)+IF(B7="O",0,0)+IF(B7="L",1,0)+Y7</f>
        <v>-0.5</v>
      </c>
      <c r="AG7" s="1" t="n">
        <f aca="false">IF(B7="V",-2,0)+IF(B7="E",-1,0)+IF(B7="O",0,0)+IF(B7="L",1,0)+Y7*2</f>
        <v>0</v>
      </c>
      <c r="AH7" s="1" t="n">
        <f aca="false">IF(C7="V",-2,0)+IF(C7="E",-1,0)+IF(C7="O",0,0)+IF(C7="L",1,0)</f>
        <v>-1</v>
      </c>
      <c r="AI7" s="1" t="n">
        <f aca="false">IF(C7="V",-2,0)+IF(C7="E",-1,0)+IF(C7="O",0,0)+IF(C7="L",1,0)+Z7</f>
        <v>-0.5</v>
      </c>
      <c r="AJ7" s="1" t="n">
        <f aca="false">IF(C7="V",-2,0)+IF(C7="E",-1,0)+IF(C7="O",0,0)+IF(C7="L",1,0)+Z7*2</f>
        <v>0</v>
      </c>
      <c r="AK7" s="1" t="n">
        <f aca="false">IF(D7="V",-2,0)+IF(D7="E",-1,0)+IF(D7="O",0,0)+IF(D7="L",1,0)</f>
        <v>1</v>
      </c>
      <c r="AL7" s="1" t="n">
        <f aca="false">IF(D7="V",-2,0)+IF(D7="E",-1,0)+IF(D7="O",0,0)+IF(D7="L",1,0)+AA7</f>
        <v>1</v>
      </c>
      <c r="AM7" s="1" t="n">
        <f aca="false">IF(D7="V",-2,0)+IF(D7="E",-1,0)+IF(D7="O",0,0)+IF(D7="L",1,0)+AA7*2</f>
        <v>1</v>
      </c>
      <c r="AN7" s="1" t="n">
        <f aca="false">(ABS(IF(AE7&lt;0,AE7*Early,AE7*Late))+ABS(IF(AF7&lt;0,AF7*Early,AF7*Late))+ABS(IF(AG7&lt;0,AG7*Early,AG7*Late)))/3</f>
        <v>1.5</v>
      </c>
      <c r="AO7" s="1" t="n">
        <f aca="false">(ABS(IF(AH7&lt;0,AH7*Early,AH7*Late))+ABS(IF(AI7&lt;0,AI7*Early,AI7*Late))+ABS(IF(AJ7&lt;0,AJ7*Early,AJ7*Late)))/3</f>
        <v>1.5</v>
      </c>
      <c r="AP7" s="1" t="n">
        <f aca="false">(ABS(IF(AK7&lt;0,AK7*Early,AK7*Late))+ABS(IF(AL7&lt;0,AL7*Early,AL7*Late))+ABS(IF(AM7&lt;0,AM7*Early,AM7*Late)))/3</f>
        <v>4</v>
      </c>
      <c r="AQ7" s="0" t="n">
        <f aca="false">Y7*Delay+AN7</f>
        <v>2</v>
      </c>
      <c r="AR7" s="0" t="n">
        <f aca="false">Z7*Delay+AO7</f>
        <v>2</v>
      </c>
      <c r="AS7" s="0" t="n">
        <f aca="false">AA7*Delay+AP7</f>
        <v>4</v>
      </c>
      <c r="AT7" s="0" t="n">
        <f aca="false">IF(AQ7=MIN(AQ6:AQ9),1,0)</f>
        <v>0</v>
      </c>
      <c r="AX7" s="0" t="str">
        <f aca="false">B7&amp;C7&amp;D7</f>
        <v>EEL</v>
      </c>
      <c r="AY7" s="1" t="n">
        <f aca="false">AQ7+AR7+AS7</f>
        <v>8</v>
      </c>
      <c r="AZ7" s="1" t="str">
        <f aca="false">RIGHT(AX7,2)</f>
        <v>EL</v>
      </c>
      <c r="BA7" s="1" t="str">
        <f aca="false">LEFT(AX7,1)&amp;RIGHT(AX7,1)</f>
        <v>EL</v>
      </c>
      <c r="BB7" s="1" t="str">
        <f aca="false">LEFT(AX7,2)</f>
        <v>EE</v>
      </c>
      <c r="BC7" s="1" t="n">
        <f aca="false">VLOOKUP(AZ7,TwoPlayers!$AG$1:$AH$17,2,FALSE())</f>
        <v>7</v>
      </c>
      <c r="BD7" s="1" t="n">
        <f aca="false">VLOOKUP(BA7,TwoPlayers!$AG$1:$AH$17,2,FALSE())</f>
        <v>7</v>
      </c>
      <c r="BE7" s="1" t="n">
        <f aca="false">VLOOKUP(BB7,TwoPlayers!$AG$1:$AH$17,2,FALSE())</f>
        <v>4</v>
      </c>
      <c r="BF7" s="1" t="n">
        <f aca="false">$AY7-BC7</f>
        <v>1</v>
      </c>
      <c r="BG7" s="1" t="n">
        <f aca="false">$AY7-BD7</f>
        <v>1</v>
      </c>
      <c r="BH7" s="1" t="n">
        <f aca="false">$AY7-BE7</f>
        <v>4</v>
      </c>
      <c r="BJ7" s="0" t="n">
        <f aca="false">AQ7+BF7</f>
        <v>3</v>
      </c>
      <c r="BK7" s="0" t="n">
        <f aca="false">AR7+BG7</f>
        <v>3</v>
      </c>
      <c r="BL7" s="0" t="n">
        <f aca="false">AS7+BH7</f>
        <v>8</v>
      </c>
      <c r="BM7" s="0" t="n">
        <f aca="false">IF(BJ7=MIN(BJ6:BJ10),1,0)</f>
        <v>0</v>
      </c>
    </row>
    <row r="8" customFormat="false" ht="13" hidden="false" customHeight="false" outlineLevel="0" collapsed="false">
      <c r="A8" s="0" t="n">
        <v>40</v>
      </c>
      <c r="B8" s="0" t="s">
        <v>3</v>
      </c>
      <c r="C8" s="0" t="s">
        <v>2</v>
      </c>
      <c r="D8" s="0" t="s">
        <v>4</v>
      </c>
      <c r="E8" s="0" t="n">
        <f aca="false">(IF($B8="V",1,0))+IF($C8="V",1,0)+IF($D8="V",1,0)</f>
        <v>0</v>
      </c>
      <c r="F8" s="0" t="n">
        <f aca="false">(IF($B8="E",1,0))+IF($C8="E",1,0)+IF($D8="E",1,0)</f>
        <v>1</v>
      </c>
      <c r="G8" s="0" t="n">
        <f aca="false">(IF($B8="O",1,0))+IF($C8="O",1,0)+IF($D8="O",1,0)</f>
        <v>1</v>
      </c>
      <c r="H8" s="0" t="n">
        <f aca="false">(IF($B8="L",1,0))+IF($C8="L",1,0)+IF($D8="L",1,0)</f>
        <v>1</v>
      </c>
      <c r="I8" s="0" t="n">
        <f aca="false">(IF(B8="V",1,0))</f>
        <v>0</v>
      </c>
      <c r="J8" s="0" t="n">
        <f aca="false">(IF(B8="E",1,0))</f>
        <v>0</v>
      </c>
      <c r="K8" s="0" t="n">
        <f aca="false">(IF(B8="O",1,0))</f>
        <v>1</v>
      </c>
      <c r="L8" s="0" t="n">
        <f aca="false">(IF(B8="L",1,0))</f>
        <v>0</v>
      </c>
      <c r="M8" s="0" t="n">
        <f aca="false">(IF(C8="V",1,0))</f>
        <v>0</v>
      </c>
      <c r="N8" s="0" t="n">
        <f aca="false">(IF(C8="E",1,0))</f>
        <v>1</v>
      </c>
      <c r="O8" s="0" t="n">
        <f aca="false">(IF(C8="O",1,0))</f>
        <v>0</v>
      </c>
      <c r="P8" s="0" t="n">
        <f aca="false">(IF(C8="L",1,0))</f>
        <v>0</v>
      </c>
      <c r="Q8" s="0" t="n">
        <f aca="false">(IF(D8="V",1,0))</f>
        <v>0</v>
      </c>
      <c r="R8" s="0" t="n">
        <f aca="false">(IF(D8="E",1,0))</f>
        <v>0</v>
      </c>
      <c r="S8" s="0" t="n">
        <f aca="false">(IF(D8="O",1,0))</f>
        <v>0</v>
      </c>
      <c r="T8" s="0" t="n">
        <f aca="false">(IF(D8="L",1,0))</f>
        <v>1</v>
      </c>
      <c r="U8" s="0" t="n">
        <f aca="false">MAX(E8-1,0)</f>
        <v>0</v>
      </c>
      <c r="V8" s="0" t="n">
        <f aca="false">MAX(U8-1+F8,0)</f>
        <v>0</v>
      </c>
      <c r="W8" s="0" t="n">
        <f aca="false">MAX(V8-1+G8,0)</f>
        <v>0</v>
      </c>
      <c r="X8" s="0" t="n">
        <f aca="false">MAX(W8-1+H8,0)</f>
        <v>0</v>
      </c>
      <c r="Y8" s="1" t="n">
        <f aca="false">0.5*(E8*I8+F8*J8+G8*K8+H8*L8-1)+(0+$U8*J8+$V8*K8+$W8*L8)</f>
        <v>0</v>
      </c>
      <c r="Z8" s="1" t="n">
        <f aca="false">0.5*(E8*M8+F8*N8+G8*O8+H8*P8-1)+(0+$U8*N8+$V8*O8+$W8*P8)</f>
        <v>0</v>
      </c>
      <c r="AA8" s="1" t="n">
        <f aca="false">0.5*(E8*Q8+F8*R8+G8*S8+H8*T8-1)+(0+$U8*R8+$V8*S8+$W8*T8)</f>
        <v>0</v>
      </c>
      <c r="AB8" s="0" t="n">
        <f aca="false">IF(B8="V",-2,0)+IF(B8="E",-1,0)+IF(B8="O",0,0)+IF(B8="L",1,0)+Y8</f>
        <v>0</v>
      </c>
      <c r="AC8" s="0" t="n">
        <f aca="false">IF(C8="V",-2,0)+IF(C8="E",-1,0)+IF(C8="O",0,0)+IF(C8="L",1,0)+Z8</f>
        <v>-1</v>
      </c>
      <c r="AD8" s="0" t="n">
        <f aca="false">IF(D8="V",-2,0)+IF(D8="E",-1,0)+IF(D8="O",0,0)+IF(D8="L",1,0)+AA8</f>
        <v>1</v>
      </c>
      <c r="AE8" s="1" t="n">
        <f aca="false">IF(B8="V",-2,0)+IF(B8="E",-1,0)+IF(B8="O",0,0)+IF(B8="L",1,0)</f>
        <v>0</v>
      </c>
      <c r="AF8" s="1" t="n">
        <f aca="false">IF(B8="V",-2,0)+IF(B8="E",-1,0)+IF(B8="O",0,0)+IF(B8="L",1,0)+Y8</f>
        <v>0</v>
      </c>
      <c r="AG8" s="1" t="n">
        <f aca="false">IF(B8="V",-2,0)+IF(B8="E",-1,0)+IF(B8="O",0,0)+IF(B8="L",1,0)+Y8*2</f>
        <v>0</v>
      </c>
      <c r="AH8" s="1" t="n">
        <f aca="false">IF(C8="V",-2,0)+IF(C8="E",-1,0)+IF(C8="O",0,0)+IF(C8="L",1,0)</f>
        <v>-1</v>
      </c>
      <c r="AI8" s="1" t="n">
        <f aca="false">IF(C8="V",-2,0)+IF(C8="E",-1,0)+IF(C8="O",0,0)+IF(C8="L",1,0)+Z8</f>
        <v>-1</v>
      </c>
      <c r="AJ8" s="1" t="n">
        <f aca="false">IF(C8="V",-2,0)+IF(C8="E",-1,0)+IF(C8="O",0,0)+IF(C8="L",1,0)+Z8*2</f>
        <v>-1</v>
      </c>
      <c r="AK8" s="1" t="n">
        <f aca="false">IF(D8="V",-2,0)+IF(D8="E",-1,0)+IF(D8="O",0,0)+IF(D8="L",1,0)</f>
        <v>1</v>
      </c>
      <c r="AL8" s="1" t="n">
        <f aca="false">IF(D8="V",-2,0)+IF(D8="E",-1,0)+IF(D8="O",0,0)+IF(D8="L",1,0)+AA8</f>
        <v>1</v>
      </c>
      <c r="AM8" s="1" t="n">
        <f aca="false">IF(D8="V",-2,0)+IF(D8="E",-1,0)+IF(D8="O",0,0)+IF(D8="L",1,0)+AA8*2</f>
        <v>1</v>
      </c>
      <c r="AN8" s="1" t="n">
        <f aca="false">(ABS(IF(AE8&lt;0,AE8*Early,AE8*Late))+ABS(IF(AF8&lt;0,AF8*Early,AF8*Late))+ABS(IF(AG8&lt;0,AG8*Early,AG8*Late)))/3</f>
        <v>0</v>
      </c>
      <c r="AO8" s="1" t="n">
        <f aca="false">(ABS(IF(AH8&lt;0,AH8*Early,AH8*Late))+ABS(IF(AI8&lt;0,AI8*Early,AI8*Late))+ABS(IF(AJ8&lt;0,AJ8*Early,AJ8*Late)))/3</f>
        <v>3</v>
      </c>
      <c r="AP8" s="1" t="n">
        <f aca="false">(ABS(IF(AK8&lt;0,AK8*Early,AK8*Late))+ABS(IF(AL8&lt;0,AL8*Early,AL8*Late))+ABS(IF(AM8&lt;0,AM8*Early,AM8*Late)))/3</f>
        <v>4</v>
      </c>
      <c r="AQ8" s="0" t="n">
        <f aca="false">Y8*Delay+AN8</f>
        <v>0</v>
      </c>
      <c r="AR8" s="0" t="n">
        <f aca="false">Z8*Delay+AO8</f>
        <v>3</v>
      </c>
      <c r="AS8" s="0" t="n">
        <f aca="false">AA8*Delay+AP8</f>
        <v>4</v>
      </c>
      <c r="AT8" s="0" t="n">
        <f aca="false">IF(AQ8=MIN(AQ6:AQ9),1,0)</f>
        <v>1</v>
      </c>
      <c r="AX8" s="0" t="str">
        <f aca="false">B8&amp;C8&amp;D8</f>
        <v>OEL</v>
      </c>
      <c r="AY8" s="1" t="n">
        <f aca="false">AQ8+AR8+AS8</f>
        <v>7</v>
      </c>
      <c r="AZ8" s="1" t="str">
        <f aca="false">RIGHT(AX8,2)</f>
        <v>EL</v>
      </c>
      <c r="BA8" s="1" t="str">
        <f aca="false">LEFT(AX8,1)&amp;RIGHT(AX8,1)</f>
        <v>OL</v>
      </c>
      <c r="BB8" s="1" t="str">
        <f aca="false">LEFT(AX8,2)</f>
        <v>OE</v>
      </c>
      <c r="BC8" s="1" t="n">
        <f aca="false">VLOOKUP(AZ8,TwoPlayers!$AG$1:$AH$17,2,FALSE())</f>
        <v>7</v>
      </c>
      <c r="BD8" s="1" t="n">
        <f aca="false">VLOOKUP(BA8,TwoPlayers!$AG$1:$AH$17,2,FALSE())</f>
        <v>4</v>
      </c>
      <c r="BE8" s="1" t="n">
        <f aca="false">VLOOKUP(BB8,TwoPlayers!$AG$1:$AH$17,2,FALSE())</f>
        <v>3</v>
      </c>
      <c r="BF8" s="1" t="n">
        <f aca="false">$AY8-BC8</f>
        <v>0</v>
      </c>
      <c r="BG8" s="1" t="n">
        <f aca="false">$AY8-BD8</f>
        <v>3</v>
      </c>
      <c r="BH8" s="1" t="n">
        <f aca="false">$AY8-BE8</f>
        <v>4</v>
      </c>
      <c r="BJ8" s="0" t="n">
        <f aca="false">AQ8+BF8</f>
        <v>0</v>
      </c>
      <c r="BK8" s="0" t="n">
        <f aca="false">AR8+BG8</f>
        <v>6</v>
      </c>
      <c r="BL8" s="0" t="n">
        <f aca="false">AS8+BH8</f>
        <v>8</v>
      </c>
      <c r="BM8" s="0" t="n">
        <f aca="false">IF(BJ8=MIN(BJ6:BJ10),1,0)</f>
        <v>1</v>
      </c>
    </row>
    <row r="9" customFormat="false" ht="13" hidden="false" customHeight="false" outlineLevel="0" collapsed="false">
      <c r="A9" s="0" t="n">
        <v>56</v>
      </c>
      <c r="B9" s="0" t="s">
        <v>4</v>
      </c>
      <c r="C9" s="0" t="s">
        <v>2</v>
      </c>
      <c r="D9" s="0" t="s">
        <v>4</v>
      </c>
      <c r="E9" s="0" t="n">
        <f aca="false">(IF($B9="V",1,0))+IF($C9="V",1,0)+IF($D9="V",1,0)</f>
        <v>0</v>
      </c>
      <c r="F9" s="0" t="n">
        <f aca="false">(IF($B9="E",1,0))+IF($C9="E",1,0)+IF($D9="E",1,0)</f>
        <v>1</v>
      </c>
      <c r="G9" s="0" t="n">
        <f aca="false">(IF($B9="O",1,0))+IF($C9="O",1,0)+IF($D9="O",1,0)</f>
        <v>0</v>
      </c>
      <c r="H9" s="0" t="n">
        <f aca="false">(IF($B9="L",1,0))+IF($C9="L",1,0)+IF($D9="L",1,0)</f>
        <v>2</v>
      </c>
      <c r="I9" s="0" t="n">
        <f aca="false">(IF(B9="V",1,0))</f>
        <v>0</v>
      </c>
      <c r="J9" s="0" t="n">
        <f aca="false">(IF(B9="E",1,0))</f>
        <v>0</v>
      </c>
      <c r="K9" s="0" t="n">
        <f aca="false">(IF(B9="O",1,0))</f>
        <v>0</v>
      </c>
      <c r="L9" s="0" t="n">
        <f aca="false">(IF(B9="L",1,0))</f>
        <v>1</v>
      </c>
      <c r="M9" s="0" t="n">
        <f aca="false">(IF(C9="V",1,0))</f>
        <v>0</v>
      </c>
      <c r="N9" s="0" t="n">
        <f aca="false">(IF(C9="E",1,0))</f>
        <v>1</v>
      </c>
      <c r="O9" s="0" t="n">
        <f aca="false">(IF(C9="O",1,0))</f>
        <v>0</v>
      </c>
      <c r="P9" s="0" t="n">
        <f aca="false">(IF(C9="L",1,0))</f>
        <v>0</v>
      </c>
      <c r="Q9" s="0" t="n">
        <f aca="false">(IF(D9="V",1,0))</f>
        <v>0</v>
      </c>
      <c r="R9" s="0" t="n">
        <f aca="false">(IF(D9="E",1,0))</f>
        <v>0</v>
      </c>
      <c r="S9" s="0" t="n">
        <f aca="false">(IF(D9="O",1,0))</f>
        <v>0</v>
      </c>
      <c r="T9" s="0" t="n">
        <f aca="false">(IF(D9="L",1,0))</f>
        <v>1</v>
      </c>
      <c r="U9" s="0" t="n">
        <f aca="false">MAX(E9-1,0)</f>
        <v>0</v>
      </c>
      <c r="V9" s="0" t="n">
        <f aca="false">MAX(U9-1+F9,0)</f>
        <v>0</v>
      </c>
      <c r="W9" s="0" t="n">
        <f aca="false">MAX(V9-1+G9,0)</f>
        <v>0</v>
      </c>
      <c r="X9" s="0" t="n">
        <f aca="false">MAX(W9-1+H9,0)</f>
        <v>1</v>
      </c>
      <c r="Y9" s="1" t="n">
        <f aca="false">0.5*(E9*I9+F9*J9+G9*K9+H9*L9-1)+(0+$U9*J9+$V9*K9+$W9*L9)</f>
        <v>0.5</v>
      </c>
      <c r="Z9" s="1" t="n">
        <f aca="false">0.5*(E9*M9+F9*N9+G9*O9+H9*P9-1)+(0+$U9*N9+$V9*O9+$W9*P9)</f>
        <v>0</v>
      </c>
      <c r="AA9" s="1" t="n">
        <f aca="false">0.5*(E9*Q9+F9*R9+G9*S9+H9*T9-1)+(0+$U9*R9+$V9*S9+$W9*T9)</f>
        <v>0.5</v>
      </c>
      <c r="AB9" s="0" t="n">
        <f aca="false">IF(B9="V",-2,0)+IF(B9="E",-1,0)+IF(B9="O",0,0)+IF(B9="L",1,0)+Y9</f>
        <v>1.5</v>
      </c>
      <c r="AC9" s="0" t="n">
        <f aca="false">IF(C9="V",-2,0)+IF(C9="E",-1,0)+IF(C9="O",0,0)+IF(C9="L",1,0)+Z9</f>
        <v>-1</v>
      </c>
      <c r="AD9" s="0" t="n">
        <f aca="false">IF(D9="V",-2,0)+IF(D9="E",-1,0)+IF(D9="O",0,0)+IF(D9="L",1,0)+AA9</f>
        <v>1.5</v>
      </c>
      <c r="AE9" s="1" t="n">
        <f aca="false">IF(B9="V",-2,0)+IF(B9="E",-1,0)+IF(B9="O",0,0)+IF(B9="L",1,0)</f>
        <v>1</v>
      </c>
      <c r="AF9" s="1" t="n">
        <f aca="false">IF(B9="V",-2,0)+IF(B9="E",-1,0)+IF(B9="O",0,0)+IF(B9="L",1,0)+Y9</f>
        <v>1.5</v>
      </c>
      <c r="AG9" s="1" t="n">
        <f aca="false">IF(B9="V",-2,0)+IF(B9="E",-1,0)+IF(B9="O",0,0)+IF(B9="L",1,0)+Y9*2</f>
        <v>2</v>
      </c>
      <c r="AH9" s="1" t="n">
        <f aca="false">IF(C9="V",-2,0)+IF(C9="E",-1,0)+IF(C9="O",0,0)+IF(C9="L",1,0)</f>
        <v>-1</v>
      </c>
      <c r="AI9" s="1" t="n">
        <f aca="false">IF(C9="V",-2,0)+IF(C9="E",-1,0)+IF(C9="O",0,0)+IF(C9="L",1,0)+Z9</f>
        <v>-1</v>
      </c>
      <c r="AJ9" s="1" t="n">
        <f aca="false">IF(C9="V",-2,0)+IF(C9="E",-1,0)+IF(C9="O",0,0)+IF(C9="L",1,0)+Z9*2</f>
        <v>-1</v>
      </c>
      <c r="AK9" s="1" t="n">
        <f aca="false">IF(D9="V",-2,0)+IF(D9="E",-1,0)+IF(D9="O",0,0)+IF(D9="L",1,0)</f>
        <v>1</v>
      </c>
      <c r="AL9" s="1" t="n">
        <f aca="false">IF(D9="V",-2,0)+IF(D9="E",-1,0)+IF(D9="O",0,0)+IF(D9="L",1,0)+AA9</f>
        <v>1.5</v>
      </c>
      <c r="AM9" s="1" t="n">
        <f aca="false">IF(D9="V",-2,0)+IF(D9="E",-1,0)+IF(D9="O",0,0)+IF(D9="L",1,0)+AA9*2</f>
        <v>2</v>
      </c>
      <c r="AN9" s="1" t="n">
        <f aca="false">(ABS(IF(AE9&lt;0,AE9*Early,AE9*Late))+ABS(IF(AF9&lt;0,AF9*Early,AF9*Late))+ABS(IF(AG9&lt;0,AG9*Early,AG9*Late)))/3</f>
        <v>6</v>
      </c>
      <c r="AO9" s="1" t="n">
        <f aca="false">(ABS(IF(AH9&lt;0,AH9*Early,AH9*Late))+ABS(IF(AI9&lt;0,AI9*Early,AI9*Late))+ABS(IF(AJ9&lt;0,AJ9*Early,AJ9*Late)))/3</f>
        <v>3</v>
      </c>
      <c r="AP9" s="1" t="n">
        <f aca="false">(ABS(IF(AK9&lt;0,AK9*Early,AK9*Late))+ABS(IF(AL9&lt;0,AL9*Early,AL9*Late))+ABS(IF(AM9&lt;0,AM9*Early,AM9*Late)))/3</f>
        <v>6</v>
      </c>
      <c r="AQ9" s="0" t="n">
        <f aca="false">Y9*Delay+AN9</f>
        <v>6.5</v>
      </c>
      <c r="AR9" s="0" t="n">
        <f aca="false">Z9*Delay+AO9</f>
        <v>3</v>
      </c>
      <c r="AS9" s="0" t="n">
        <f aca="false">AA9*Delay+AP9</f>
        <v>6.5</v>
      </c>
      <c r="AT9" s="0" t="n">
        <f aca="false">IF(AQ9=MIN(AQ6:AQ9),1,0)</f>
        <v>0</v>
      </c>
      <c r="AX9" s="0" t="str">
        <f aca="false">B9&amp;C9&amp;D9</f>
        <v>LEL</v>
      </c>
      <c r="AY9" s="1" t="n">
        <f aca="false">AQ9+AR9+AS9</f>
        <v>16</v>
      </c>
      <c r="AZ9" s="1" t="str">
        <f aca="false">RIGHT(AX9,2)</f>
        <v>EL</v>
      </c>
      <c r="BA9" s="1" t="str">
        <f aca="false">LEFT(AX9,1)&amp;RIGHT(AX9,1)</f>
        <v>LL</v>
      </c>
      <c r="BB9" s="1" t="str">
        <f aca="false">LEFT(AX9,2)</f>
        <v>LE</v>
      </c>
      <c r="BC9" s="1" t="n">
        <f aca="false">VLOOKUP(AZ9,TwoPlayers!$AG$1:$AH$17,2,FALSE())</f>
        <v>7</v>
      </c>
      <c r="BD9" s="1" t="n">
        <f aca="false">VLOOKUP(BA9,TwoPlayers!$AG$1:$AH$17,2,FALSE())</f>
        <v>13</v>
      </c>
      <c r="BE9" s="1" t="n">
        <f aca="false">VLOOKUP(BB9,TwoPlayers!$AG$1:$AH$17,2,FALSE())</f>
        <v>7</v>
      </c>
      <c r="BF9" s="1" t="n">
        <f aca="false">$AY9-BC9</f>
        <v>9</v>
      </c>
      <c r="BG9" s="1" t="n">
        <f aca="false">$AY9-BD9</f>
        <v>3</v>
      </c>
      <c r="BH9" s="1" t="n">
        <f aca="false">$AY9-BE9</f>
        <v>9</v>
      </c>
      <c r="BJ9" s="0" t="n">
        <f aca="false">AQ9+BF9</f>
        <v>15.5</v>
      </c>
      <c r="BK9" s="0" t="n">
        <f aca="false">AR9+BG9</f>
        <v>6</v>
      </c>
      <c r="BL9" s="0" t="n">
        <f aca="false">AS9+BH9</f>
        <v>15.5</v>
      </c>
      <c r="BM9" s="0" t="n">
        <f aca="false">IF(BJ9=MIN(BJ6:BJ10),1,0)</f>
        <v>0</v>
      </c>
    </row>
    <row r="10" customFormat="false" ht="13" hidden="false" customHeight="false" outlineLevel="0" collapsed="false">
      <c r="A10" s="0" t="n">
        <v>7</v>
      </c>
      <c r="B10" s="0" t="s">
        <v>1</v>
      </c>
      <c r="C10" s="0" t="s">
        <v>2</v>
      </c>
      <c r="D10" s="0" t="s">
        <v>3</v>
      </c>
      <c r="E10" s="0" t="n">
        <f aca="false">(IF($B10="V",1,0))+IF($C10="V",1,0)+IF($D10="V",1,0)</f>
        <v>1</v>
      </c>
      <c r="F10" s="0" t="n">
        <f aca="false">(IF($B10="E",1,0))+IF($C10="E",1,0)+IF($D10="E",1,0)</f>
        <v>1</v>
      </c>
      <c r="G10" s="0" t="n">
        <f aca="false">(IF($B10="O",1,0))+IF($C10="O",1,0)+IF($D10="O",1,0)</f>
        <v>1</v>
      </c>
      <c r="H10" s="0" t="n">
        <f aca="false">(IF($B10="L",1,0))+IF($C10="L",1,0)+IF($D10="L",1,0)</f>
        <v>0</v>
      </c>
      <c r="I10" s="0" t="n">
        <f aca="false">(IF(B10="V",1,0))</f>
        <v>1</v>
      </c>
      <c r="J10" s="0" t="n">
        <f aca="false">(IF(B10="E",1,0))</f>
        <v>0</v>
      </c>
      <c r="K10" s="0" t="n">
        <f aca="false">(IF(B10="O",1,0))</f>
        <v>0</v>
      </c>
      <c r="L10" s="0" t="n">
        <f aca="false">(IF(B10="L",1,0))</f>
        <v>0</v>
      </c>
      <c r="M10" s="0" t="n">
        <f aca="false">(IF(C10="V",1,0))</f>
        <v>0</v>
      </c>
      <c r="N10" s="0" t="n">
        <f aca="false">(IF(C10="E",1,0))</f>
        <v>1</v>
      </c>
      <c r="O10" s="0" t="n">
        <f aca="false">(IF(C10="O",1,0))</f>
        <v>0</v>
      </c>
      <c r="P10" s="0" t="n">
        <f aca="false">(IF(C10="L",1,0))</f>
        <v>0</v>
      </c>
      <c r="Q10" s="0" t="n">
        <f aca="false">(IF(D10="V",1,0))</f>
        <v>0</v>
      </c>
      <c r="R10" s="0" t="n">
        <f aca="false">(IF(D10="E",1,0))</f>
        <v>0</v>
      </c>
      <c r="S10" s="0" t="n">
        <f aca="false">(IF(D10="O",1,0))</f>
        <v>1</v>
      </c>
      <c r="T10" s="0" t="n">
        <f aca="false">(IF(D10="L",1,0))</f>
        <v>0</v>
      </c>
      <c r="U10" s="0" t="n">
        <f aca="false">MAX(E10-1,0)</f>
        <v>0</v>
      </c>
      <c r="V10" s="0" t="n">
        <f aca="false">MAX(U10-1+F10,0)</f>
        <v>0</v>
      </c>
      <c r="W10" s="0" t="n">
        <f aca="false">MAX(V10-1+G10,0)</f>
        <v>0</v>
      </c>
      <c r="X10" s="0" t="n">
        <f aca="false">MAX(W10-1+H10,0)</f>
        <v>0</v>
      </c>
      <c r="Y10" s="1" t="n">
        <f aca="false">0.5*(E10*I10+F10*J10+G10*K10+H10*L10-1)+(0+$U10*J10+$V10*K10+$W10*L10)</f>
        <v>0</v>
      </c>
      <c r="Z10" s="1" t="n">
        <f aca="false">0.5*(E10*M10+F10*N10+G10*O10+H10*P10-1)+(0+$U10*N10+$V10*O10+$W10*P10)</f>
        <v>0</v>
      </c>
      <c r="AA10" s="1" t="n">
        <f aca="false">0.5*(E10*Q10+F10*R10+G10*S10+H10*T10-1)+(0+$U10*R10+$V10*S10+$W10*T10)</f>
        <v>0</v>
      </c>
      <c r="AB10" s="0" t="n">
        <f aca="false">IF(B10="V",-2,0)+IF(B10="E",-1,0)+IF(B10="O",0,0)+IF(B10="L",1,0)+Y10</f>
        <v>-2</v>
      </c>
      <c r="AC10" s="0" t="n">
        <f aca="false">IF(C10="V",-2,0)+IF(C10="E",-1,0)+IF(C10="O",0,0)+IF(C10="L",1,0)+Z10</f>
        <v>-1</v>
      </c>
      <c r="AD10" s="0" t="n">
        <f aca="false">IF(D10="V",-2,0)+IF(D10="E",-1,0)+IF(D10="O",0,0)+IF(D10="L",1,0)+AA10</f>
        <v>0</v>
      </c>
      <c r="AE10" s="1" t="n">
        <f aca="false">IF(B10="V",-2,0)+IF(B10="E",-1,0)+IF(B10="O",0,0)+IF(B10="L",1,0)</f>
        <v>-2</v>
      </c>
      <c r="AF10" s="1" t="n">
        <f aca="false">IF(B10="V",-2,0)+IF(B10="E",-1,0)+IF(B10="O",0,0)+IF(B10="L",1,0)+Y10</f>
        <v>-2</v>
      </c>
      <c r="AG10" s="1" t="n">
        <f aca="false">IF(B10="V",-2,0)+IF(B10="E",-1,0)+IF(B10="O",0,0)+IF(B10="L",1,0)+Y10*2</f>
        <v>-2</v>
      </c>
      <c r="AH10" s="1" t="n">
        <f aca="false">IF(C10="V",-2,0)+IF(C10="E",-1,0)+IF(C10="O",0,0)+IF(C10="L",1,0)</f>
        <v>-1</v>
      </c>
      <c r="AI10" s="1" t="n">
        <f aca="false">IF(C10="V",-2,0)+IF(C10="E",-1,0)+IF(C10="O",0,0)+IF(C10="L",1,0)+Z10</f>
        <v>-1</v>
      </c>
      <c r="AJ10" s="1" t="n">
        <f aca="false">IF(C10="V",-2,0)+IF(C10="E",-1,0)+IF(C10="O",0,0)+IF(C10="L",1,0)+Z10*2</f>
        <v>-1</v>
      </c>
      <c r="AK10" s="1" t="n">
        <f aca="false">IF(D10="V",-2,0)+IF(D10="E",-1,0)+IF(D10="O",0,0)+IF(D10="L",1,0)</f>
        <v>0</v>
      </c>
      <c r="AL10" s="1" t="n">
        <f aca="false">IF(D10="V",-2,0)+IF(D10="E",-1,0)+IF(D10="O",0,0)+IF(D10="L",1,0)+AA10</f>
        <v>0</v>
      </c>
      <c r="AM10" s="1" t="n">
        <f aca="false">IF(D10="V",-2,0)+IF(D10="E",-1,0)+IF(D10="O",0,0)+IF(D10="L",1,0)+AA10*2</f>
        <v>0</v>
      </c>
      <c r="AN10" s="1" t="n">
        <f aca="false">(ABS(IF(AE10&lt;0,AE10*Early,AE10*Late))+ABS(IF(AF10&lt;0,AF10*Early,AF10*Late))+ABS(IF(AG10&lt;0,AG10*Early,AG10*Late)))/3</f>
        <v>6</v>
      </c>
      <c r="AO10" s="1" t="n">
        <f aca="false">(ABS(IF(AH10&lt;0,AH10*Early,AH10*Late))+ABS(IF(AI10&lt;0,AI10*Early,AI10*Late))+ABS(IF(AJ10&lt;0,AJ10*Early,AJ10*Late)))/3</f>
        <v>3</v>
      </c>
      <c r="AP10" s="1" t="n">
        <f aca="false">(ABS(IF(AK10&lt;0,AK10*Early,AK10*Late))+ABS(IF(AL10&lt;0,AL10*Early,AL10*Late))+ABS(IF(AM10&lt;0,AM10*Early,AM10*Late)))/3</f>
        <v>0</v>
      </c>
      <c r="AQ10" s="0" t="n">
        <f aca="false">Y10*Delay+AN10</f>
        <v>6</v>
      </c>
      <c r="AR10" s="0" t="n">
        <f aca="false">Z10*Delay+AO10</f>
        <v>3</v>
      </c>
      <c r="AS10" s="0" t="n">
        <f aca="false">AA10*Delay+AP10</f>
        <v>0</v>
      </c>
      <c r="AT10" s="0" t="n">
        <f aca="false">IF(AQ10=MIN(AQ10:AQ13),1,0)</f>
        <v>0</v>
      </c>
      <c r="AX10" s="0" t="str">
        <f aca="false">B10&amp;C10&amp;D10</f>
        <v>VEO</v>
      </c>
      <c r="AY10" s="1" t="n">
        <f aca="false">AQ10+AR10+AS10</f>
        <v>9</v>
      </c>
      <c r="AZ10" s="1" t="str">
        <f aca="false">RIGHT(AX10,2)</f>
        <v>EO</v>
      </c>
      <c r="BA10" s="1" t="str">
        <f aca="false">LEFT(AX10,1)&amp;RIGHT(AX10,1)</f>
        <v>VO</v>
      </c>
      <c r="BB10" s="1" t="str">
        <f aca="false">LEFT(AX10,2)</f>
        <v>VE</v>
      </c>
      <c r="BC10" s="1" t="n">
        <f aca="false">VLOOKUP(AZ10,TwoPlayers!$AG$1:$AH$17,2,FALSE())</f>
        <v>3</v>
      </c>
      <c r="BD10" s="1" t="n">
        <f aca="false">VLOOKUP(BA10,TwoPlayers!$AG$1:$AH$17,2,FALSE())</f>
        <v>6</v>
      </c>
      <c r="BE10" s="1" t="n">
        <f aca="false">VLOOKUP(BB10,TwoPlayers!$AG$1:$AH$17,2,FALSE())</f>
        <v>9</v>
      </c>
      <c r="BF10" s="1" t="n">
        <f aca="false">$AY10-BC10</f>
        <v>6</v>
      </c>
      <c r="BG10" s="1" t="n">
        <f aca="false">$AY10-BD10</f>
        <v>3</v>
      </c>
      <c r="BH10" s="1" t="n">
        <f aca="false">$AY10-BE10</f>
        <v>0</v>
      </c>
      <c r="BJ10" s="0" t="n">
        <f aca="false">AQ10+BF10</f>
        <v>12</v>
      </c>
      <c r="BK10" s="0" t="n">
        <f aca="false">AR10+BG10</f>
        <v>6</v>
      </c>
      <c r="BL10" s="0" t="n">
        <f aca="false">AS10+BH10</f>
        <v>0</v>
      </c>
      <c r="BM10" s="0" t="n">
        <f aca="false">IF(BJ10=MIN(BJ10:BJ14),1,0)</f>
        <v>0</v>
      </c>
    </row>
    <row r="11" customFormat="false" ht="13" hidden="false" customHeight="false" outlineLevel="0" collapsed="false">
      <c r="A11" s="0" t="n">
        <v>23</v>
      </c>
      <c r="B11" s="0" t="s">
        <v>2</v>
      </c>
      <c r="C11" s="0" t="s">
        <v>2</v>
      </c>
      <c r="D11" s="0" t="s">
        <v>3</v>
      </c>
      <c r="E11" s="0" t="n">
        <f aca="false">(IF($B11="V",1,0))+IF($C11="V",1,0)+IF($D11="V",1,0)</f>
        <v>0</v>
      </c>
      <c r="F11" s="0" t="n">
        <f aca="false">(IF($B11="E",1,0))+IF($C11="E",1,0)+IF($D11="E",1,0)</f>
        <v>2</v>
      </c>
      <c r="G11" s="0" t="n">
        <f aca="false">(IF($B11="O",1,0))+IF($C11="O",1,0)+IF($D11="O",1,0)</f>
        <v>1</v>
      </c>
      <c r="H11" s="0" t="n">
        <f aca="false">(IF($B11="L",1,0))+IF($C11="L",1,0)+IF($D11="L",1,0)</f>
        <v>0</v>
      </c>
      <c r="I11" s="0" t="n">
        <f aca="false">(IF(B11="V",1,0))</f>
        <v>0</v>
      </c>
      <c r="J11" s="0" t="n">
        <f aca="false">(IF(B11="E",1,0))</f>
        <v>1</v>
      </c>
      <c r="K11" s="0" t="n">
        <f aca="false">(IF(B11="O",1,0))</f>
        <v>0</v>
      </c>
      <c r="L11" s="0" t="n">
        <f aca="false">(IF(B11="L",1,0))</f>
        <v>0</v>
      </c>
      <c r="M11" s="0" t="n">
        <f aca="false">(IF(C11="V",1,0))</f>
        <v>0</v>
      </c>
      <c r="N11" s="0" t="n">
        <f aca="false">(IF(C11="E",1,0))</f>
        <v>1</v>
      </c>
      <c r="O11" s="0" t="n">
        <f aca="false">(IF(C11="O",1,0))</f>
        <v>0</v>
      </c>
      <c r="P11" s="0" t="n">
        <f aca="false">(IF(C11="L",1,0))</f>
        <v>0</v>
      </c>
      <c r="Q11" s="0" t="n">
        <f aca="false">(IF(D11="V",1,0))</f>
        <v>0</v>
      </c>
      <c r="R11" s="0" t="n">
        <f aca="false">(IF(D11="E",1,0))</f>
        <v>0</v>
      </c>
      <c r="S11" s="0" t="n">
        <f aca="false">(IF(D11="O",1,0))</f>
        <v>1</v>
      </c>
      <c r="T11" s="0" t="n">
        <f aca="false">(IF(D11="L",1,0))</f>
        <v>0</v>
      </c>
      <c r="U11" s="0" t="n">
        <f aca="false">MAX(E11-1,0)</f>
        <v>0</v>
      </c>
      <c r="V11" s="0" t="n">
        <f aca="false">MAX(U11-1+F11,0)</f>
        <v>1</v>
      </c>
      <c r="W11" s="0" t="n">
        <f aca="false">MAX(V11-1+G11,0)</f>
        <v>1</v>
      </c>
      <c r="X11" s="0" t="n">
        <f aca="false">MAX(W11-1+H11,0)</f>
        <v>0</v>
      </c>
      <c r="Y11" s="1" t="n">
        <f aca="false">0.5*(E11*I11+F11*J11+G11*K11+H11*L11-1)+(0+$U11*J11+$V11*K11+$W11*L11)</f>
        <v>0.5</v>
      </c>
      <c r="Z11" s="1" t="n">
        <f aca="false">0.5*(E11*M11+F11*N11+G11*O11+H11*P11-1)+(0+$U11*N11+$V11*O11+$W11*P11)</f>
        <v>0.5</v>
      </c>
      <c r="AA11" s="1" t="n">
        <f aca="false">0.5*(E11*Q11+F11*R11+G11*S11+H11*T11-1)+(0+$U11*R11+$V11*S11+$W11*T11)</f>
        <v>1</v>
      </c>
      <c r="AB11" s="0" t="n">
        <f aca="false">IF(B11="V",-2,0)+IF(B11="E",-1,0)+IF(B11="O",0,0)+IF(B11="L",1,0)+Y11</f>
        <v>-0.5</v>
      </c>
      <c r="AC11" s="0" t="n">
        <f aca="false">IF(C11="V",-2,0)+IF(C11="E",-1,0)+IF(C11="O",0,0)+IF(C11="L",1,0)+Z11</f>
        <v>-0.5</v>
      </c>
      <c r="AD11" s="0" t="n">
        <f aca="false">IF(D11="V",-2,0)+IF(D11="E",-1,0)+IF(D11="O",0,0)+IF(D11="L",1,0)+AA11</f>
        <v>1</v>
      </c>
      <c r="AE11" s="1" t="n">
        <f aca="false">IF(B11="V",-2,0)+IF(B11="E",-1,0)+IF(B11="O",0,0)+IF(B11="L",1,0)</f>
        <v>-1</v>
      </c>
      <c r="AF11" s="1" t="n">
        <f aca="false">IF(B11="V",-2,0)+IF(B11="E",-1,0)+IF(B11="O",0,0)+IF(B11="L",1,0)+Y11</f>
        <v>-0.5</v>
      </c>
      <c r="AG11" s="1" t="n">
        <f aca="false">IF(B11="V",-2,0)+IF(B11="E",-1,0)+IF(B11="O",0,0)+IF(B11="L",1,0)+Y11*2</f>
        <v>0</v>
      </c>
      <c r="AH11" s="1" t="n">
        <f aca="false">IF(C11="V",-2,0)+IF(C11="E",-1,0)+IF(C11="O",0,0)+IF(C11="L",1,0)</f>
        <v>-1</v>
      </c>
      <c r="AI11" s="1" t="n">
        <f aca="false">IF(C11="V",-2,0)+IF(C11="E",-1,0)+IF(C11="O",0,0)+IF(C11="L",1,0)+Z11</f>
        <v>-0.5</v>
      </c>
      <c r="AJ11" s="1" t="n">
        <f aca="false">IF(C11="V",-2,0)+IF(C11="E",-1,0)+IF(C11="O",0,0)+IF(C11="L",1,0)+Z11*2</f>
        <v>0</v>
      </c>
      <c r="AK11" s="1" t="n">
        <f aca="false">IF(D11="V",-2,0)+IF(D11="E",-1,0)+IF(D11="O",0,0)+IF(D11="L",1,0)</f>
        <v>0</v>
      </c>
      <c r="AL11" s="1" t="n">
        <f aca="false">IF(D11="V",-2,0)+IF(D11="E",-1,0)+IF(D11="O",0,0)+IF(D11="L",1,0)+AA11</f>
        <v>1</v>
      </c>
      <c r="AM11" s="1" t="n">
        <f aca="false">IF(D11="V",-2,0)+IF(D11="E",-1,0)+IF(D11="O",0,0)+IF(D11="L",1,0)+AA11*2</f>
        <v>2</v>
      </c>
      <c r="AN11" s="1" t="n">
        <f aca="false">(ABS(IF(AE11&lt;0,AE11*Early,AE11*Late))+ABS(IF(AF11&lt;0,AF11*Early,AF11*Late))+ABS(IF(AG11&lt;0,AG11*Early,AG11*Late)))/3</f>
        <v>1.5</v>
      </c>
      <c r="AO11" s="1" t="n">
        <f aca="false">(ABS(IF(AH11&lt;0,AH11*Early,AH11*Late))+ABS(IF(AI11&lt;0,AI11*Early,AI11*Late))+ABS(IF(AJ11&lt;0,AJ11*Early,AJ11*Late)))/3</f>
        <v>1.5</v>
      </c>
      <c r="AP11" s="1" t="n">
        <f aca="false">(ABS(IF(AK11&lt;0,AK11*Early,AK11*Late))+ABS(IF(AL11&lt;0,AL11*Early,AL11*Late))+ABS(IF(AM11&lt;0,AM11*Early,AM11*Late)))/3</f>
        <v>4</v>
      </c>
      <c r="AQ11" s="0" t="n">
        <f aca="false">Y11*Delay+AN11</f>
        <v>2</v>
      </c>
      <c r="AR11" s="0" t="n">
        <f aca="false">Z11*Delay+AO11</f>
        <v>2</v>
      </c>
      <c r="AS11" s="0" t="n">
        <f aca="false">AA11*Delay+AP11</f>
        <v>5</v>
      </c>
      <c r="AT11" s="0" t="n">
        <f aca="false">IF(AQ11=MIN(AQ10:AQ13),1,0)</f>
        <v>1</v>
      </c>
      <c r="AX11" s="0" t="str">
        <f aca="false">B11&amp;C11&amp;D11</f>
        <v>EEO</v>
      </c>
      <c r="AY11" s="1" t="n">
        <f aca="false">AQ11+AR11+AS11</f>
        <v>9</v>
      </c>
      <c r="AZ11" s="1" t="str">
        <f aca="false">RIGHT(AX11,2)</f>
        <v>EO</v>
      </c>
      <c r="BA11" s="1" t="str">
        <f aca="false">LEFT(AX11,1)&amp;RIGHT(AX11,1)</f>
        <v>EO</v>
      </c>
      <c r="BB11" s="1" t="str">
        <f aca="false">LEFT(AX11,2)</f>
        <v>EE</v>
      </c>
      <c r="BC11" s="1" t="n">
        <f aca="false">VLOOKUP(AZ11,TwoPlayers!$AG$1:$AH$17,2,FALSE())</f>
        <v>3</v>
      </c>
      <c r="BD11" s="1" t="n">
        <f aca="false">VLOOKUP(BA11,TwoPlayers!$AG$1:$AH$17,2,FALSE())</f>
        <v>3</v>
      </c>
      <c r="BE11" s="1" t="n">
        <f aca="false">VLOOKUP(BB11,TwoPlayers!$AG$1:$AH$17,2,FALSE())</f>
        <v>4</v>
      </c>
      <c r="BF11" s="1" t="n">
        <f aca="false">$AY11-BC11</f>
        <v>6</v>
      </c>
      <c r="BG11" s="1" t="n">
        <f aca="false">$AY11-BD11</f>
        <v>6</v>
      </c>
      <c r="BH11" s="1" t="n">
        <f aca="false">$AY11-BE11</f>
        <v>5</v>
      </c>
      <c r="BJ11" s="0" t="n">
        <f aca="false">AQ11+BF11</f>
        <v>8</v>
      </c>
      <c r="BK11" s="0" t="n">
        <f aca="false">AR11+BG11</f>
        <v>8</v>
      </c>
      <c r="BL11" s="0" t="n">
        <f aca="false">AS11+BH11</f>
        <v>10</v>
      </c>
      <c r="BM11" s="0" t="n">
        <f aca="false">IF(BJ11=MIN(BJ10:BJ14),1,0)</f>
        <v>0</v>
      </c>
    </row>
    <row r="12" customFormat="false" ht="13" hidden="false" customHeight="false" outlineLevel="0" collapsed="false">
      <c r="A12" s="0" t="n">
        <v>39</v>
      </c>
      <c r="B12" s="0" t="s">
        <v>3</v>
      </c>
      <c r="C12" s="0" t="s">
        <v>2</v>
      </c>
      <c r="D12" s="0" t="s">
        <v>3</v>
      </c>
      <c r="E12" s="0" t="n">
        <f aca="false">(IF($B12="V",1,0))+IF($C12="V",1,0)+IF($D12="V",1,0)</f>
        <v>0</v>
      </c>
      <c r="F12" s="0" t="n">
        <f aca="false">(IF($B12="E",1,0))+IF($C12="E",1,0)+IF($D12="E",1,0)</f>
        <v>1</v>
      </c>
      <c r="G12" s="0" t="n">
        <f aca="false">(IF($B12="O",1,0))+IF($C12="O",1,0)+IF($D12="O",1,0)</f>
        <v>2</v>
      </c>
      <c r="H12" s="0" t="n">
        <f aca="false">(IF($B12="L",1,0))+IF($C12="L",1,0)+IF($D12="L",1,0)</f>
        <v>0</v>
      </c>
      <c r="I12" s="0" t="n">
        <f aca="false">(IF(B12="V",1,0))</f>
        <v>0</v>
      </c>
      <c r="J12" s="0" t="n">
        <f aca="false">(IF(B12="E",1,0))</f>
        <v>0</v>
      </c>
      <c r="K12" s="0" t="n">
        <f aca="false">(IF(B12="O",1,0))</f>
        <v>1</v>
      </c>
      <c r="L12" s="0" t="n">
        <f aca="false">(IF(B12="L",1,0))</f>
        <v>0</v>
      </c>
      <c r="M12" s="0" t="n">
        <f aca="false">(IF(C12="V",1,0))</f>
        <v>0</v>
      </c>
      <c r="N12" s="0" t="n">
        <f aca="false">(IF(C12="E",1,0))</f>
        <v>1</v>
      </c>
      <c r="O12" s="0" t="n">
        <f aca="false">(IF(C12="O",1,0))</f>
        <v>0</v>
      </c>
      <c r="P12" s="0" t="n">
        <f aca="false">(IF(C12="L",1,0))</f>
        <v>0</v>
      </c>
      <c r="Q12" s="0" t="n">
        <f aca="false">(IF(D12="V",1,0))</f>
        <v>0</v>
      </c>
      <c r="R12" s="0" t="n">
        <f aca="false">(IF(D12="E",1,0))</f>
        <v>0</v>
      </c>
      <c r="S12" s="0" t="n">
        <f aca="false">(IF(D12="O",1,0))</f>
        <v>1</v>
      </c>
      <c r="T12" s="0" t="n">
        <f aca="false">(IF(D12="L",1,0))</f>
        <v>0</v>
      </c>
      <c r="U12" s="0" t="n">
        <f aca="false">MAX(E12-1,0)</f>
        <v>0</v>
      </c>
      <c r="V12" s="0" t="n">
        <f aca="false">MAX(U12-1+F12,0)</f>
        <v>0</v>
      </c>
      <c r="W12" s="0" t="n">
        <f aca="false">MAX(V12-1+G12,0)</f>
        <v>1</v>
      </c>
      <c r="X12" s="0" t="n">
        <f aca="false">MAX(W12-1+H12,0)</f>
        <v>0</v>
      </c>
      <c r="Y12" s="1" t="n">
        <f aca="false">0.5*(E12*I12+F12*J12+G12*K12+H12*L12-1)+(0+$U12*J12+$V12*K12+$W12*L12)</f>
        <v>0.5</v>
      </c>
      <c r="Z12" s="1" t="n">
        <f aca="false">0.5*(E12*M12+F12*N12+G12*O12+H12*P12-1)+(0+$U12*N12+$V12*O12+$W12*P12)</f>
        <v>0</v>
      </c>
      <c r="AA12" s="1" t="n">
        <f aca="false">0.5*(E12*Q12+F12*R12+G12*S12+H12*T12-1)+(0+$U12*R12+$V12*S12+$W12*T12)</f>
        <v>0.5</v>
      </c>
      <c r="AB12" s="0" t="n">
        <f aca="false">IF(B12="V",-2,0)+IF(B12="E",-1,0)+IF(B12="O",0,0)+IF(B12="L",1,0)+Y12</f>
        <v>0.5</v>
      </c>
      <c r="AC12" s="0" t="n">
        <f aca="false">IF(C12="V",-2,0)+IF(C12="E",-1,0)+IF(C12="O",0,0)+IF(C12="L",1,0)+Z12</f>
        <v>-1</v>
      </c>
      <c r="AD12" s="0" t="n">
        <f aca="false">IF(D12="V",-2,0)+IF(D12="E",-1,0)+IF(D12="O",0,0)+IF(D12="L",1,0)+AA12</f>
        <v>0.5</v>
      </c>
      <c r="AE12" s="1" t="n">
        <f aca="false">IF(B12="V",-2,0)+IF(B12="E",-1,0)+IF(B12="O",0,0)+IF(B12="L",1,0)</f>
        <v>0</v>
      </c>
      <c r="AF12" s="1" t="n">
        <f aca="false">IF(B12="V",-2,0)+IF(B12="E",-1,0)+IF(B12="O",0,0)+IF(B12="L",1,0)+Y12</f>
        <v>0.5</v>
      </c>
      <c r="AG12" s="1" t="n">
        <f aca="false">IF(B12="V",-2,0)+IF(B12="E",-1,0)+IF(B12="O",0,0)+IF(B12="L",1,0)+Y12*2</f>
        <v>1</v>
      </c>
      <c r="AH12" s="1" t="n">
        <f aca="false">IF(C12="V",-2,0)+IF(C12="E",-1,0)+IF(C12="O",0,0)+IF(C12="L",1,0)</f>
        <v>-1</v>
      </c>
      <c r="AI12" s="1" t="n">
        <f aca="false">IF(C12="V",-2,0)+IF(C12="E",-1,0)+IF(C12="O",0,0)+IF(C12="L",1,0)+Z12</f>
        <v>-1</v>
      </c>
      <c r="AJ12" s="1" t="n">
        <f aca="false">IF(C12="V",-2,0)+IF(C12="E",-1,0)+IF(C12="O",0,0)+IF(C12="L",1,0)+Z12*2</f>
        <v>-1</v>
      </c>
      <c r="AK12" s="1" t="n">
        <f aca="false">IF(D12="V",-2,0)+IF(D12="E",-1,0)+IF(D12="O",0,0)+IF(D12="L",1,0)</f>
        <v>0</v>
      </c>
      <c r="AL12" s="1" t="n">
        <f aca="false">IF(D12="V",-2,0)+IF(D12="E",-1,0)+IF(D12="O",0,0)+IF(D12="L",1,0)+AA12</f>
        <v>0.5</v>
      </c>
      <c r="AM12" s="1" t="n">
        <f aca="false">IF(D12="V",-2,0)+IF(D12="E",-1,0)+IF(D12="O",0,0)+IF(D12="L",1,0)+AA12*2</f>
        <v>1</v>
      </c>
      <c r="AN12" s="1" t="n">
        <f aca="false">(ABS(IF(AE12&lt;0,AE12*Early,AE12*Late))+ABS(IF(AF12&lt;0,AF12*Early,AF12*Late))+ABS(IF(AG12&lt;0,AG12*Early,AG12*Late)))/3</f>
        <v>2</v>
      </c>
      <c r="AO12" s="1" t="n">
        <f aca="false">(ABS(IF(AH12&lt;0,AH12*Early,AH12*Late))+ABS(IF(AI12&lt;0,AI12*Early,AI12*Late))+ABS(IF(AJ12&lt;0,AJ12*Early,AJ12*Late)))/3</f>
        <v>3</v>
      </c>
      <c r="AP12" s="1" t="n">
        <f aca="false">(ABS(IF(AK12&lt;0,AK12*Early,AK12*Late))+ABS(IF(AL12&lt;0,AL12*Early,AL12*Late))+ABS(IF(AM12&lt;0,AM12*Early,AM12*Late)))/3</f>
        <v>2</v>
      </c>
      <c r="AQ12" s="0" t="n">
        <f aca="false">Y12*Delay+AN12</f>
        <v>2.5</v>
      </c>
      <c r="AR12" s="0" t="n">
        <f aca="false">Z12*Delay+AO12</f>
        <v>3</v>
      </c>
      <c r="AS12" s="0" t="n">
        <f aca="false">AA12*Delay+AP12</f>
        <v>2.5</v>
      </c>
      <c r="AT12" s="0" t="n">
        <f aca="false">IF(AQ12=MIN(AQ10:AQ13),1,0)</f>
        <v>0</v>
      </c>
      <c r="AX12" s="0" t="str">
        <f aca="false">B12&amp;C12&amp;D12</f>
        <v>OEO</v>
      </c>
      <c r="AY12" s="1" t="n">
        <f aca="false">AQ12+AR12+AS12</f>
        <v>8</v>
      </c>
      <c r="AZ12" s="1" t="str">
        <f aca="false">RIGHT(AX12,2)</f>
        <v>EO</v>
      </c>
      <c r="BA12" s="1" t="str">
        <f aca="false">LEFT(AX12,1)&amp;RIGHT(AX12,1)</f>
        <v>OO</v>
      </c>
      <c r="BB12" s="1" t="str">
        <f aca="false">LEFT(AX12,2)</f>
        <v>OE</v>
      </c>
      <c r="BC12" s="1" t="n">
        <f aca="false">VLOOKUP(AZ12,TwoPlayers!$AG$1:$AH$17,2,FALSE())</f>
        <v>3</v>
      </c>
      <c r="BD12" s="1" t="n">
        <f aca="false">VLOOKUP(BA12,TwoPlayers!$AG$1:$AH$17,2,FALSE())</f>
        <v>5</v>
      </c>
      <c r="BE12" s="1" t="n">
        <f aca="false">VLOOKUP(BB12,TwoPlayers!$AG$1:$AH$17,2,FALSE())</f>
        <v>3</v>
      </c>
      <c r="BF12" s="1" t="n">
        <f aca="false">$AY12-BC12</f>
        <v>5</v>
      </c>
      <c r="BG12" s="1" t="n">
        <f aca="false">$AY12-BD12</f>
        <v>3</v>
      </c>
      <c r="BH12" s="1" t="n">
        <f aca="false">$AY12-BE12</f>
        <v>5</v>
      </c>
      <c r="BJ12" s="0" t="n">
        <f aca="false">AQ12+BF12</f>
        <v>7.5</v>
      </c>
      <c r="BK12" s="0" t="n">
        <f aca="false">AR12+BG12</f>
        <v>6</v>
      </c>
      <c r="BL12" s="0" t="n">
        <f aca="false">AS12+BH12</f>
        <v>7.5</v>
      </c>
      <c r="BM12" s="0" t="n">
        <f aca="false">IF(BJ12=MIN(BJ10:BJ14),1,0)</f>
        <v>1</v>
      </c>
    </row>
    <row r="13" customFormat="false" ht="13" hidden="false" customHeight="false" outlineLevel="0" collapsed="false">
      <c r="A13" s="0" t="n">
        <v>55</v>
      </c>
      <c r="B13" s="0" t="s">
        <v>4</v>
      </c>
      <c r="C13" s="0" t="s">
        <v>2</v>
      </c>
      <c r="D13" s="0" t="s">
        <v>3</v>
      </c>
      <c r="E13" s="0" t="n">
        <f aca="false">(IF($B13="V",1,0))+IF($C13="V",1,0)+IF($D13="V",1,0)</f>
        <v>0</v>
      </c>
      <c r="F13" s="0" t="n">
        <f aca="false">(IF($B13="E",1,0))+IF($C13="E",1,0)+IF($D13="E",1,0)</f>
        <v>1</v>
      </c>
      <c r="G13" s="0" t="n">
        <f aca="false">(IF($B13="O",1,0))+IF($C13="O",1,0)+IF($D13="O",1,0)</f>
        <v>1</v>
      </c>
      <c r="H13" s="0" t="n">
        <f aca="false">(IF($B13="L",1,0))+IF($C13="L",1,0)+IF($D13="L",1,0)</f>
        <v>1</v>
      </c>
      <c r="I13" s="0" t="n">
        <f aca="false">(IF(B13="V",1,0))</f>
        <v>0</v>
      </c>
      <c r="J13" s="0" t="n">
        <f aca="false">(IF(B13="E",1,0))</f>
        <v>0</v>
      </c>
      <c r="K13" s="0" t="n">
        <f aca="false">(IF(B13="O",1,0))</f>
        <v>0</v>
      </c>
      <c r="L13" s="0" t="n">
        <f aca="false">(IF(B13="L",1,0))</f>
        <v>1</v>
      </c>
      <c r="M13" s="0" t="n">
        <f aca="false">(IF(C13="V",1,0))</f>
        <v>0</v>
      </c>
      <c r="N13" s="0" t="n">
        <f aca="false">(IF(C13="E",1,0))</f>
        <v>1</v>
      </c>
      <c r="O13" s="0" t="n">
        <f aca="false">(IF(C13="O",1,0))</f>
        <v>0</v>
      </c>
      <c r="P13" s="0" t="n">
        <f aca="false">(IF(C13="L",1,0))</f>
        <v>0</v>
      </c>
      <c r="Q13" s="0" t="n">
        <f aca="false">(IF(D13="V",1,0))</f>
        <v>0</v>
      </c>
      <c r="R13" s="0" t="n">
        <f aca="false">(IF(D13="E",1,0))</f>
        <v>0</v>
      </c>
      <c r="S13" s="0" t="n">
        <f aca="false">(IF(D13="O",1,0))</f>
        <v>1</v>
      </c>
      <c r="T13" s="0" t="n">
        <f aca="false">(IF(D13="L",1,0))</f>
        <v>0</v>
      </c>
      <c r="U13" s="0" t="n">
        <f aca="false">MAX(E13-1,0)</f>
        <v>0</v>
      </c>
      <c r="V13" s="0" t="n">
        <f aca="false">MAX(U13-1+F13,0)</f>
        <v>0</v>
      </c>
      <c r="W13" s="0" t="n">
        <f aca="false">MAX(V13-1+G13,0)</f>
        <v>0</v>
      </c>
      <c r="X13" s="0" t="n">
        <f aca="false">MAX(W13-1+H13,0)</f>
        <v>0</v>
      </c>
      <c r="Y13" s="1" t="n">
        <f aca="false">0.5*(E13*I13+F13*J13+G13*K13+H13*L13-1)+(0+$U13*J13+$V13*K13+$W13*L13)</f>
        <v>0</v>
      </c>
      <c r="Z13" s="1" t="n">
        <f aca="false">0.5*(E13*M13+F13*N13+G13*O13+H13*P13-1)+(0+$U13*N13+$V13*O13+$W13*P13)</f>
        <v>0</v>
      </c>
      <c r="AA13" s="1" t="n">
        <f aca="false">0.5*(E13*Q13+F13*R13+G13*S13+H13*T13-1)+(0+$U13*R13+$V13*S13+$W13*T13)</f>
        <v>0</v>
      </c>
      <c r="AB13" s="0" t="n">
        <f aca="false">IF(B13="V",-2,0)+IF(B13="E",-1,0)+IF(B13="O",0,0)+IF(B13="L",1,0)+Y13</f>
        <v>1</v>
      </c>
      <c r="AC13" s="0" t="n">
        <f aca="false">IF(C13="V",-2,0)+IF(C13="E",-1,0)+IF(C13="O",0,0)+IF(C13="L",1,0)+Z13</f>
        <v>-1</v>
      </c>
      <c r="AD13" s="0" t="n">
        <f aca="false">IF(D13="V",-2,0)+IF(D13="E",-1,0)+IF(D13="O",0,0)+IF(D13="L",1,0)+AA13</f>
        <v>0</v>
      </c>
      <c r="AE13" s="1" t="n">
        <f aca="false">IF(B13="V",-2,0)+IF(B13="E",-1,0)+IF(B13="O",0,0)+IF(B13="L",1,0)</f>
        <v>1</v>
      </c>
      <c r="AF13" s="1" t="n">
        <f aca="false">IF(B13="V",-2,0)+IF(B13="E",-1,0)+IF(B13="O",0,0)+IF(B13="L",1,0)+Y13</f>
        <v>1</v>
      </c>
      <c r="AG13" s="1" t="n">
        <f aca="false">IF(B13="V",-2,0)+IF(B13="E",-1,0)+IF(B13="O",0,0)+IF(B13="L",1,0)+Y13*2</f>
        <v>1</v>
      </c>
      <c r="AH13" s="1" t="n">
        <f aca="false">IF(C13="V",-2,0)+IF(C13="E",-1,0)+IF(C13="O",0,0)+IF(C13="L",1,0)</f>
        <v>-1</v>
      </c>
      <c r="AI13" s="1" t="n">
        <f aca="false">IF(C13="V",-2,0)+IF(C13="E",-1,0)+IF(C13="O",0,0)+IF(C13="L",1,0)+Z13</f>
        <v>-1</v>
      </c>
      <c r="AJ13" s="1" t="n">
        <f aca="false">IF(C13="V",-2,0)+IF(C13="E",-1,0)+IF(C13="O",0,0)+IF(C13="L",1,0)+Z13*2</f>
        <v>-1</v>
      </c>
      <c r="AK13" s="1" t="n">
        <f aca="false">IF(D13="V",-2,0)+IF(D13="E",-1,0)+IF(D13="O",0,0)+IF(D13="L",1,0)</f>
        <v>0</v>
      </c>
      <c r="AL13" s="1" t="n">
        <f aca="false">IF(D13="V",-2,0)+IF(D13="E",-1,0)+IF(D13="O",0,0)+IF(D13="L",1,0)+AA13</f>
        <v>0</v>
      </c>
      <c r="AM13" s="1" t="n">
        <f aca="false">IF(D13="V",-2,0)+IF(D13="E",-1,0)+IF(D13="O",0,0)+IF(D13="L",1,0)+AA13*2</f>
        <v>0</v>
      </c>
      <c r="AN13" s="1" t="n">
        <f aca="false">(ABS(IF(AE13&lt;0,AE13*Early,AE13*Late))+ABS(IF(AF13&lt;0,AF13*Early,AF13*Late))+ABS(IF(AG13&lt;0,AG13*Early,AG13*Late)))/3</f>
        <v>4</v>
      </c>
      <c r="AO13" s="1" t="n">
        <f aca="false">(ABS(IF(AH13&lt;0,AH13*Early,AH13*Late))+ABS(IF(AI13&lt;0,AI13*Early,AI13*Late))+ABS(IF(AJ13&lt;0,AJ13*Early,AJ13*Late)))/3</f>
        <v>3</v>
      </c>
      <c r="AP13" s="1" t="n">
        <f aca="false">(ABS(IF(AK13&lt;0,AK13*Early,AK13*Late))+ABS(IF(AL13&lt;0,AL13*Early,AL13*Late))+ABS(IF(AM13&lt;0,AM13*Early,AM13*Late)))/3</f>
        <v>0</v>
      </c>
      <c r="AQ13" s="0" t="n">
        <f aca="false">Y13*Delay+AN13</f>
        <v>4</v>
      </c>
      <c r="AR13" s="0" t="n">
        <f aca="false">Z13*Delay+AO13</f>
        <v>3</v>
      </c>
      <c r="AS13" s="0" t="n">
        <f aca="false">AA13*Delay+AP13</f>
        <v>0</v>
      </c>
      <c r="AT13" s="0" t="n">
        <f aca="false">IF(AQ13=MIN(AQ10:AQ13),1,0)</f>
        <v>0</v>
      </c>
      <c r="AX13" s="0" t="str">
        <f aca="false">B13&amp;C13&amp;D13</f>
        <v>LEO</v>
      </c>
      <c r="AY13" s="1" t="n">
        <f aca="false">AQ13+AR13+AS13</f>
        <v>7</v>
      </c>
      <c r="AZ13" s="1" t="str">
        <f aca="false">RIGHT(AX13,2)</f>
        <v>EO</v>
      </c>
      <c r="BA13" s="1" t="str">
        <f aca="false">LEFT(AX13,1)&amp;RIGHT(AX13,1)</f>
        <v>LO</v>
      </c>
      <c r="BB13" s="1" t="str">
        <f aca="false">LEFT(AX13,2)</f>
        <v>LE</v>
      </c>
      <c r="BC13" s="1" t="n">
        <f aca="false">VLOOKUP(AZ13,TwoPlayers!$AG$1:$AH$17,2,FALSE())</f>
        <v>3</v>
      </c>
      <c r="BD13" s="1" t="n">
        <f aca="false">VLOOKUP(BA13,TwoPlayers!$AG$1:$AH$17,2,FALSE())</f>
        <v>4</v>
      </c>
      <c r="BE13" s="1" t="n">
        <f aca="false">VLOOKUP(BB13,TwoPlayers!$AG$1:$AH$17,2,FALSE())</f>
        <v>7</v>
      </c>
      <c r="BF13" s="1" t="n">
        <f aca="false">$AY13-BC13</f>
        <v>4</v>
      </c>
      <c r="BG13" s="1" t="n">
        <f aca="false">$AY13-BD13</f>
        <v>3</v>
      </c>
      <c r="BH13" s="1" t="n">
        <f aca="false">$AY13-BE13</f>
        <v>0</v>
      </c>
      <c r="BJ13" s="0" t="n">
        <f aca="false">AQ13+BF13</f>
        <v>8</v>
      </c>
      <c r="BK13" s="0" t="n">
        <f aca="false">AR13+BG13</f>
        <v>6</v>
      </c>
      <c r="BL13" s="0" t="n">
        <f aca="false">AS13+BH13</f>
        <v>0</v>
      </c>
      <c r="BM13" s="0" t="n">
        <f aca="false">IF(BJ13=MIN(BJ10:BJ14),1,0)</f>
        <v>0</v>
      </c>
    </row>
    <row r="14" customFormat="false" ht="13" hidden="false" customHeight="false" outlineLevel="0" collapsed="false">
      <c r="A14" s="0" t="n">
        <v>5</v>
      </c>
      <c r="B14" s="0" t="s">
        <v>1</v>
      </c>
      <c r="C14" s="0" t="s">
        <v>2</v>
      </c>
      <c r="D14" s="0" t="s">
        <v>1</v>
      </c>
      <c r="E14" s="0" t="n">
        <f aca="false">(IF($B14="V",1,0))+IF($C14="V",1,0)+IF($D14="V",1,0)</f>
        <v>2</v>
      </c>
      <c r="F14" s="0" t="n">
        <f aca="false">(IF($B14="E",1,0))+IF($C14="E",1,0)+IF($D14="E",1,0)</f>
        <v>1</v>
      </c>
      <c r="G14" s="0" t="n">
        <f aca="false">(IF($B14="O",1,0))+IF($C14="O",1,0)+IF($D14="O",1,0)</f>
        <v>0</v>
      </c>
      <c r="H14" s="0" t="n">
        <f aca="false">(IF($B14="L",1,0))+IF($C14="L",1,0)+IF($D14="L",1,0)</f>
        <v>0</v>
      </c>
      <c r="I14" s="0" t="n">
        <f aca="false">(IF(B14="V",1,0))</f>
        <v>1</v>
      </c>
      <c r="J14" s="0" t="n">
        <f aca="false">(IF(B14="E",1,0))</f>
        <v>0</v>
      </c>
      <c r="K14" s="0" t="n">
        <f aca="false">(IF(B14="O",1,0))</f>
        <v>0</v>
      </c>
      <c r="L14" s="0" t="n">
        <f aca="false">(IF(B14="L",1,0))</f>
        <v>0</v>
      </c>
      <c r="M14" s="0" t="n">
        <f aca="false">(IF(C14="V",1,0))</f>
        <v>0</v>
      </c>
      <c r="N14" s="0" t="n">
        <f aca="false">(IF(C14="E",1,0))</f>
        <v>1</v>
      </c>
      <c r="O14" s="0" t="n">
        <f aca="false">(IF(C14="O",1,0))</f>
        <v>0</v>
      </c>
      <c r="P14" s="0" t="n">
        <f aca="false">(IF(C14="L",1,0))</f>
        <v>0</v>
      </c>
      <c r="Q14" s="0" t="n">
        <f aca="false">(IF(D14="V",1,0))</f>
        <v>1</v>
      </c>
      <c r="R14" s="0" t="n">
        <f aca="false">(IF(D14="E",1,0))</f>
        <v>0</v>
      </c>
      <c r="S14" s="0" t="n">
        <f aca="false">(IF(D14="O",1,0))</f>
        <v>0</v>
      </c>
      <c r="T14" s="0" t="n">
        <f aca="false">(IF(D14="L",1,0))</f>
        <v>0</v>
      </c>
      <c r="U14" s="0" t="n">
        <f aca="false">MAX(E14-1,0)</f>
        <v>1</v>
      </c>
      <c r="V14" s="0" t="n">
        <f aca="false">MAX(U14-1+F14,0)</f>
        <v>1</v>
      </c>
      <c r="W14" s="0" t="n">
        <f aca="false">MAX(V14-1+G14,0)</f>
        <v>0</v>
      </c>
      <c r="X14" s="0" t="n">
        <f aca="false">MAX(W14-1+H14,0)</f>
        <v>0</v>
      </c>
      <c r="Y14" s="1" t="n">
        <f aca="false">0.5*(E14*I14+F14*J14+G14*K14+H14*L14-1)+(0+$U14*J14+$V14*K14+$W14*L14)</f>
        <v>0.5</v>
      </c>
      <c r="Z14" s="1" t="n">
        <f aca="false">0.5*(E14*M14+F14*N14+G14*O14+H14*P14-1)+(0+$U14*N14+$V14*O14+$W14*P14)</f>
        <v>1</v>
      </c>
      <c r="AA14" s="1" t="n">
        <f aca="false">0.5*(E14*Q14+F14*R14+G14*S14+H14*T14-1)+(0+$U14*R14+$V14*S14+$W14*T14)</f>
        <v>0.5</v>
      </c>
      <c r="AB14" s="0" t="n">
        <f aca="false">IF(B14="V",-2,0)+IF(B14="E",-1,0)+IF(B14="O",0,0)+IF(B14="L",1,0)+Y14</f>
        <v>-1.5</v>
      </c>
      <c r="AC14" s="0" t="n">
        <f aca="false">IF(C14="V",-2,0)+IF(C14="E",-1,0)+IF(C14="O",0,0)+IF(C14="L",1,0)+Z14</f>
        <v>0</v>
      </c>
      <c r="AD14" s="0" t="n">
        <f aca="false">IF(D14="V",-2,0)+IF(D14="E",-1,0)+IF(D14="O",0,0)+IF(D14="L",1,0)+AA14</f>
        <v>-1.5</v>
      </c>
      <c r="AE14" s="1" t="n">
        <f aca="false">IF(B14="V",-2,0)+IF(B14="E",-1,0)+IF(B14="O",0,0)+IF(B14="L",1,0)</f>
        <v>-2</v>
      </c>
      <c r="AF14" s="1" t="n">
        <f aca="false">IF(B14="V",-2,0)+IF(B14="E",-1,0)+IF(B14="O",0,0)+IF(B14="L",1,0)+Y14</f>
        <v>-1.5</v>
      </c>
      <c r="AG14" s="1" t="n">
        <f aca="false">IF(B14="V",-2,0)+IF(B14="E",-1,0)+IF(B14="O",0,0)+IF(B14="L",1,0)+Y14*2</f>
        <v>-1</v>
      </c>
      <c r="AH14" s="1" t="n">
        <f aca="false">IF(C14="V",-2,0)+IF(C14="E",-1,0)+IF(C14="O",0,0)+IF(C14="L",1,0)</f>
        <v>-1</v>
      </c>
      <c r="AI14" s="1" t="n">
        <f aca="false">IF(C14="V",-2,0)+IF(C14="E",-1,0)+IF(C14="O",0,0)+IF(C14="L",1,0)+Z14</f>
        <v>0</v>
      </c>
      <c r="AJ14" s="1" t="n">
        <f aca="false">IF(C14="V",-2,0)+IF(C14="E",-1,0)+IF(C14="O",0,0)+IF(C14="L",1,0)+Z14*2</f>
        <v>1</v>
      </c>
      <c r="AK14" s="1" t="n">
        <f aca="false">IF(D14="V",-2,0)+IF(D14="E",-1,0)+IF(D14="O",0,0)+IF(D14="L",1,0)</f>
        <v>-2</v>
      </c>
      <c r="AL14" s="1" t="n">
        <f aca="false">IF(D14="V",-2,0)+IF(D14="E",-1,0)+IF(D14="O",0,0)+IF(D14="L",1,0)+AA14</f>
        <v>-1.5</v>
      </c>
      <c r="AM14" s="1" t="n">
        <f aca="false">IF(D14="V",-2,0)+IF(D14="E",-1,0)+IF(D14="O",0,0)+IF(D14="L",1,0)+AA14*2</f>
        <v>-1</v>
      </c>
      <c r="AN14" s="1" t="n">
        <f aca="false">(ABS(IF(AE14&lt;0,AE14*Early,AE14*Late))+ABS(IF(AF14&lt;0,AF14*Early,AF14*Late))+ABS(IF(AG14&lt;0,AG14*Early,AG14*Late)))/3</f>
        <v>4.5</v>
      </c>
      <c r="AO14" s="1" t="n">
        <f aca="false">(ABS(IF(AH14&lt;0,AH14*Early,AH14*Late))+ABS(IF(AI14&lt;0,AI14*Early,AI14*Late))+ABS(IF(AJ14&lt;0,AJ14*Early,AJ14*Late)))/3</f>
        <v>2.33333333333333</v>
      </c>
      <c r="AP14" s="1" t="n">
        <f aca="false">(ABS(IF(AK14&lt;0,AK14*Early,AK14*Late))+ABS(IF(AL14&lt;0,AL14*Early,AL14*Late))+ABS(IF(AM14&lt;0,AM14*Early,AM14*Late)))/3</f>
        <v>4.5</v>
      </c>
      <c r="AQ14" s="0" t="n">
        <f aca="false">Y14*Delay+AN14</f>
        <v>5</v>
      </c>
      <c r="AR14" s="0" t="n">
        <f aca="false">Z14*Delay+AO14</f>
        <v>3.33333333333333</v>
      </c>
      <c r="AS14" s="0" t="n">
        <f aca="false">AA14*Delay+AP14</f>
        <v>5</v>
      </c>
      <c r="AT14" s="0" t="n">
        <f aca="false">IF(AQ14=MIN(AQ14:AQ17),1,0)</f>
        <v>0</v>
      </c>
      <c r="AX14" s="0" t="str">
        <f aca="false">B14&amp;C14&amp;D14</f>
        <v>VEV</v>
      </c>
      <c r="AY14" s="1" t="n">
        <f aca="false">AQ14+AR14+AS14</f>
        <v>13.3333333333333</v>
      </c>
      <c r="AZ14" s="1" t="str">
        <f aca="false">RIGHT(AX14,2)</f>
        <v>EV</v>
      </c>
      <c r="BA14" s="1" t="str">
        <f aca="false">LEFT(AX14,1)&amp;RIGHT(AX14,1)</f>
        <v>VV</v>
      </c>
      <c r="BB14" s="1" t="str">
        <f aca="false">LEFT(AX14,2)</f>
        <v>VE</v>
      </c>
      <c r="BC14" s="1" t="n">
        <f aca="false">VLOOKUP(AZ14,TwoPlayers!$AG$1:$AH$17,2,FALSE())</f>
        <v>9</v>
      </c>
      <c r="BD14" s="1" t="n">
        <f aca="false">VLOOKUP(BA14,TwoPlayers!$AG$1:$AH$17,2,FALSE())</f>
        <v>10</v>
      </c>
      <c r="BE14" s="1" t="n">
        <f aca="false">VLOOKUP(BB14,TwoPlayers!$AG$1:$AH$17,2,FALSE())</f>
        <v>9</v>
      </c>
      <c r="BF14" s="1" t="n">
        <f aca="false">$AY14-BC14</f>
        <v>4.33333333333333</v>
      </c>
      <c r="BG14" s="1" t="n">
        <f aca="false">$AY14-BD14</f>
        <v>3.33333333333333</v>
      </c>
      <c r="BH14" s="1" t="n">
        <f aca="false">$AY14-BE14</f>
        <v>4.33333333333333</v>
      </c>
      <c r="BJ14" s="0" t="n">
        <f aca="false">AQ14+BF14</f>
        <v>9.33333333333333</v>
      </c>
      <c r="BK14" s="0" t="n">
        <f aca="false">AR14+BG14</f>
        <v>6.66666666666667</v>
      </c>
      <c r="BL14" s="0" t="n">
        <f aca="false">AS14+BH14</f>
        <v>9.33333333333333</v>
      </c>
      <c r="BM14" s="0" t="n">
        <f aca="false">IF(BJ14=MIN(BJ14:BJ18),1,0)</f>
        <v>0</v>
      </c>
    </row>
    <row r="15" customFormat="false" ht="13" hidden="false" customHeight="false" outlineLevel="0" collapsed="false">
      <c r="A15" s="0" t="n">
        <v>21</v>
      </c>
      <c r="B15" s="0" t="s">
        <v>2</v>
      </c>
      <c r="C15" s="0" t="s">
        <v>2</v>
      </c>
      <c r="D15" s="0" t="s">
        <v>1</v>
      </c>
      <c r="E15" s="0" t="n">
        <f aca="false">(IF($B15="V",1,0))+IF($C15="V",1,0)+IF($D15="V",1,0)</f>
        <v>1</v>
      </c>
      <c r="F15" s="0" t="n">
        <f aca="false">(IF($B15="E",1,0))+IF($C15="E",1,0)+IF($D15="E",1,0)</f>
        <v>2</v>
      </c>
      <c r="G15" s="0" t="n">
        <f aca="false">(IF($B15="O",1,0))+IF($C15="O",1,0)+IF($D15="O",1,0)</f>
        <v>0</v>
      </c>
      <c r="H15" s="0" t="n">
        <f aca="false">(IF($B15="L",1,0))+IF($C15="L",1,0)+IF($D15="L",1,0)</f>
        <v>0</v>
      </c>
      <c r="I15" s="0" t="n">
        <f aca="false">(IF(B15="V",1,0))</f>
        <v>0</v>
      </c>
      <c r="J15" s="0" t="n">
        <f aca="false">(IF(B15="E",1,0))</f>
        <v>1</v>
      </c>
      <c r="K15" s="0" t="n">
        <f aca="false">(IF(B15="O",1,0))</f>
        <v>0</v>
      </c>
      <c r="L15" s="0" t="n">
        <f aca="false">(IF(B15="L",1,0))</f>
        <v>0</v>
      </c>
      <c r="M15" s="0" t="n">
        <f aca="false">(IF(C15="V",1,0))</f>
        <v>0</v>
      </c>
      <c r="N15" s="0" t="n">
        <f aca="false">(IF(C15="E",1,0))</f>
        <v>1</v>
      </c>
      <c r="O15" s="0" t="n">
        <f aca="false">(IF(C15="O",1,0))</f>
        <v>0</v>
      </c>
      <c r="P15" s="0" t="n">
        <f aca="false">(IF(C15="L",1,0))</f>
        <v>0</v>
      </c>
      <c r="Q15" s="0" t="n">
        <f aca="false">(IF(D15="V",1,0))</f>
        <v>1</v>
      </c>
      <c r="R15" s="0" t="n">
        <f aca="false">(IF(D15="E",1,0))</f>
        <v>0</v>
      </c>
      <c r="S15" s="0" t="n">
        <f aca="false">(IF(D15="O",1,0))</f>
        <v>0</v>
      </c>
      <c r="T15" s="0" t="n">
        <f aca="false">(IF(D15="L",1,0))</f>
        <v>0</v>
      </c>
      <c r="U15" s="0" t="n">
        <f aca="false">MAX(E15-1,0)</f>
        <v>0</v>
      </c>
      <c r="V15" s="0" t="n">
        <f aca="false">MAX(U15-1+F15,0)</f>
        <v>1</v>
      </c>
      <c r="W15" s="0" t="n">
        <f aca="false">MAX(V15-1+G15,0)</f>
        <v>0</v>
      </c>
      <c r="X15" s="0" t="n">
        <f aca="false">MAX(W15-1+H15,0)</f>
        <v>0</v>
      </c>
      <c r="Y15" s="1" t="n">
        <f aca="false">0.5*(E15*I15+F15*J15+G15*K15+H15*L15-1)+(0+$U15*J15+$V15*K15+$W15*L15)</f>
        <v>0.5</v>
      </c>
      <c r="Z15" s="1" t="n">
        <f aca="false">0.5*(E15*M15+F15*N15+G15*O15+H15*P15-1)+(0+$U15*N15+$V15*O15+$W15*P15)</f>
        <v>0.5</v>
      </c>
      <c r="AA15" s="1" t="n">
        <f aca="false">0.5*(E15*Q15+F15*R15+G15*S15+H15*T15-1)+(0+$U15*R15+$V15*S15+$W15*T15)</f>
        <v>0</v>
      </c>
      <c r="AB15" s="0" t="n">
        <f aca="false">IF(B15="V",-2,0)+IF(B15="E",-1,0)+IF(B15="O",0,0)+IF(B15="L",1,0)+Y15</f>
        <v>-0.5</v>
      </c>
      <c r="AC15" s="0" t="n">
        <f aca="false">IF(C15="V",-2,0)+IF(C15="E",-1,0)+IF(C15="O",0,0)+IF(C15="L",1,0)+Z15</f>
        <v>-0.5</v>
      </c>
      <c r="AD15" s="0" t="n">
        <f aca="false">IF(D15="V",-2,0)+IF(D15="E",-1,0)+IF(D15="O",0,0)+IF(D15="L",1,0)+AA15</f>
        <v>-2</v>
      </c>
      <c r="AE15" s="1" t="n">
        <f aca="false">IF(B15="V",-2,0)+IF(B15="E",-1,0)+IF(B15="O",0,0)+IF(B15="L",1,0)</f>
        <v>-1</v>
      </c>
      <c r="AF15" s="1" t="n">
        <f aca="false">IF(B15="V",-2,0)+IF(B15="E",-1,0)+IF(B15="O",0,0)+IF(B15="L",1,0)+Y15</f>
        <v>-0.5</v>
      </c>
      <c r="AG15" s="1" t="n">
        <f aca="false">IF(B15="V",-2,0)+IF(B15="E",-1,0)+IF(B15="O",0,0)+IF(B15="L",1,0)+Y15*2</f>
        <v>0</v>
      </c>
      <c r="AH15" s="1" t="n">
        <f aca="false">IF(C15="V",-2,0)+IF(C15="E",-1,0)+IF(C15="O",0,0)+IF(C15="L",1,0)</f>
        <v>-1</v>
      </c>
      <c r="AI15" s="1" t="n">
        <f aca="false">IF(C15="V",-2,0)+IF(C15="E",-1,0)+IF(C15="O",0,0)+IF(C15="L",1,0)+Z15</f>
        <v>-0.5</v>
      </c>
      <c r="AJ15" s="1" t="n">
        <f aca="false">IF(C15="V",-2,0)+IF(C15="E",-1,0)+IF(C15="O",0,0)+IF(C15="L",1,0)+Z15*2</f>
        <v>0</v>
      </c>
      <c r="AK15" s="1" t="n">
        <f aca="false">IF(D15="V",-2,0)+IF(D15="E",-1,0)+IF(D15="O",0,0)+IF(D15="L",1,0)</f>
        <v>-2</v>
      </c>
      <c r="AL15" s="1" t="n">
        <f aca="false">IF(D15="V",-2,0)+IF(D15="E",-1,0)+IF(D15="O",0,0)+IF(D15="L",1,0)+AA15</f>
        <v>-2</v>
      </c>
      <c r="AM15" s="1" t="n">
        <f aca="false">IF(D15="V",-2,0)+IF(D15="E",-1,0)+IF(D15="O",0,0)+IF(D15="L",1,0)+AA15*2</f>
        <v>-2</v>
      </c>
      <c r="AN15" s="1" t="n">
        <f aca="false">(ABS(IF(AE15&lt;0,AE15*Early,AE15*Late))+ABS(IF(AF15&lt;0,AF15*Early,AF15*Late))+ABS(IF(AG15&lt;0,AG15*Early,AG15*Late)))/3</f>
        <v>1.5</v>
      </c>
      <c r="AO15" s="1" t="n">
        <f aca="false">(ABS(IF(AH15&lt;0,AH15*Early,AH15*Late))+ABS(IF(AI15&lt;0,AI15*Early,AI15*Late))+ABS(IF(AJ15&lt;0,AJ15*Early,AJ15*Late)))/3</f>
        <v>1.5</v>
      </c>
      <c r="AP15" s="1" t="n">
        <f aca="false">(ABS(IF(AK15&lt;0,AK15*Early,AK15*Late))+ABS(IF(AL15&lt;0,AL15*Early,AL15*Late))+ABS(IF(AM15&lt;0,AM15*Early,AM15*Late)))/3</f>
        <v>6</v>
      </c>
      <c r="AQ15" s="0" t="n">
        <f aca="false">Y15*Delay+AN15</f>
        <v>2</v>
      </c>
      <c r="AR15" s="0" t="n">
        <f aca="false">Z15*Delay+AO15</f>
        <v>2</v>
      </c>
      <c r="AS15" s="0" t="n">
        <f aca="false">AA15*Delay+AP15</f>
        <v>6</v>
      </c>
      <c r="AT15" s="0" t="n">
        <f aca="false">IF(AQ15=MIN(AQ14:AQ17),1,0)</f>
        <v>0</v>
      </c>
      <c r="AX15" s="0" t="str">
        <f aca="false">B15&amp;C15&amp;D15</f>
        <v>EEV</v>
      </c>
      <c r="AY15" s="1" t="n">
        <f aca="false">AQ15+AR15+AS15</f>
        <v>10</v>
      </c>
      <c r="AZ15" s="1" t="str">
        <f aca="false">RIGHT(AX15,2)</f>
        <v>EV</v>
      </c>
      <c r="BA15" s="1" t="str">
        <f aca="false">LEFT(AX15,1)&amp;RIGHT(AX15,1)</f>
        <v>EV</v>
      </c>
      <c r="BB15" s="1" t="str">
        <f aca="false">LEFT(AX15,2)</f>
        <v>EE</v>
      </c>
      <c r="BC15" s="1" t="n">
        <f aca="false">VLOOKUP(AZ15,TwoPlayers!$AG$1:$AH$17,2,FALSE())</f>
        <v>9</v>
      </c>
      <c r="BD15" s="1" t="n">
        <f aca="false">VLOOKUP(BA15,TwoPlayers!$AG$1:$AH$17,2,FALSE())</f>
        <v>9</v>
      </c>
      <c r="BE15" s="1" t="n">
        <f aca="false">VLOOKUP(BB15,TwoPlayers!$AG$1:$AH$17,2,FALSE())</f>
        <v>4</v>
      </c>
      <c r="BF15" s="1" t="n">
        <f aca="false">$AY15-BC15</f>
        <v>1</v>
      </c>
      <c r="BG15" s="1" t="n">
        <f aca="false">$AY15-BD15</f>
        <v>1</v>
      </c>
      <c r="BH15" s="1" t="n">
        <f aca="false">$AY15-BE15</f>
        <v>6</v>
      </c>
      <c r="BJ15" s="0" t="n">
        <f aca="false">AQ15+BF15</f>
        <v>3</v>
      </c>
      <c r="BK15" s="0" t="n">
        <f aca="false">AR15+BG15</f>
        <v>3</v>
      </c>
      <c r="BL15" s="0" t="n">
        <f aca="false">AS15+BH15</f>
        <v>12</v>
      </c>
      <c r="BM15" s="0" t="n">
        <f aca="false">IF(BJ15=MIN(BJ14:BJ18),1,0)</f>
        <v>0</v>
      </c>
    </row>
    <row r="16" customFormat="false" ht="13" hidden="false" customHeight="false" outlineLevel="0" collapsed="false">
      <c r="A16" s="0" t="n">
        <v>37</v>
      </c>
      <c r="B16" s="0" t="s">
        <v>3</v>
      </c>
      <c r="C16" s="0" t="s">
        <v>2</v>
      </c>
      <c r="D16" s="0" t="s">
        <v>1</v>
      </c>
      <c r="E16" s="0" t="n">
        <f aca="false">(IF($B16="V",1,0))+IF($C16="V",1,0)+IF($D16="V",1,0)</f>
        <v>1</v>
      </c>
      <c r="F16" s="0" t="n">
        <f aca="false">(IF($B16="E",1,0))+IF($C16="E",1,0)+IF($D16="E",1,0)</f>
        <v>1</v>
      </c>
      <c r="G16" s="0" t="n">
        <f aca="false">(IF($B16="O",1,0))+IF($C16="O",1,0)+IF($D16="O",1,0)</f>
        <v>1</v>
      </c>
      <c r="H16" s="0" t="n">
        <f aca="false">(IF($B16="L",1,0))+IF($C16="L",1,0)+IF($D16="L",1,0)</f>
        <v>0</v>
      </c>
      <c r="I16" s="0" t="n">
        <f aca="false">(IF(B16="V",1,0))</f>
        <v>0</v>
      </c>
      <c r="J16" s="0" t="n">
        <f aca="false">(IF(B16="E",1,0))</f>
        <v>0</v>
      </c>
      <c r="K16" s="0" t="n">
        <f aca="false">(IF(B16="O",1,0))</f>
        <v>1</v>
      </c>
      <c r="L16" s="0" t="n">
        <f aca="false">(IF(B16="L",1,0))</f>
        <v>0</v>
      </c>
      <c r="M16" s="0" t="n">
        <f aca="false">(IF(C16="V",1,0))</f>
        <v>0</v>
      </c>
      <c r="N16" s="0" t="n">
        <f aca="false">(IF(C16="E",1,0))</f>
        <v>1</v>
      </c>
      <c r="O16" s="0" t="n">
        <f aca="false">(IF(C16="O",1,0))</f>
        <v>0</v>
      </c>
      <c r="P16" s="0" t="n">
        <f aca="false">(IF(C16="L",1,0))</f>
        <v>0</v>
      </c>
      <c r="Q16" s="0" t="n">
        <f aca="false">(IF(D16="V",1,0))</f>
        <v>1</v>
      </c>
      <c r="R16" s="0" t="n">
        <f aca="false">(IF(D16="E",1,0))</f>
        <v>0</v>
      </c>
      <c r="S16" s="0" t="n">
        <f aca="false">(IF(D16="O",1,0))</f>
        <v>0</v>
      </c>
      <c r="T16" s="0" t="n">
        <f aca="false">(IF(D16="L",1,0))</f>
        <v>0</v>
      </c>
      <c r="U16" s="0" t="n">
        <f aca="false">MAX(E16-1,0)</f>
        <v>0</v>
      </c>
      <c r="V16" s="0" t="n">
        <f aca="false">MAX(U16-1+F16,0)</f>
        <v>0</v>
      </c>
      <c r="W16" s="0" t="n">
        <f aca="false">MAX(V16-1+G16,0)</f>
        <v>0</v>
      </c>
      <c r="X16" s="0" t="n">
        <f aca="false">MAX(W16-1+H16,0)</f>
        <v>0</v>
      </c>
      <c r="Y16" s="1" t="n">
        <f aca="false">0.5*(E16*I16+F16*J16+G16*K16+H16*L16-1)+(0+$U16*J16+$V16*K16+$W16*L16)</f>
        <v>0</v>
      </c>
      <c r="Z16" s="1" t="n">
        <f aca="false">0.5*(E16*M16+F16*N16+G16*O16+H16*P16-1)+(0+$U16*N16+$V16*O16+$W16*P16)</f>
        <v>0</v>
      </c>
      <c r="AA16" s="1" t="n">
        <f aca="false">0.5*(E16*Q16+F16*R16+G16*S16+H16*T16-1)+(0+$U16*R16+$V16*S16+$W16*T16)</f>
        <v>0</v>
      </c>
      <c r="AB16" s="0" t="n">
        <f aca="false">IF(B16="V",-2,0)+IF(B16="E",-1,0)+IF(B16="O",0,0)+IF(B16="L",1,0)+Y16</f>
        <v>0</v>
      </c>
      <c r="AC16" s="0" t="n">
        <f aca="false">IF(C16="V",-2,0)+IF(C16="E",-1,0)+IF(C16="O",0,0)+IF(C16="L",1,0)+Z16</f>
        <v>-1</v>
      </c>
      <c r="AD16" s="0" t="n">
        <f aca="false">IF(D16="V",-2,0)+IF(D16="E",-1,0)+IF(D16="O",0,0)+IF(D16="L",1,0)+AA16</f>
        <v>-2</v>
      </c>
      <c r="AE16" s="1" t="n">
        <f aca="false">IF(B16="V",-2,0)+IF(B16="E",-1,0)+IF(B16="O",0,0)+IF(B16="L",1,0)</f>
        <v>0</v>
      </c>
      <c r="AF16" s="1" t="n">
        <f aca="false">IF(B16="V",-2,0)+IF(B16="E",-1,0)+IF(B16="O",0,0)+IF(B16="L",1,0)+Y16</f>
        <v>0</v>
      </c>
      <c r="AG16" s="1" t="n">
        <f aca="false">IF(B16="V",-2,0)+IF(B16="E",-1,0)+IF(B16="O",0,0)+IF(B16="L",1,0)+Y16*2</f>
        <v>0</v>
      </c>
      <c r="AH16" s="1" t="n">
        <f aca="false">IF(C16="V",-2,0)+IF(C16="E",-1,0)+IF(C16="O",0,0)+IF(C16="L",1,0)</f>
        <v>-1</v>
      </c>
      <c r="AI16" s="1" t="n">
        <f aca="false">IF(C16="V",-2,0)+IF(C16="E",-1,0)+IF(C16="O",0,0)+IF(C16="L",1,0)+Z16</f>
        <v>-1</v>
      </c>
      <c r="AJ16" s="1" t="n">
        <f aca="false">IF(C16="V",-2,0)+IF(C16="E",-1,0)+IF(C16="O",0,0)+IF(C16="L",1,0)+Z16*2</f>
        <v>-1</v>
      </c>
      <c r="AK16" s="1" t="n">
        <f aca="false">IF(D16="V",-2,0)+IF(D16="E",-1,0)+IF(D16="O",0,0)+IF(D16="L",1,0)</f>
        <v>-2</v>
      </c>
      <c r="AL16" s="1" t="n">
        <f aca="false">IF(D16="V",-2,0)+IF(D16="E",-1,0)+IF(D16="O",0,0)+IF(D16="L",1,0)+AA16</f>
        <v>-2</v>
      </c>
      <c r="AM16" s="1" t="n">
        <f aca="false">IF(D16="V",-2,0)+IF(D16="E",-1,0)+IF(D16="O",0,0)+IF(D16="L",1,0)+AA16*2</f>
        <v>-2</v>
      </c>
      <c r="AN16" s="1" t="n">
        <f aca="false">(ABS(IF(AE16&lt;0,AE16*Early,AE16*Late))+ABS(IF(AF16&lt;0,AF16*Early,AF16*Late))+ABS(IF(AG16&lt;0,AG16*Early,AG16*Late)))/3</f>
        <v>0</v>
      </c>
      <c r="AO16" s="1" t="n">
        <f aca="false">(ABS(IF(AH16&lt;0,AH16*Early,AH16*Late))+ABS(IF(AI16&lt;0,AI16*Early,AI16*Late))+ABS(IF(AJ16&lt;0,AJ16*Early,AJ16*Late)))/3</f>
        <v>3</v>
      </c>
      <c r="AP16" s="1" t="n">
        <f aca="false">(ABS(IF(AK16&lt;0,AK16*Early,AK16*Late))+ABS(IF(AL16&lt;0,AL16*Early,AL16*Late))+ABS(IF(AM16&lt;0,AM16*Early,AM16*Late)))/3</f>
        <v>6</v>
      </c>
      <c r="AQ16" s="0" t="n">
        <f aca="false">Y16*Delay+AN16</f>
        <v>0</v>
      </c>
      <c r="AR16" s="0" t="n">
        <f aca="false">Z16*Delay+AO16</f>
        <v>3</v>
      </c>
      <c r="AS16" s="0" t="n">
        <f aca="false">AA16*Delay+AP16</f>
        <v>6</v>
      </c>
      <c r="AT16" s="0" t="n">
        <f aca="false">IF(AQ16=MIN(AQ14:AQ17),1,0)</f>
        <v>1</v>
      </c>
      <c r="AX16" s="0" t="str">
        <f aca="false">B16&amp;C16&amp;D16</f>
        <v>OEV</v>
      </c>
      <c r="AY16" s="1" t="n">
        <f aca="false">AQ16+AR16+AS16</f>
        <v>9</v>
      </c>
      <c r="AZ16" s="1" t="str">
        <f aca="false">RIGHT(AX16,2)</f>
        <v>EV</v>
      </c>
      <c r="BA16" s="1" t="str">
        <f aca="false">LEFT(AX16,1)&amp;RIGHT(AX16,1)</f>
        <v>OV</v>
      </c>
      <c r="BB16" s="1" t="str">
        <f aca="false">LEFT(AX16,2)</f>
        <v>OE</v>
      </c>
      <c r="BC16" s="1" t="n">
        <f aca="false">VLOOKUP(AZ16,TwoPlayers!$AG$1:$AH$17,2,FALSE())</f>
        <v>9</v>
      </c>
      <c r="BD16" s="1" t="n">
        <f aca="false">VLOOKUP(BA16,TwoPlayers!$AG$1:$AH$17,2,FALSE())</f>
        <v>6</v>
      </c>
      <c r="BE16" s="1" t="n">
        <f aca="false">VLOOKUP(BB16,TwoPlayers!$AG$1:$AH$17,2,FALSE())</f>
        <v>3</v>
      </c>
      <c r="BF16" s="1" t="n">
        <f aca="false">$AY16-BC16</f>
        <v>0</v>
      </c>
      <c r="BG16" s="1" t="n">
        <f aca="false">$AY16-BD16</f>
        <v>3</v>
      </c>
      <c r="BH16" s="1" t="n">
        <f aca="false">$AY16-BE16</f>
        <v>6</v>
      </c>
      <c r="BJ16" s="0" t="n">
        <f aca="false">AQ16+BF16</f>
        <v>0</v>
      </c>
      <c r="BK16" s="0" t="n">
        <f aca="false">AR16+BG16</f>
        <v>6</v>
      </c>
      <c r="BL16" s="0" t="n">
        <f aca="false">AS16+BH16</f>
        <v>12</v>
      </c>
      <c r="BM16" s="0" t="n">
        <f aca="false">IF(BJ16=MIN(BJ14:BJ18),1,0)</f>
        <v>1</v>
      </c>
    </row>
    <row r="17" customFormat="false" ht="13" hidden="false" customHeight="false" outlineLevel="0" collapsed="false">
      <c r="A17" s="0" t="n">
        <v>53</v>
      </c>
      <c r="B17" s="0" t="s">
        <v>4</v>
      </c>
      <c r="C17" s="0" t="s">
        <v>2</v>
      </c>
      <c r="D17" s="0" t="s">
        <v>1</v>
      </c>
      <c r="E17" s="0" t="n">
        <f aca="false">(IF($B17="V",1,0))+IF($C17="V",1,0)+IF($D17="V",1,0)</f>
        <v>1</v>
      </c>
      <c r="F17" s="0" t="n">
        <f aca="false">(IF($B17="E",1,0))+IF($C17="E",1,0)+IF($D17="E",1,0)</f>
        <v>1</v>
      </c>
      <c r="G17" s="0" t="n">
        <f aca="false">(IF($B17="O",1,0))+IF($C17="O",1,0)+IF($D17="O",1,0)</f>
        <v>0</v>
      </c>
      <c r="H17" s="0" t="n">
        <f aca="false">(IF($B17="L",1,0))+IF($C17="L",1,0)+IF($D17="L",1,0)</f>
        <v>1</v>
      </c>
      <c r="I17" s="0" t="n">
        <f aca="false">(IF(B17="V",1,0))</f>
        <v>0</v>
      </c>
      <c r="J17" s="0" t="n">
        <f aca="false">(IF(B17="E",1,0))</f>
        <v>0</v>
      </c>
      <c r="K17" s="0" t="n">
        <f aca="false">(IF(B17="O",1,0))</f>
        <v>0</v>
      </c>
      <c r="L17" s="0" t="n">
        <f aca="false">(IF(B17="L",1,0))</f>
        <v>1</v>
      </c>
      <c r="M17" s="0" t="n">
        <f aca="false">(IF(C17="V",1,0))</f>
        <v>0</v>
      </c>
      <c r="N17" s="0" t="n">
        <f aca="false">(IF(C17="E",1,0))</f>
        <v>1</v>
      </c>
      <c r="O17" s="0" t="n">
        <f aca="false">(IF(C17="O",1,0))</f>
        <v>0</v>
      </c>
      <c r="P17" s="0" t="n">
        <f aca="false">(IF(C17="L",1,0))</f>
        <v>0</v>
      </c>
      <c r="Q17" s="0" t="n">
        <f aca="false">(IF(D17="V",1,0))</f>
        <v>1</v>
      </c>
      <c r="R17" s="0" t="n">
        <f aca="false">(IF(D17="E",1,0))</f>
        <v>0</v>
      </c>
      <c r="S17" s="0" t="n">
        <f aca="false">(IF(D17="O",1,0))</f>
        <v>0</v>
      </c>
      <c r="T17" s="0" t="n">
        <f aca="false">(IF(D17="L",1,0))</f>
        <v>0</v>
      </c>
      <c r="U17" s="0" t="n">
        <f aca="false">MAX(E17-1,0)</f>
        <v>0</v>
      </c>
      <c r="V17" s="0" t="n">
        <f aca="false">MAX(U17-1+F17,0)</f>
        <v>0</v>
      </c>
      <c r="W17" s="0" t="n">
        <f aca="false">MAX(V17-1+G17,0)</f>
        <v>0</v>
      </c>
      <c r="X17" s="0" t="n">
        <f aca="false">MAX(W17-1+H17,0)</f>
        <v>0</v>
      </c>
      <c r="Y17" s="1" t="n">
        <f aca="false">0.5*(E17*I17+F17*J17+G17*K17+H17*L17-1)+(0+$U17*J17+$V17*K17+$W17*L17)</f>
        <v>0</v>
      </c>
      <c r="Z17" s="1" t="n">
        <f aca="false">0.5*(E17*M17+F17*N17+G17*O17+H17*P17-1)+(0+$U17*N17+$V17*O17+$W17*P17)</f>
        <v>0</v>
      </c>
      <c r="AA17" s="1" t="n">
        <f aca="false">0.5*(E17*Q17+F17*R17+G17*S17+H17*T17-1)+(0+$U17*R17+$V17*S17+$W17*T17)</f>
        <v>0</v>
      </c>
      <c r="AB17" s="0" t="n">
        <f aca="false">IF(B17="V",-2,0)+IF(B17="E",-1,0)+IF(B17="O",0,0)+IF(B17="L",1,0)+Y17</f>
        <v>1</v>
      </c>
      <c r="AC17" s="0" t="n">
        <f aca="false">IF(C17="V",-2,0)+IF(C17="E",-1,0)+IF(C17="O",0,0)+IF(C17="L",1,0)+Z17</f>
        <v>-1</v>
      </c>
      <c r="AD17" s="0" t="n">
        <f aca="false">IF(D17="V",-2,0)+IF(D17="E",-1,0)+IF(D17="O",0,0)+IF(D17="L",1,0)+AA17</f>
        <v>-2</v>
      </c>
      <c r="AE17" s="1" t="n">
        <f aca="false">IF(B17="V",-2,0)+IF(B17="E",-1,0)+IF(B17="O",0,0)+IF(B17="L",1,0)</f>
        <v>1</v>
      </c>
      <c r="AF17" s="1" t="n">
        <f aca="false">IF(B17="V",-2,0)+IF(B17="E",-1,0)+IF(B17="O",0,0)+IF(B17="L",1,0)+Y17</f>
        <v>1</v>
      </c>
      <c r="AG17" s="1" t="n">
        <f aca="false">IF(B17="V",-2,0)+IF(B17="E",-1,0)+IF(B17="O",0,0)+IF(B17="L",1,0)+Y17*2</f>
        <v>1</v>
      </c>
      <c r="AH17" s="1" t="n">
        <f aca="false">IF(C17="V",-2,0)+IF(C17="E",-1,0)+IF(C17="O",0,0)+IF(C17="L",1,0)</f>
        <v>-1</v>
      </c>
      <c r="AI17" s="1" t="n">
        <f aca="false">IF(C17="V",-2,0)+IF(C17="E",-1,0)+IF(C17="O",0,0)+IF(C17="L",1,0)+Z17</f>
        <v>-1</v>
      </c>
      <c r="AJ17" s="1" t="n">
        <f aca="false">IF(C17="V",-2,0)+IF(C17="E",-1,0)+IF(C17="O",0,0)+IF(C17="L",1,0)+Z17*2</f>
        <v>-1</v>
      </c>
      <c r="AK17" s="1" t="n">
        <f aca="false">IF(D17="V",-2,0)+IF(D17="E",-1,0)+IF(D17="O",0,0)+IF(D17="L",1,0)</f>
        <v>-2</v>
      </c>
      <c r="AL17" s="1" t="n">
        <f aca="false">IF(D17="V",-2,0)+IF(D17="E",-1,0)+IF(D17="O",0,0)+IF(D17="L",1,0)+AA17</f>
        <v>-2</v>
      </c>
      <c r="AM17" s="1" t="n">
        <f aca="false">IF(D17="V",-2,0)+IF(D17="E",-1,0)+IF(D17="O",0,0)+IF(D17="L",1,0)+AA17*2</f>
        <v>-2</v>
      </c>
      <c r="AN17" s="1" t="n">
        <f aca="false">(ABS(IF(AE17&lt;0,AE17*Early,AE17*Late))+ABS(IF(AF17&lt;0,AF17*Early,AF17*Late))+ABS(IF(AG17&lt;0,AG17*Early,AG17*Late)))/3</f>
        <v>4</v>
      </c>
      <c r="AO17" s="1" t="n">
        <f aca="false">(ABS(IF(AH17&lt;0,AH17*Early,AH17*Late))+ABS(IF(AI17&lt;0,AI17*Early,AI17*Late))+ABS(IF(AJ17&lt;0,AJ17*Early,AJ17*Late)))/3</f>
        <v>3</v>
      </c>
      <c r="AP17" s="1" t="n">
        <f aca="false">(ABS(IF(AK17&lt;0,AK17*Early,AK17*Late))+ABS(IF(AL17&lt;0,AL17*Early,AL17*Late))+ABS(IF(AM17&lt;0,AM17*Early,AM17*Late)))/3</f>
        <v>6</v>
      </c>
      <c r="AQ17" s="0" t="n">
        <f aca="false">Y17*Delay+AN17</f>
        <v>4</v>
      </c>
      <c r="AR17" s="0" t="n">
        <f aca="false">Z17*Delay+AO17</f>
        <v>3</v>
      </c>
      <c r="AS17" s="0" t="n">
        <f aca="false">AA17*Delay+AP17</f>
        <v>6</v>
      </c>
      <c r="AT17" s="0" t="n">
        <f aca="false">IF(AQ17=MIN(AQ14:AQ17),1,0)</f>
        <v>0</v>
      </c>
      <c r="AX17" s="0" t="str">
        <f aca="false">B17&amp;C17&amp;D17</f>
        <v>LEV</v>
      </c>
      <c r="AY17" s="1" t="n">
        <f aca="false">AQ17+AR17+AS17</f>
        <v>13</v>
      </c>
      <c r="AZ17" s="1" t="str">
        <f aca="false">RIGHT(AX17,2)</f>
        <v>EV</v>
      </c>
      <c r="BA17" s="1" t="str">
        <f aca="false">LEFT(AX17,1)&amp;RIGHT(AX17,1)</f>
        <v>LV</v>
      </c>
      <c r="BB17" s="1" t="str">
        <f aca="false">LEFT(AX17,2)</f>
        <v>LE</v>
      </c>
      <c r="BC17" s="1" t="n">
        <f aca="false">VLOOKUP(AZ17,TwoPlayers!$AG$1:$AH$17,2,FALSE())</f>
        <v>9</v>
      </c>
      <c r="BD17" s="1" t="n">
        <f aca="false">VLOOKUP(BA17,TwoPlayers!$AG$1:$AH$17,2,FALSE())</f>
        <v>10</v>
      </c>
      <c r="BE17" s="1" t="n">
        <f aca="false">VLOOKUP(BB17,TwoPlayers!$AG$1:$AH$17,2,FALSE())</f>
        <v>7</v>
      </c>
      <c r="BF17" s="1" t="n">
        <f aca="false">$AY17-BC17</f>
        <v>4</v>
      </c>
      <c r="BG17" s="1" t="n">
        <f aca="false">$AY17-BD17</f>
        <v>3</v>
      </c>
      <c r="BH17" s="1" t="n">
        <f aca="false">$AY17-BE17</f>
        <v>6</v>
      </c>
      <c r="BJ17" s="0" t="n">
        <f aca="false">AQ17+BF17</f>
        <v>8</v>
      </c>
      <c r="BK17" s="0" t="n">
        <f aca="false">AR17+BG17</f>
        <v>6</v>
      </c>
      <c r="BL17" s="0" t="n">
        <f aca="false">AS17+BH17</f>
        <v>12</v>
      </c>
      <c r="BM17" s="0" t="n">
        <f aca="false">IF(BJ17=MIN(BJ14:BJ18),1,0)</f>
        <v>0</v>
      </c>
    </row>
    <row r="18" customFormat="false" ht="13" hidden="false" customHeight="false" outlineLevel="0" collapsed="false">
      <c r="A18" s="0" t="n">
        <v>14</v>
      </c>
      <c r="B18" s="0" t="s">
        <v>1</v>
      </c>
      <c r="C18" s="0" t="s">
        <v>4</v>
      </c>
      <c r="D18" s="0" t="s">
        <v>2</v>
      </c>
      <c r="E18" s="0" t="n">
        <f aca="false">(IF($B18="V",1,0))+IF($C18="V",1,0)+IF($D18="V",1,0)</f>
        <v>1</v>
      </c>
      <c r="F18" s="0" t="n">
        <f aca="false">(IF($B18="E",1,0))+IF($C18="E",1,0)+IF($D18="E",1,0)</f>
        <v>1</v>
      </c>
      <c r="G18" s="0" t="n">
        <f aca="false">(IF($B18="O",1,0))+IF($C18="O",1,0)+IF($D18="O",1,0)</f>
        <v>0</v>
      </c>
      <c r="H18" s="0" t="n">
        <f aca="false">(IF($B18="L",1,0))+IF($C18="L",1,0)+IF($D18="L",1,0)</f>
        <v>1</v>
      </c>
      <c r="I18" s="0" t="n">
        <f aca="false">(IF(B18="V",1,0))</f>
        <v>1</v>
      </c>
      <c r="J18" s="0" t="n">
        <f aca="false">(IF(B18="E",1,0))</f>
        <v>0</v>
      </c>
      <c r="K18" s="0" t="n">
        <f aca="false">(IF(B18="O",1,0))</f>
        <v>0</v>
      </c>
      <c r="L18" s="0" t="n">
        <f aca="false">(IF(B18="L",1,0))</f>
        <v>0</v>
      </c>
      <c r="M18" s="0" t="n">
        <f aca="false">(IF(C18="V",1,0))</f>
        <v>0</v>
      </c>
      <c r="N18" s="0" t="n">
        <f aca="false">(IF(C18="E",1,0))</f>
        <v>0</v>
      </c>
      <c r="O18" s="0" t="n">
        <f aca="false">(IF(C18="O",1,0))</f>
        <v>0</v>
      </c>
      <c r="P18" s="0" t="n">
        <f aca="false">(IF(C18="L",1,0))</f>
        <v>1</v>
      </c>
      <c r="Q18" s="0" t="n">
        <f aca="false">(IF(D18="V",1,0))</f>
        <v>0</v>
      </c>
      <c r="R18" s="0" t="n">
        <f aca="false">(IF(D18="E",1,0))</f>
        <v>1</v>
      </c>
      <c r="S18" s="0" t="n">
        <f aca="false">(IF(D18="O",1,0))</f>
        <v>0</v>
      </c>
      <c r="T18" s="0" t="n">
        <f aca="false">(IF(D18="L",1,0))</f>
        <v>0</v>
      </c>
      <c r="U18" s="0" t="n">
        <f aca="false">MAX(E18-1,0)</f>
        <v>0</v>
      </c>
      <c r="V18" s="0" t="n">
        <f aca="false">MAX(U18-1+F18,0)</f>
        <v>0</v>
      </c>
      <c r="W18" s="0" t="n">
        <f aca="false">MAX(V18-1+G18,0)</f>
        <v>0</v>
      </c>
      <c r="X18" s="0" t="n">
        <f aca="false">MAX(W18-1+H18,0)</f>
        <v>0</v>
      </c>
      <c r="Y18" s="1" t="n">
        <f aca="false">0.5*(E18*I18+F18*J18+G18*K18+H18*L18-1)+(0+$U18*J18+$V18*K18+$W18*L18)</f>
        <v>0</v>
      </c>
      <c r="Z18" s="1" t="n">
        <f aca="false">0.5*(E18*M18+F18*N18+G18*O18+H18*P18-1)+(0+$U18*N18+$V18*O18+$W18*P18)</f>
        <v>0</v>
      </c>
      <c r="AA18" s="1" t="n">
        <f aca="false">0.5*(E18*Q18+F18*R18+G18*S18+H18*T18-1)+(0+$U18*R18+$V18*S18+$W18*T18)</f>
        <v>0</v>
      </c>
      <c r="AB18" s="0" t="n">
        <f aca="false">IF(B18="V",-2,0)+IF(B18="E",-1,0)+IF(B18="O",0,0)+IF(B18="L",1,0)+Y18</f>
        <v>-2</v>
      </c>
      <c r="AC18" s="0" t="n">
        <f aca="false">IF(C18="V",-2,0)+IF(C18="E",-1,0)+IF(C18="O",0,0)+IF(C18="L",1,0)+Z18</f>
        <v>1</v>
      </c>
      <c r="AD18" s="0" t="n">
        <f aca="false">IF(D18="V",-2,0)+IF(D18="E",-1,0)+IF(D18="O",0,0)+IF(D18="L",1,0)+AA18</f>
        <v>-1</v>
      </c>
      <c r="AE18" s="1" t="n">
        <f aca="false">IF(B18="V",-2,0)+IF(B18="E",-1,0)+IF(B18="O",0,0)+IF(B18="L",1,0)</f>
        <v>-2</v>
      </c>
      <c r="AF18" s="1" t="n">
        <f aca="false">IF(B18="V",-2,0)+IF(B18="E",-1,0)+IF(B18="O",0,0)+IF(B18="L",1,0)+Y18</f>
        <v>-2</v>
      </c>
      <c r="AG18" s="1" t="n">
        <f aca="false">IF(B18="V",-2,0)+IF(B18="E",-1,0)+IF(B18="O",0,0)+IF(B18="L",1,0)+Y18*2</f>
        <v>-2</v>
      </c>
      <c r="AH18" s="1" t="n">
        <f aca="false">IF(C18="V",-2,0)+IF(C18="E",-1,0)+IF(C18="O",0,0)+IF(C18="L",1,0)</f>
        <v>1</v>
      </c>
      <c r="AI18" s="1" t="n">
        <f aca="false">IF(C18="V",-2,0)+IF(C18="E",-1,0)+IF(C18="O",0,0)+IF(C18="L",1,0)+Z18</f>
        <v>1</v>
      </c>
      <c r="AJ18" s="1" t="n">
        <f aca="false">IF(C18="V",-2,0)+IF(C18="E",-1,0)+IF(C18="O",0,0)+IF(C18="L",1,0)+Z18*2</f>
        <v>1</v>
      </c>
      <c r="AK18" s="1" t="n">
        <f aca="false">IF(D18="V",-2,0)+IF(D18="E",-1,0)+IF(D18="O",0,0)+IF(D18="L",1,0)</f>
        <v>-1</v>
      </c>
      <c r="AL18" s="1" t="n">
        <f aca="false">IF(D18="V",-2,0)+IF(D18="E",-1,0)+IF(D18="O",0,0)+IF(D18="L",1,0)+AA18</f>
        <v>-1</v>
      </c>
      <c r="AM18" s="1" t="n">
        <f aca="false">IF(D18="V",-2,0)+IF(D18="E",-1,0)+IF(D18="O",0,0)+IF(D18="L",1,0)+AA18*2</f>
        <v>-1</v>
      </c>
      <c r="AN18" s="1" t="n">
        <f aca="false">(ABS(IF(AE18&lt;0,AE18*Early,AE18*Late))+ABS(IF(AF18&lt;0,AF18*Early,AF18*Late))+ABS(IF(AG18&lt;0,AG18*Early,AG18*Late)))/3</f>
        <v>6</v>
      </c>
      <c r="AO18" s="1" t="n">
        <f aca="false">(ABS(IF(AH18&lt;0,AH18*Early,AH18*Late))+ABS(IF(AI18&lt;0,AI18*Early,AI18*Late))+ABS(IF(AJ18&lt;0,AJ18*Early,AJ18*Late)))/3</f>
        <v>4</v>
      </c>
      <c r="AP18" s="1" t="n">
        <f aca="false">(ABS(IF(AK18&lt;0,AK18*Early,AK18*Late))+ABS(IF(AL18&lt;0,AL18*Early,AL18*Late))+ABS(IF(AM18&lt;0,AM18*Early,AM18*Late)))/3</f>
        <v>3</v>
      </c>
      <c r="AQ18" s="0" t="n">
        <f aca="false">Y18*Delay+AN18</f>
        <v>6</v>
      </c>
      <c r="AR18" s="0" t="n">
        <f aca="false">Z18*Delay+AO18</f>
        <v>4</v>
      </c>
      <c r="AS18" s="0" t="n">
        <f aca="false">AA18*Delay+AP18</f>
        <v>3</v>
      </c>
      <c r="AT18" s="0" t="n">
        <f aca="false">IF(AQ18=MIN(AQ18:AQ21),1,0)</f>
        <v>0</v>
      </c>
      <c r="AX18" s="0" t="str">
        <f aca="false">B18&amp;C18&amp;D18</f>
        <v>VLE</v>
      </c>
      <c r="AY18" s="1" t="n">
        <f aca="false">AQ18+AR18+AS18</f>
        <v>13</v>
      </c>
      <c r="AZ18" s="1" t="str">
        <f aca="false">RIGHT(AX18,2)</f>
        <v>LE</v>
      </c>
      <c r="BA18" s="1" t="str">
        <f aca="false">LEFT(AX18,1)&amp;RIGHT(AX18,1)</f>
        <v>VE</v>
      </c>
      <c r="BB18" s="1" t="str">
        <f aca="false">LEFT(AX18,2)</f>
        <v>VL</v>
      </c>
      <c r="BC18" s="1" t="n">
        <f aca="false">VLOOKUP(AZ18,TwoPlayers!$AG$1:$AH$17,2,FALSE())</f>
        <v>7</v>
      </c>
      <c r="BD18" s="1" t="n">
        <f aca="false">VLOOKUP(BA18,TwoPlayers!$AG$1:$AH$17,2,FALSE())</f>
        <v>9</v>
      </c>
      <c r="BE18" s="1" t="n">
        <f aca="false">VLOOKUP(BB18,TwoPlayers!$AG$1:$AH$17,2,FALSE())</f>
        <v>10</v>
      </c>
      <c r="BF18" s="1" t="n">
        <f aca="false">$AY18-BC18</f>
        <v>6</v>
      </c>
      <c r="BG18" s="1" t="n">
        <f aca="false">$AY18-BD18</f>
        <v>4</v>
      </c>
      <c r="BH18" s="1" t="n">
        <f aca="false">$AY18-BE18</f>
        <v>3</v>
      </c>
      <c r="BJ18" s="0" t="n">
        <f aca="false">AQ18+BF18</f>
        <v>12</v>
      </c>
      <c r="BK18" s="0" t="n">
        <f aca="false">AR18+BG18</f>
        <v>8</v>
      </c>
      <c r="BL18" s="0" t="n">
        <f aca="false">AS18+BH18</f>
        <v>6</v>
      </c>
      <c r="BM18" s="0" t="n">
        <f aca="false">IF(BJ18=MIN(BJ18:BJ22),1,0)</f>
        <v>0</v>
      </c>
    </row>
    <row r="19" customFormat="false" ht="13" hidden="false" customHeight="false" outlineLevel="0" collapsed="false">
      <c r="A19" s="0" t="n">
        <v>30</v>
      </c>
      <c r="B19" s="0" t="s">
        <v>2</v>
      </c>
      <c r="C19" s="0" t="s">
        <v>4</v>
      </c>
      <c r="D19" s="0" t="s">
        <v>2</v>
      </c>
      <c r="E19" s="0" t="n">
        <f aca="false">(IF($B19="V",1,0))+IF($C19="V",1,0)+IF($D19="V",1,0)</f>
        <v>0</v>
      </c>
      <c r="F19" s="0" t="n">
        <f aca="false">(IF($B19="E",1,0))+IF($C19="E",1,0)+IF($D19="E",1,0)</f>
        <v>2</v>
      </c>
      <c r="G19" s="0" t="n">
        <f aca="false">(IF($B19="O",1,0))+IF($C19="O",1,0)+IF($D19="O",1,0)</f>
        <v>0</v>
      </c>
      <c r="H19" s="0" t="n">
        <f aca="false">(IF($B19="L",1,0))+IF($C19="L",1,0)+IF($D19="L",1,0)</f>
        <v>1</v>
      </c>
      <c r="I19" s="0" t="n">
        <f aca="false">(IF(B19="V",1,0))</f>
        <v>0</v>
      </c>
      <c r="J19" s="0" t="n">
        <f aca="false">(IF(B19="E",1,0))</f>
        <v>1</v>
      </c>
      <c r="K19" s="0" t="n">
        <f aca="false">(IF(B19="O",1,0))</f>
        <v>0</v>
      </c>
      <c r="L19" s="0" t="n">
        <f aca="false">(IF(B19="L",1,0))</f>
        <v>0</v>
      </c>
      <c r="M19" s="0" t="n">
        <f aca="false">(IF(C19="V",1,0))</f>
        <v>0</v>
      </c>
      <c r="N19" s="0" t="n">
        <f aca="false">(IF(C19="E",1,0))</f>
        <v>0</v>
      </c>
      <c r="O19" s="0" t="n">
        <f aca="false">(IF(C19="O",1,0))</f>
        <v>0</v>
      </c>
      <c r="P19" s="0" t="n">
        <f aca="false">(IF(C19="L",1,0))</f>
        <v>1</v>
      </c>
      <c r="Q19" s="0" t="n">
        <f aca="false">(IF(D19="V",1,0))</f>
        <v>0</v>
      </c>
      <c r="R19" s="0" t="n">
        <f aca="false">(IF(D19="E",1,0))</f>
        <v>1</v>
      </c>
      <c r="S19" s="0" t="n">
        <f aca="false">(IF(D19="O",1,0))</f>
        <v>0</v>
      </c>
      <c r="T19" s="0" t="n">
        <f aca="false">(IF(D19="L",1,0))</f>
        <v>0</v>
      </c>
      <c r="U19" s="0" t="n">
        <f aca="false">MAX(E19-1,0)</f>
        <v>0</v>
      </c>
      <c r="V19" s="0" t="n">
        <f aca="false">MAX(U19-1+F19,0)</f>
        <v>1</v>
      </c>
      <c r="W19" s="0" t="n">
        <f aca="false">MAX(V19-1+G19,0)</f>
        <v>0</v>
      </c>
      <c r="X19" s="0" t="n">
        <f aca="false">MAX(W19-1+H19,0)</f>
        <v>0</v>
      </c>
      <c r="Y19" s="1" t="n">
        <f aca="false">0.5*(E19*I19+F19*J19+G19*K19+H19*L19-1)+(0+$U19*J19+$V19*K19+$W19*L19)</f>
        <v>0.5</v>
      </c>
      <c r="Z19" s="1" t="n">
        <f aca="false">0.5*(E19*M19+F19*N19+G19*O19+H19*P19-1)+(0+$U19*N19+$V19*O19+$W19*P19)</f>
        <v>0</v>
      </c>
      <c r="AA19" s="1" t="n">
        <f aca="false">0.5*(E19*Q19+F19*R19+G19*S19+H19*T19-1)+(0+$U19*R19+$V19*S19+$W19*T19)</f>
        <v>0.5</v>
      </c>
      <c r="AB19" s="0" t="n">
        <f aca="false">IF(B19="V",-2,0)+IF(B19="E",-1,0)+IF(B19="O",0,0)+IF(B19="L",1,0)+Y19</f>
        <v>-0.5</v>
      </c>
      <c r="AC19" s="0" t="n">
        <f aca="false">IF(C19="V",-2,0)+IF(C19="E",-1,0)+IF(C19="O",0,0)+IF(C19="L",1,0)+Z19</f>
        <v>1</v>
      </c>
      <c r="AD19" s="0" t="n">
        <f aca="false">IF(D19="V",-2,0)+IF(D19="E",-1,0)+IF(D19="O",0,0)+IF(D19="L",1,0)+AA19</f>
        <v>-0.5</v>
      </c>
      <c r="AE19" s="1" t="n">
        <f aca="false">IF(B19="V",-2,0)+IF(B19="E",-1,0)+IF(B19="O",0,0)+IF(B19="L",1,0)</f>
        <v>-1</v>
      </c>
      <c r="AF19" s="1" t="n">
        <f aca="false">IF(B19="V",-2,0)+IF(B19="E",-1,0)+IF(B19="O",0,0)+IF(B19="L",1,0)+Y19</f>
        <v>-0.5</v>
      </c>
      <c r="AG19" s="1" t="n">
        <f aca="false">IF(B19="V",-2,0)+IF(B19="E",-1,0)+IF(B19="O",0,0)+IF(B19="L",1,0)+Y19*2</f>
        <v>0</v>
      </c>
      <c r="AH19" s="1" t="n">
        <f aca="false">IF(C19="V",-2,0)+IF(C19="E",-1,0)+IF(C19="O",0,0)+IF(C19="L",1,0)</f>
        <v>1</v>
      </c>
      <c r="AI19" s="1" t="n">
        <f aca="false">IF(C19="V",-2,0)+IF(C19="E",-1,0)+IF(C19="O",0,0)+IF(C19="L",1,0)+Z19</f>
        <v>1</v>
      </c>
      <c r="AJ19" s="1" t="n">
        <f aca="false">IF(C19="V",-2,0)+IF(C19="E",-1,0)+IF(C19="O",0,0)+IF(C19="L",1,0)+Z19*2</f>
        <v>1</v>
      </c>
      <c r="AK19" s="1" t="n">
        <f aca="false">IF(D19="V",-2,0)+IF(D19="E",-1,0)+IF(D19="O",0,0)+IF(D19="L",1,0)</f>
        <v>-1</v>
      </c>
      <c r="AL19" s="1" t="n">
        <f aca="false">IF(D19="V",-2,0)+IF(D19="E",-1,0)+IF(D19="O",0,0)+IF(D19="L",1,0)+AA19</f>
        <v>-0.5</v>
      </c>
      <c r="AM19" s="1" t="n">
        <f aca="false">IF(D19="V",-2,0)+IF(D19="E",-1,0)+IF(D19="O",0,0)+IF(D19="L",1,0)+AA19*2</f>
        <v>0</v>
      </c>
      <c r="AN19" s="1" t="n">
        <f aca="false">(ABS(IF(AE19&lt;0,AE19*Early,AE19*Late))+ABS(IF(AF19&lt;0,AF19*Early,AF19*Late))+ABS(IF(AG19&lt;0,AG19*Early,AG19*Late)))/3</f>
        <v>1.5</v>
      </c>
      <c r="AO19" s="1" t="n">
        <f aca="false">(ABS(IF(AH19&lt;0,AH19*Early,AH19*Late))+ABS(IF(AI19&lt;0,AI19*Early,AI19*Late))+ABS(IF(AJ19&lt;0,AJ19*Early,AJ19*Late)))/3</f>
        <v>4</v>
      </c>
      <c r="AP19" s="1" t="n">
        <f aca="false">(ABS(IF(AK19&lt;0,AK19*Early,AK19*Late))+ABS(IF(AL19&lt;0,AL19*Early,AL19*Late))+ABS(IF(AM19&lt;0,AM19*Early,AM19*Late)))/3</f>
        <v>1.5</v>
      </c>
      <c r="AQ19" s="0" t="n">
        <f aca="false">Y19*Delay+AN19</f>
        <v>2</v>
      </c>
      <c r="AR19" s="0" t="n">
        <f aca="false">Z19*Delay+AO19</f>
        <v>4</v>
      </c>
      <c r="AS19" s="0" t="n">
        <f aca="false">AA19*Delay+AP19</f>
        <v>2</v>
      </c>
      <c r="AT19" s="0" t="n">
        <f aca="false">IF(AQ19=MIN(AQ18:AQ21),1,0)</f>
        <v>0</v>
      </c>
      <c r="AX19" s="0" t="str">
        <f aca="false">B19&amp;C19&amp;D19</f>
        <v>ELE</v>
      </c>
      <c r="AY19" s="1" t="n">
        <f aca="false">AQ19+AR19+AS19</f>
        <v>8</v>
      </c>
      <c r="AZ19" s="1" t="str">
        <f aca="false">RIGHT(AX19,2)</f>
        <v>LE</v>
      </c>
      <c r="BA19" s="1" t="str">
        <f aca="false">LEFT(AX19,1)&amp;RIGHT(AX19,1)</f>
        <v>EE</v>
      </c>
      <c r="BB19" s="1" t="str">
        <f aca="false">LEFT(AX19,2)</f>
        <v>EL</v>
      </c>
      <c r="BC19" s="1" t="n">
        <f aca="false">VLOOKUP(AZ19,TwoPlayers!$AG$1:$AH$17,2,FALSE())</f>
        <v>7</v>
      </c>
      <c r="BD19" s="1" t="n">
        <f aca="false">VLOOKUP(BA19,TwoPlayers!$AG$1:$AH$17,2,FALSE())</f>
        <v>4</v>
      </c>
      <c r="BE19" s="1" t="n">
        <f aca="false">VLOOKUP(BB19,TwoPlayers!$AG$1:$AH$17,2,FALSE())</f>
        <v>7</v>
      </c>
      <c r="BF19" s="1" t="n">
        <f aca="false">$AY19-BC19</f>
        <v>1</v>
      </c>
      <c r="BG19" s="1" t="n">
        <f aca="false">$AY19-BD19</f>
        <v>4</v>
      </c>
      <c r="BH19" s="1" t="n">
        <f aca="false">$AY19-BE19</f>
        <v>1</v>
      </c>
      <c r="BJ19" s="0" t="n">
        <f aca="false">AQ19+BF19</f>
        <v>3</v>
      </c>
      <c r="BK19" s="0" t="n">
        <f aca="false">AR19+BG19</f>
        <v>8</v>
      </c>
      <c r="BL19" s="0" t="n">
        <f aca="false">AS19+BH19</f>
        <v>3</v>
      </c>
      <c r="BM19" s="0" t="n">
        <f aca="false">IF(BJ19=MIN(BJ18:BJ22),1,0)</f>
        <v>0</v>
      </c>
    </row>
    <row r="20" customFormat="false" ht="13" hidden="false" customHeight="false" outlineLevel="0" collapsed="false">
      <c r="A20" s="0" t="n">
        <v>46</v>
      </c>
      <c r="B20" s="0" t="s">
        <v>3</v>
      </c>
      <c r="C20" s="0" t="s">
        <v>4</v>
      </c>
      <c r="D20" s="0" t="s">
        <v>2</v>
      </c>
      <c r="E20" s="0" t="n">
        <f aca="false">(IF($B20="V",1,0))+IF($C20="V",1,0)+IF($D20="V",1,0)</f>
        <v>0</v>
      </c>
      <c r="F20" s="0" t="n">
        <f aca="false">(IF($B20="E",1,0))+IF($C20="E",1,0)+IF($D20="E",1,0)</f>
        <v>1</v>
      </c>
      <c r="G20" s="0" t="n">
        <f aca="false">(IF($B20="O",1,0))+IF($C20="O",1,0)+IF($D20="O",1,0)</f>
        <v>1</v>
      </c>
      <c r="H20" s="0" t="n">
        <f aca="false">(IF($B20="L",1,0))+IF($C20="L",1,0)+IF($D20="L",1,0)</f>
        <v>1</v>
      </c>
      <c r="I20" s="0" t="n">
        <f aca="false">(IF(B20="V",1,0))</f>
        <v>0</v>
      </c>
      <c r="J20" s="0" t="n">
        <f aca="false">(IF(B20="E",1,0))</f>
        <v>0</v>
      </c>
      <c r="K20" s="0" t="n">
        <f aca="false">(IF(B20="O",1,0))</f>
        <v>1</v>
      </c>
      <c r="L20" s="0" t="n">
        <f aca="false">(IF(B20="L",1,0))</f>
        <v>0</v>
      </c>
      <c r="M20" s="0" t="n">
        <f aca="false">(IF(C20="V",1,0))</f>
        <v>0</v>
      </c>
      <c r="N20" s="0" t="n">
        <f aca="false">(IF(C20="E",1,0))</f>
        <v>0</v>
      </c>
      <c r="O20" s="0" t="n">
        <f aca="false">(IF(C20="O",1,0))</f>
        <v>0</v>
      </c>
      <c r="P20" s="0" t="n">
        <f aca="false">(IF(C20="L",1,0))</f>
        <v>1</v>
      </c>
      <c r="Q20" s="0" t="n">
        <f aca="false">(IF(D20="V",1,0))</f>
        <v>0</v>
      </c>
      <c r="R20" s="0" t="n">
        <f aca="false">(IF(D20="E",1,0))</f>
        <v>1</v>
      </c>
      <c r="S20" s="0" t="n">
        <f aca="false">(IF(D20="O",1,0))</f>
        <v>0</v>
      </c>
      <c r="T20" s="0" t="n">
        <f aca="false">(IF(D20="L",1,0))</f>
        <v>0</v>
      </c>
      <c r="U20" s="0" t="n">
        <f aca="false">MAX(E20-1,0)</f>
        <v>0</v>
      </c>
      <c r="V20" s="0" t="n">
        <f aca="false">MAX(U20-1+F20,0)</f>
        <v>0</v>
      </c>
      <c r="W20" s="0" t="n">
        <f aca="false">MAX(V20-1+G20,0)</f>
        <v>0</v>
      </c>
      <c r="X20" s="0" t="n">
        <f aca="false">MAX(W20-1+H20,0)</f>
        <v>0</v>
      </c>
      <c r="Y20" s="1" t="n">
        <f aca="false">0.5*(E20*I20+F20*J20+G20*K20+H20*L20-1)+(0+$U20*J20+$V20*K20+$W20*L20)</f>
        <v>0</v>
      </c>
      <c r="Z20" s="1" t="n">
        <f aca="false">0.5*(E20*M20+F20*N20+G20*O20+H20*P20-1)+(0+$U20*N20+$V20*O20+$W20*P20)</f>
        <v>0</v>
      </c>
      <c r="AA20" s="1" t="n">
        <f aca="false">0.5*(E20*Q20+F20*R20+G20*S20+H20*T20-1)+(0+$U20*R20+$V20*S20+$W20*T20)</f>
        <v>0</v>
      </c>
      <c r="AB20" s="0" t="n">
        <f aca="false">IF(B20="V",-2,0)+IF(B20="E",-1,0)+IF(B20="O",0,0)+IF(B20="L",1,0)+Y20</f>
        <v>0</v>
      </c>
      <c r="AC20" s="0" t="n">
        <f aca="false">IF(C20="V",-2,0)+IF(C20="E",-1,0)+IF(C20="O",0,0)+IF(C20="L",1,0)+Z20</f>
        <v>1</v>
      </c>
      <c r="AD20" s="0" t="n">
        <f aca="false">IF(D20="V",-2,0)+IF(D20="E",-1,0)+IF(D20="O",0,0)+IF(D20="L",1,0)+AA20</f>
        <v>-1</v>
      </c>
      <c r="AE20" s="1" t="n">
        <f aca="false">IF(B20="V",-2,0)+IF(B20="E",-1,0)+IF(B20="O",0,0)+IF(B20="L",1,0)</f>
        <v>0</v>
      </c>
      <c r="AF20" s="1" t="n">
        <f aca="false">IF(B20="V",-2,0)+IF(B20="E",-1,0)+IF(B20="O",0,0)+IF(B20="L",1,0)+Y20</f>
        <v>0</v>
      </c>
      <c r="AG20" s="1" t="n">
        <f aca="false">IF(B20="V",-2,0)+IF(B20="E",-1,0)+IF(B20="O",0,0)+IF(B20="L",1,0)+Y20*2</f>
        <v>0</v>
      </c>
      <c r="AH20" s="1" t="n">
        <f aca="false">IF(C20="V",-2,0)+IF(C20="E",-1,0)+IF(C20="O",0,0)+IF(C20="L",1,0)</f>
        <v>1</v>
      </c>
      <c r="AI20" s="1" t="n">
        <f aca="false">IF(C20="V",-2,0)+IF(C20="E",-1,0)+IF(C20="O",0,0)+IF(C20="L",1,0)+Z20</f>
        <v>1</v>
      </c>
      <c r="AJ20" s="1" t="n">
        <f aca="false">IF(C20="V",-2,0)+IF(C20="E",-1,0)+IF(C20="O",0,0)+IF(C20="L",1,0)+Z20*2</f>
        <v>1</v>
      </c>
      <c r="AK20" s="1" t="n">
        <f aca="false">IF(D20="V",-2,0)+IF(D20="E",-1,0)+IF(D20="O",0,0)+IF(D20="L",1,0)</f>
        <v>-1</v>
      </c>
      <c r="AL20" s="1" t="n">
        <f aca="false">IF(D20="V",-2,0)+IF(D20="E",-1,0)+IF(D20="O",0,0)+IF(D20="L",1,0)+AA20</f>
        <v>-1</v>
      </c>
      <c r="AM20" s="1" t="n">
        <f aca="false">IF(D20="V",-2,0)+IF(D20="E",-1,0)+IF(D20="O",0,0)+IF(D20="L",1,0)+AA20*2</f>
        <v>-1</v>
      </c>
      <c r="AN20" s="1" t="n">
        <f aca="false">(ABS(IF(AE20&lt;0,AE20*Early,AE20*Late))+ABS(IF(AF20&lt;0,AF20*Early,AF20*Late))+ABS(IF(AG20&lt;0,AG20*Early,AG20*Late)))/3</f>
        <v>0</v>
      </c>
      <c r="AO20" s="1" t="n">
        <f aca="false">(ABS(IF(AH20&lt;0,AH20*Early,AH20*Late))+ABS(IF(AI20&lt;0,AI20*Early,AI20*Late))+ABS(IF(AJ20&lt;0,AJ20*Early,AJ20*Late)))/3</f>
        <v>4</v>
      </c>
      <c r="AP20" s="1" t="n">
        <f aca="false">(ABS(IF(AK20&lt;0,AK20*Early,AK20*Late))+ABS(IF(AL20&lt;0,AL20*Early,AL20*Late))+ABS(IF(AM20&lt;0,AM20*Early,AM20*Late)))/3</f>
        <v>3</v>
      </c>
      <c r="AQ20" s="0" t="n">
        <f aca="false">Y20*Delay+AN20</f>
        <v>0</v>
      </c>
      <c r="AR20" s="0" t="n">
        <f aca="false">Z20*Delay+AO20</f>
        <v>4</v>
      </c>
      <c r="AS20" s="0" t="n">
        <f aca="false">AA20*Delay+AP20</f>
        <v>3</v>
      </c>
      <c r="AT20" s="0" t="n">
        <f aca="false">IF(AQ20=MIN(AQ18:AQ21),1,0)</f>
        <v>1</v>
      </c>
      <c r="AX20" s="0" t="str">
        <f aca="false">B20&amp;C20&amp;D20</f>
        <v>OLE</v>
      </c>
      <c r="AY20" s="1" t="n">
        <f aca="false">AQ20+AR20+AS20</f>
        <v>7</v>
      </c>
      <c r="AZ20" s="1" t="str">
        <f aca="false">RIGHT(AX20,2)</f>
        <v>LE</v>
      </c>
      <c r="BA20" s="1" t="str">
        <f aca="false">LEFT(AX20,1)&amp;RIGHT(AX20,1)</f>
        <v>OE</v>
      </c>
      <c r="BB20" s="1" t="str">
        <f aca="false">LEFT(AX20,2)</f>
        <v>OL</v>
      </c>
      <c r="BC20" s="1" t="n">
        <f aca="false">VLOOKUP(AZ20,TwoPlayers!$AG$1:$AH$17,2,FALSE())</f>
        <v>7</v>
      </c>
      <c r="BD20" s="1" t="n">
        <f aca="false">VLOOKUP(BA20,TwoPlayers!$AG$1:$AH$17,2,FALSE())</f>
        <v>3</v>
      </c>
      <c r="BE20" s="1" t="n">
        <f aca="false">VLOOKUP(BB20,TwoPlayers!$AG$1:$AH$17,2,FALSE())</f>
        <v>4</v>
      </c>
      <c r="BF20" s="1" t="n">
        <f aca="false">$AY20-BC20</f>
        <v>0</v>
      </c>
      <c r="BG20" s="1" t="n">
        <f aca="false">$AY20-BD20</f>
        <v>4</v>
      </c>
      <c r="BH20" s="1" t="n">
        <f aca="false">$AY20-BE20</f>
        <v>3</v>
      </c>
      <c r="BJ20" s="0" t="n">
        <f aca="false">AQ20+BF20</f>
        <v>0</v>
      </c>
      <c r="BK20" s="0" t="n">
        <f aca="false">AR20+BG20</f>
        <v>8</v>
      </c>
      <c r="BL20" s="0" t="n">
        <f aca="false">AS20+BH20</f>
        <v>6</v>
      </c>
      <c r="BM20" s="0" t="n">
        <f aca="false">IF(BJ20=MIN(BJ18:BJ22),1,0)</f>
        <v>1</v>
      </c>
    </row>
    <row r="21" customFormat="false" ht="13" hidden="false" customHeight="false" outlineLevel="0" collapsed="false">
      <c r="A21" s="0" t="n">
        <v>62</v>
      </c>
      <c r="B21" s="0" t="s">
        <v>4</v>
      </c>
      <c r="C21" s="0" t="s">
        <v>4</v>
      </c>
      <c r="D21" s="0" t="s">
        <v>2</v>
      </c>
      <c r="E21" s="0" t="n">
        <f aca="false">(IF($B21="V",1,0))+IF($C21="V",1,0)+IF($D21="V",1,0)</f>
        <v>0</v>
      </c>
      <c r="F21" s="0" t="n">
        <f aca="false">(IF($B21="E",1,0))+IF($C21="E",1,0)+IF($D21="E",1,0)</f>
        <v>1</v>
      </c>
      <c r="G21" s="0" t="n">
        <f aca="false">(IF($B21="O",1,0))+IF($C21="O",1,0)+IF($D21="O",1,0)</f>
        <v>0</v>
      </c>
      <c r="H21" s="0" t="n">
        <f aca="false">(IF($B21="L",1,0))+IF($C21="L",1,0)+IF($D21="L",1,0)</f>
        <v>2</v>
      </c>
      <c r="I21" s="0" t="n">
        <f aca="false">(IF(B21="V",1,0))</f>
        <v>0</v>
      </c>
      <c r="J21" s="0" t="n">
        <f aca="false">(IF(B21="E",1,0))</f>
        <v>0</v>
      </c>
      <c r="K21" s="0" t="n">
        <f aca="false">(IF(B21="O",1,0))</f>
        <v>0</v>
      </c>
      <c r="L21" s="0" t="n">
        <f aca="false">(IF(B21="L",1,0))</f>
        <v>1</v>
      </c>
      <c r="M21" s="0" t="n">
        <f aca="false">(IF(C21="V",1,0))</f>
        <v>0</v>
      </c>
      <c r="N21" s="0" t="n">
        <f aca="false">(IF(C21="E",1,0))</f>
        <v>0</v>
      </c>
      <c r="O21" s="0" t="n">
        <f aca="false">(IF(C21="O",1,0))</f>
        <v>0</v>
      </c>
      <c r="P21" s="0" t="n">
        <f aca="false">(IF(C21="L",1,0))</f>
        <v>1</v>
      </c>
      <c r="Q21" s="0" t="n">
        <f aca="false">(IF(D21="V",1,0))</f>
        <v>0</v>
      </c>
      <c r="R21" s="0" t="n">
        <f aca="false">(IF(D21="E",1,0))</f>
        <v>1</v>
      </c>
      <c r="S21" s="0" t="n">
        <f aca="false">(IF(D21="O",1,0))</f>
        <v>0</v>
      </c>
      <c r="T21" s="0" t="n">
        <f aca="false">(IF(D21="L",1,0))</f>
        <v>0</v>
      </c>
      <c r="U21" s="0" t="n">
        <f aca="false">MAX(E21-1,0)</f>
        <v>0</v>
      </c>
      <c r="V21" s="0" t="n">
        <f aca="false">MAX(U21-1+F21,0)</f>
        <v>0</v>
      </c>
      <c r="W21" s="0" t="n">
        <f aca="false">MAX(V21-1+G21,0)</f>
        <v>0</v>
      </c>
      <c r="X21" s="0" t="n">
        <f aca="false">MAX(W21-1+H21,0)</f>
        <v>1</v>
      </c>
      <c r="Y21" s="1" t="n">
        <f aca="false">0.5*(E21*I21+F21*J21+G21*K21+H21*L21-1)+(0+$U21*J21+$V21*K21+$W21*L21)</f>
        <v>0.5</v>
      </c>
      <c r="Z21" s="1" t="n">
        <f aca="false">0.5*(E21*M21+F21*N21+G21*O21+H21*P21-1)+(0+$U21*N21+$V21*O21+$W21*P21)</f>
        <v>0.5</v>
      </c>
      <c r="AA21" s="1" t="n">
        <f aca="false">0.5*(E21*Q21+F21*R21+G21*S21+H21*T21-1)+(0+$U21*R21+$V21*S21+$W21*T21)</f>
        <v>0</v>
      </c>
      <c r="AB21" s="0" t="n">
        <f aca="false">IF(B21="V",-2,0)+IF(B21="E",-1,0)+IF(B21="O",0,0)+IF(B21="L",1,0)+Y21</f>
        <v>1.5</v>
      </c>
      <c r="AC21" s="0" t="n">
        <f aca="false">IF(C21="V",-2,0)+IF(C21="E",-1,0)+IF(C21="O",0,0)+IF(C21="L",1,0)+Z21</f>
        <v>1.5</v>
      </c>
      <c r="AD21" s="0" t="n">
        <f aca="false">IF(D21="V",-2,0)+IF(D21="E",-1,0)+IF(D21="O",0,0)+IF(D21="L",1,0)+AA21</f>
        <v>-1</v>
      </c>
      <c r="AE21" s="1" t="n">
        <f aca="false">IF(B21="V",-2,0)+IF(B21="E",-1,0)+IF(B21="O",0,0)+IF(B21="L",1,0)</f>
        <v>1</v>
      </c>
      <c r="AF21" s="1" t="n">
        <f aca="false">IF(B21="V",-2,0)+IF(B21="E",-1,0)+IF(B21="O",0,0)+IF(B21="L",1,0)+Y21</f>
        <v>1.5</v>
      </c>
      <c r="AG21" s="1" t="n">
        <f aca="false">IF(B21="V",-2,0)+IF(B21="E",-1,0)+IF(B21="O",0,0)+IF(B21="L",1,0)+Y21*2</f>
        <v>2</v>
      </c>
      <c r="AH21" s="1" t="n">
        <f aca="false">IF(C21="V",-2,0)+IF(C21="E",-1,0)+IF(C21="O",0,0)+IF(C21="L",1,0)</f>
        <v>1</v>
      </c>
      <c r="AI21" s="1" t="n">
        <f aca="false">IF(C21="V",-2,0)+IF(C21="E",-1,0)+IF(C21="O",0,0)+IF(C21="L",1,0)+Z21</f>
        <v>1.5</v>
      </c>
      <c r="AJ21" s="1" t="n">
        <f aca="false">IF(C21="V",-2,0)+IF(C21="E",-1,0)+IF(C21="O",0,0)+IF(C21="L",1,0)+Z21*2</f>
        <v>2</v>
      </c>
      <c r="AK21" s="1" t="n">
        <f aca="false">IF(D21="V",-2,0)+IF(D21="E",-1,0)+IF(D21="O",0,0)+IF(D21="L",1,0)</f>
        <v>-1</v>
      </c>
      <c r="AL21" s="1" t="n">
        <f aca="false">IF(D21="V",-2,0)+IF(D21="E",-1,0)+IF(D21="O",0,0)+IF(D21="L",1,0)+AA21</f>
        <v>-1</v>
      </c>
      <c r="AM21" s="1" t="n">
        <f aca="false">IF(D21="V",-2,0)+IF(D21="E",-1,0)+IF(D21="O",0,0)+IF(D21="L",1,0)+AA21*2</f>
        <v>-1</v>
      </c>
      <c r="AN21" s="1" t="n">
        <f aca="false">(ABS(IF(AE21&lt;0,AE21*Early,AE21*Late))+ABS(IF(AF21&lt;0,AF21*Early,AF21*Late))+ABS(IF(AG21&lt;0,AG21*Early,AG21*Late)))/3</f>
        <v>6</v>
      </c>
      <c r="AO21" s="1" t="n">
        <f aca="false">(ABS(IF(AH21&lt;0,AH21*Early,AH21*Late))+ABS(IF(AI21&lt;0,AI21*Early,AI21*Late))+ABS(IF(AJ21&lt;0,AJ21*Early,AJ21*Late)))/3</f>
        <v>6</v>
      </c>
      <c r="AP21" s="1" t="n">
        <f aca="false">(ABS(IF(AK21&lt;0,AK21*Early,AK21*Late))+ABS(IF(AL21&lt;0,AL21*Early,AL21*Late))+ABS(IF(AM21&lt;0,AM21*Early,AM21*Late)))/3</f>
        <v>3</v>
      </c>
      <c r="AQ21" s="0" t="n">
        <f aca="false">Y21*Delay+AN21</f>
        <v>6.5</v>
      </c>
      <c r="AR21" s="0" t="n">
        <f aca="false">Z21*Delay+AO21</f>
        <v>6.5</v>
      </c>
      <c r="AS21" s="0" t="n">
        <f aca="false">AA21*Delay+AP21</f>
        <v>3</v>
      </c>
      <c r="AT21" s="0" t="n">
        <f aca="false">IF(AQ21=MIN(AQ18:AQ21),1,0)</f>
        <v>0</v>
      </c>
      <c r="AX21" s="0" t="str">
        <f aca="false">B21&amp;C21&amp;D21</f>
        <v>LLE</v>
      </c>
      <c r="AY21" s="1" t="n">
        <f aca="false">AQ21+AR21+AS21</f>
        <v>16</v>
      </c>
      <c r="AZ21" s="1" t="str">
        <f aca="false">RIGHT(AX21,2)</f>
        <v>LE</v>
      </c>
      <c r="BA21" s="1" t="str">
        <f aca="false">LEFT(AX21,1)&amp;RIGHT(AX21,1)</f>
        <v>LE</v>
      </c>
      <c r="BB21" s="1" t="str">
        <f aca="false">LEFT(AX21,2)</f>
        <v>LL</v>
      </c>
      <c r="BC21" s="1" t="n">
        <f aca="false">VLOOKUP(AZ21,TwoPlayers!$AG$1:$AH$17,2,FALSE())</f>
        <v>7</v>
      </c>
      <c r="BD21" s="1" t="n">
        <f aca="false">VLOOKUP(BA21,TwoPlayers!$AG$1:$AH$17,2,FALSE())</f>
        <v>7</v>
      </c>
      <c r="BE21" s="1" t="n">
        <f aca="false">VLOOKUP(BB21,TwoPlayers!$AG$1:$AH$17,2,FALSE())</f>
        <v>13</v>
      </c>
      <c r="BF21" s="1" t="n">
        <f aca="false">$AY21-BC21</f>
        <v>9</v>
      </c>
      <c r="BG21" s="1" t="n">
        <f aca="false">$AY21-BD21</f>
        <v>9</v>
      </c>
      <c r="BH21" s="1" t="n">
        <f aca="false">$AY21-BE21</f>
        <v>3</v>
      </c>
      <c r="BJ21" s="0" t="n">
        <f aca="false">AQ21+BF21</f>
        <v>15.5</v>
      </c>
      <c r="BK21" s="0" t="n">
        <f aca="false">AR21+BG21</f>
        <v>15.5</v>
      </c>
      <c r="BL21" s="0" t="n">
        <f aca="false">AS21+BH21</f>
        <v>6</v>
      </c>
      <c r="BM21" s="0" t="n">
        <f aca="false">IF(BJ21=MIN(BJ18:BJ22),1,0)</f>
        <v>0</v>
      </c>
    </row>
    <row r="22" customFormat="false" ht="13" hidden="false" customHeight="false" outlineLevel="0" collapsed="false">
      <c r="A22" s="0" t="n">
        <v>16</v>
      </c>
      <c r="B22" s="0" t="s">
        <v>1</v>
      </c>
      <c r="C22" s="0" t="s">
        <v>4</v>
      </c>
      <c r="D22" s="0" t="s">
        <v>4</v>
      </c>
      <c r="E22" s="0" t="n">
        <f aca="false">(IF($B22="V",1,0))+IF($C22="V",1,0)+IF($D22="V",1,0)</f>
        <v>1</v>
      </c>
      <c r="F22" s="0" t="n">
        <f aca="false">(IF($B22="E",1,0))+IF($C22="E",1,0)+IF($D22="E",1,0)</f>
        <v>0</v>
      </c>
      <c r="G22" s="0" t="n">
        <f aca="false">(IF($B22="O",1,0))+IF($C22="O",1,0)+IF($D22="O",1,0)</f>
        <v>0</v>
      </c>
      <c r="H22" s="0" t="n">
        <f aca="false">(IF($B22="L",1,0))+IF($C22="L",1,0)+IF($D22="L",1,0)</f>
        <v>2</v>
      </c>
      <c r="I22" s="0" t="n">
        <f aca="false">(IF(B22="V",1,0))</f>
        <v>1</v>
      </c>
      <c r="J22" s="0" t="n">
        <f aca="false">(IF(B22="E",1,0))</f>
        <v>0</v>
      </c>
      <c r="K22" s="0" t="n">
        <f aca="false">(IF(B22="O",1,0))</f>
        <v>0</v>
      </c>
      <c r="L22" s="0" t="n">
        <f aca="false">(IF(B22="L",1,0))</f>
        <v>0</v>
      </c>
      <c r="M22" s="0" t="n">
        <f aca="false">(IF(C22="V",1,0))</f>
        <v>0</v>
      </c>
      <c r="N22" s="0" t="n">
        <f aca="false">(IF(C22="E",1,0))</f>
        <v>0</v>
      </c>
      <c r="O22" s="0" t="n">
        <f aca="false">(IF(C22="O",1,0))</f>
        <v>0</v>
      </c>
      <c r="P22" s="0" t="n">
        <f aca="false">(IF(C22="L",1,0))</f>
        <v>1</v>
      </c>
      <c r="Q22" s="0" t="n">
        <f aca="false">(IF(D22="V",1,0))</f>
        <v>0</v>
      </c>
      <c r="R22" s="0" t="n">
        <f aca="false">(IF(D22="E",1,0))</f>
        <v>0</v>
      </c>
      <c r="S22" s="0" t="n">
        <f aca="false">(IF(D22="O",1,0))</f>
        <v>0</v>
      </c>
      <c r="T22" s="0" t="n">
        <f aca="false">(IF(D22="L",1,0))</f>
        <v>1</v>
      </c>
      <c r="U22" s="0" t="n">
        <f aca="false">MAX(E22-1,0)</f>
        <v>0</v>
      </c>
      <c r="V22" s="0" t="n">
        <f aca="false">MAX(U22-1+F22,0)</f>
        <v>0</v>
      </c>
      <c r="W22" s="0" t="n">
        <f aca="false">MAX(V22-1+G22,0)</f>
        <v>0</v>
      </c>
      <c r="X22" s="0" t="n">
        <f aca="false">MAX(W22-1+H22,0)</f>
        <v>1</v>
      </c>
      <c r="Y22" s="1" t="n">
        <f aca="false">0.5*(E22*I22+F22*J22+G22*K22+H22*L22-1)+(0+$U22*J22+$V22*K22+$W22*L22)</f>
        <v>0</v>
      </c>
      <c r="Z22" s="1" t="n">
        <f aca="false">0.5*(E22*M22+F22*N22+G22*O22+H22*P22-1)+(0+$U22*N22+$V22*O22+$W22*P22)</f>
        <v>0.5</v>
      </c>
      <c r="AA22" s="1" t="n">
        <f aca="false">0.5*(E22*Q22+F22*R22+G22*S22+H22*T22-1)+(0+$U22*R22+$V22*S22+$W22*T22)</f>
        <v>0.5</v>
      </c>
      <c r="AB22" s="0" t="n">
        <f aca="false">IF(B22="V",-2,0)+IF(B22="E",-1,0)+IF(B22="O",0,0)+IF(B22="L",1,0)+Y22</f>
        <v>-2</v>
      </c>
      <c r="AC22" s="0" t="n">
        <f aca="false">IF(C22="V",-2,0)+IF(C22="E",-1,0)+IF(C22="O",0,0)+IF(C22="L",1,0)+Z22</f>
        <v>1.5</v>
      </c>
      <c r="AD22" s="0" t="n">
        <f aca="false">IF(D22="V",-2,0)+IF(D22="E",-1,0)+IF(D22="O",0,0)+IF(D22="L",1,0)+AA22</f>
        <v>1.5</v>
      </c>
      <c r="AE22" s="1" t="n">
        <f aca="false">IF(B22="V",-2,0)+IF(B22="E",-1,0)+IF(B22="O",0,0)+IF(B22="L",1,0)</f>
        <v>-2</v>
      </c>
      <c r="AF22" s="1" t="n">
        <f aca="false">IF(B22="V",-2,0)+IF(B22="E",-1,0)+IF(B22="O",0,0)+IF(B22="L",1,0)+Y22</f>
        <v>-2</v>
      </c>
      <c r="AG22" s="1" t="n">
        <f aca="false">IF(B22="V",-2,0)+IF(B22="E",-1,0)+IF(B22="O",0,0)+IF(B22="L",1,0)+Y22*2</f>
        <v>-2</v>
      </c>
      <c r="AH22" s="1" t="n">
        <f aca="false">IF(C22="V",-2,0)+IF(C22="E",-1,0)+IF(C22="O",0,0)+IF(C22="L",1,0)</f>
        <v>1</v>
      </c>
      <c r="AI22" s="1" t="n">
        <f aca="false">IF(C22="V",-2,0)+IF(C22="E",-1,0)+IF(C22="O",0,0)+IF(C22="L",1,0)+Z22</f>
        <v>1.5</v>
      </c>
      <c r="AJ22" s="1" t="n">
        <f aca="false">IF(C22="V",-2,0)+IF(C22="E",-1,0)+IF(C22="O",0,0)+IF(C22="L",1,0)+Z22*2</f>
        <v>2</v>
      </c>
      <c r="AK22" s="1" t="n">
        <f aca="false">IF(D22="V",-2,0)+IF(D22="E",-1,0)+IF(D22="O",0,0)+IF(D22="L",1,0)</f>
        <v>1</v>
      </c>
      <c r="AL22" s="1" t="n">
        <f aca="false">IF(D22="V",-2,0)+IF(D22="E",-1,0)+IF(D22="O",0,0)+IF(D22="L",1,0)+AA22</f>
        <v>1.5</v>
      </c>
      <c r="AM22" s="1" t="n">
        <f aca="false">IF(D22="V",-2,0)+IF(D22="E",-1,0)+IF(D22="O",0,0)+IF(D22="L",1,0)+AA22*2</f>
        <v>2</v>
      </c>
      <c r="AN22" s="1" t="n">
        <f aca="false">(ABS(IF(AE22&lt;0,AE22*Early,AE22*Late))+ABS(IF(AF22&lt;0,AF22*Early,AF22*Late))+ABS(IF(AG22&lt;0,AG22*Early,AG22*Late)))/3</f>
        <v>6</v>
      </c>
      <c r="AO22" s="1" t="n">
        <f aca="false">(ABS(IF(AH22&lt;0,AH22*Early,AH22*Late))+ABS(IF(AI22&lt;0,AI22*Early,AI22*Late))+ABS(IF(AJ22&lt;0,AJ22*Early,AJ22*Late)))/3</f>
        <v>6</v>
      </c>
      <c r="AP22" s="1" t="n">
        <f aca="false">(ABS(IF(AK22&lt;0,AK22*Early,AK22*Late))+ABS(IF(AL22&lt;0,AL22*Early,AL22*Late))+ABS(IF(AM22&lt;0,AM22*Early,AM22*Late)))/3</f>
        <v>6</v>
      </c>
      <c r="AQ22" s="0" t="n">
        <f aca="false">Y22*Delay+AN22</f>
        <v>6</v>
      </c>
      <c r="AR22" s="0" t="n">
        <f aca="false">Z22*Delay+AO22</f>
        <v>6.5</v>
      </c>
      <c r="AS22" s="0" t="n">
        <f aca="false">AA22*Delay+AP22</f>
        <v>6.5</v>
      </c>
      <c r="AT22" s="0" t="n">
        <f aca="false">IF(AQ22=MIN(AQ22:AQ25),1,0)</f>
        <v>0</v>
      </c>
      <c r="AX22" s="0" t="str">
        <f aca="false">B22&amp;C22&amp;D22</f>
        <v>VLL</v>
      </c>
      <c r="AY22" s="1" t="n">
        <f aca="false">AQ22+AR22+AS22</f>
        <v>19</v>
      </c>
      <c r="AZ22" s="1" t="str">
        <f aca="false">RIGHT(AX22,2)</f>
        <v>LL</v>
      </c>
      <c r="BA22" s="1" t="str">
        <f aca="false">LEFT(AX22,1)&amp;RIGHT(AX22,1)</f>
        <v>VL</v>
      </c>
      <c r="BB22" s="1" t="str">
        <f aca="false">LEFT(AX22,2)</f>
        <v>VL</v>
      </c>
      <c r="BC22" s="1" t="n">
        <f aca="false">VLOOKUP(AZ22,TwoPlayers!$AG$1:$AH$17,2,FALSE())</f>
        <v>13</v>
      </c>
      <c r="BD22" s="1" t="n">
        <f aca="false">VLOOKUP(BA22,TwoPlayers!$AG$1:$AH$17,2,FALSE())</f>
        <v>10</v>
      </c>
      <c r="BE22" s="1" t="n">
        <f aca="false">VLOOKUP(BB22,TwoPlayers!$AG$1:$AH$17,2,FALSE())</f>
        <v>10</v>
      </c>
      <c r="BF22" s="1" t="n">
        <f aca="false">$AY22-BC22</f>
        <v>6</v>
      </c>
      <c r="BG22" s="1" t="n">
        <f aca="false">$AY22-BD22</f>
        <v>9</v>
      </c>
      <c r="BH22" s="1" t="n">
        <f aca="false">$AY22-BE22</f>
        <v>9</v>
      </c>
      <c r="BJ22" s="0" t="n">
        <f aca="false">AQ22+BF22</f>
        <v>12</v>
      </c>
      <c r="BK22" s="0" t="n">
        <f aca="false">AR22+BG22</f>
        <v>15.5</v>
      </c>
      <c r="BL22" s="0" t="n">
        <f aca="false">AS22+BH22</f>
        <v>15.5</v>
      </c>
      <c r="BM22" s="0" t="n">
        <f aca="false">IF(BJ22=MIN(BJ22:BJ26),1,0)</f>
        <v>0</v>
      </c>
    </row>
    <row r="23" customFormat="false" ht="13" hidden="false" customHeight="false" outlineLevel="0" collapsed="false">
      <c r="A23" s="0" t="n">
        <v>32</v>
      </c>
      <c r="B23" s="0" t="s">
        <v>2</v>
      </c>
      <c r="C23" s="0" t="s">
        <v>4</v>
      </c>
      <c r="D23" s="0" t="s">
        <v>4</v>
      </c>
      <c r="E23" s="0" t="n">
        <f aca="false">(IF($B23="V",1,0))+IF($C23="V",1,0)+IF($D23="V",1,0)</f>
        <v>0</v>
      </c>
      <c r="F23" s="0" t="n">
        <f aca="false">(IF($B23="E",1,0))+IF($C23="E",1,0)+IF($D23="E",1,0)</f>
        <v>1</v>
      </c>
      <c r="G23" s="0" t="n">
        <f aca="false">(IF($B23="O",1,0))+IF($C23="O",1,0)+IF($D23="O",1,0)</f>
        <v>0</v>
      </c>
      <c r="H23" s="0" t="n">
        <f aca="false">(IF($B23="L",1,0))+IF($C23="L",1,0)+IF($D23="L",1,0)</f>
        <v>2</v>
      </c>
      <c r="I23" s="0" t="n">
        <f aca="false">(IF(B23="V",1,0))</f>
        <v>0</v>
      </c>
      <c r="J23" s="0" t="n">
        <f aca="false">(IF(B23="E",1,0))</f>
        <v>1</v>
      </c>
      <c r="K23" s="0" t="n">
        <f aca="false">(IF(B23="O",1,0))</f>
        <v>0</v>
      </c>
      <c r="L23" s="0" t="n">
        <f aca="false">(IF(B23="L",1,0))</f>
        <v>0</v>
      </c>
      <c r="M23" s="0" t="n">
        <f aca="false">(IF(C23="V",1,0))</f>
        <v>0</v>
      </c>
      <c r="N23" s="0" t="n">
        <f aca="false">(IF(C23="E",1,0))</f>
        <v>0</v>
      </c>
      <c r="O23" s="0" t="n">
        <f aca="false">(IF(C23="O",1,0))</f>
        <v>0</v>
      </c>
      <c r="P23" s="0" t="n">
        <f aca="false">(IF(C23="L",1,0))</f>
        <v>1</v>
      </c>
      <c r="Q23" s="0" t="n">
        <f aca="false">(IF(D23="V",1,0))</f>
        <v>0</v>
      </c>
      <c r="R23" s="0" t="n">
        <f aca="false">(IF(D23="E",1,0))</f>
        <v>0</v>
      </c>
      <c r="S23" s="0" t="n">
        <f aca="false">(IF(D23="O",1,0))</f>
        <v>0</v>
      </c>
      <c r="T23" s="0" t="n">
        <f aca="false">(IF(D23="L",1,0))</f>
        <v>1</v>
      </c>
      <c r="U23" s="0" t="n">
        <f aca="false">MAX(E23-1,0)</f>
        <v>0</v>
      </c>
      <c r="V23" s="0" t="n">
        <f aca="false">MAX(U23-1+F23,0)</f>
        <v>0</v>
      </c>
      <c r="W23" s="0" t="n">
        <f aca="false">MAX(V23-1+G23,0)</f>
        <v>0</v>
      </c>
      <c r="X23" s="0" t="n">
        <f aca="false">MAX(W23-1+H23,0)</f>
        <v>1</v>
      </c>
      <c r="Y23" s="1" t="n">
        <f aca="false">0.5*(E23*I23+F23*J23+G23*K23+H23*L23-1)+(0+$U23*J23+$V23*K23+$W23*L23)</f>
        <v>0</v>
      </c>
      <c r="Z23" s="1" t="n">
        <f aca="false">0.5*(E23*M23+F23*N23+G23*O23+H23*P23-1)+(0+$U23*N23+$V23*O23+$W23*P23)</f>
        <v>0.5</v>
      </c>
      <c r="AA23" s="1" t="n">
        <f aca="false">0.5*(E23*Q23+F23*R23+G23*S23+H23*T23-1)+(0+$U23*R23+$V23*S23+$W23*T23)</f>
        <v>0.5</v>
      </c>
      <c r="AB23" s="0" t="n">
        <f aca="false">IF(B23="V",-2,0)+IF(B23="E",-1,0)+IF(B23="O",0,0)+IF(B23="L",1,0)+Y23</f>
        <v>-1</v>
      </c>
      <c r="AC23" s="0" t="n">
        <f aca="false">IF(C23="V",-2,0)+IF(C23="E",-1,0)+IF(C23="O",0,0)+IF(C23="L",1,0)+Z23</f>
        <v>1.5</v>
      </c>
      <c r="AD23" s="0" t="n">
        <f aca="false">IF(D23="V",-2,0)+IF(D23="E",-1,0)+IF(D23="O",0,0)+IF(D23="L",1,0)+AA23</f>
        <v>1.5</v>
      </c>
      <c r="AE23" s="1" t="n">
        <f aca="false">IF(B23="V",-2,0)+IF(B23="E",-1,0)+IF(B23="O",0,0)+IF(B23="L",1,0)</f>
        <v>-1</v>
      </c>
      <c r="AF23" s="1" t="n">
        <f aca="false">IF(B23="V",-2,0)+IF(B23="E",-1,0)+IF(B23="O",0,0)+IF(B23="L",1,0)+Y23</f>
        <v>-1</v>
      </c>
      <c r="AG23" s="1" t="n">
        <f aca="false">IF(B23="V",-2,0)+IF(B23="E",-1,0)+IF(B23="O",0,0)+IF(B23="L",1,0)+Y23*2</f>
        <v>-1</v>
      </c>
      <c r="AH23" s="1" t="n">
        <f aca="false">IF(C23="V",-2,0)+IF(C23="E",-1,0)+IF(C23="O",0,0)+IF(C23="L",1,0)</f>
        <v>1</v>
      </c>
      <c r="AI23" s="1" t="n">
        <f aca="false">IF(C23="V",-2,0)+IF(C23="E",-1,0)+IF(C23="O",0,0)+IF(C23="L",1,0)+Z23</f>
        <v>1.5</v>
      </c>
      <c r="AJ23" s="1" t="n">
        <f aca="false">IF(C23="V",-2,0)+IF(C23="E",-1,0)+IF(C23="O",0,0)+IF(C23="L",1,0)+Z23*2</f>
        <v>2</v>
      </c>
      <c r="AK23" s="1" t="n">
        <f aca="false">IF(D23="V",-2,0)+IF(D23="E",-1,0)+IF(D23="O",0,0)+IF(D23="L",1,0)</f>
        <v>1</v>
      </c>
      <c r="AL23" s="1" t="n">
        <f aca="false">IF(D23="V",-2,0)+IF(D23="E",-1,0)+IF(D23="O",0,0)+IF(D23="L",1,0)+AA23</f>
        <v>1.5</v>
      </c>
      <c r="AM23" s="1" t="n">
        <f aca="false">IF(D23="V",-2,0)+IF(D23="E",-1,0)+IF(D23="O",0,0)+IF(D23="L",1,0)+AA23*2</f>
        <v>2</v>
      </c>
      <c r="AN23" s="1" t="n">
        <f aca="false">(ABS(IF(AE23&lt;0,AE23*Early,AE23*Late))+ABS(IF(AF23&lt;0,AF23*Early,AF23*Late))+ABS(IF(AG23&lt;0,AG23*Early,AG23*Late)))/3</f>
        <v>3</v>
      </c>
      <c r="AO23" s="1" t="n">
        <f aca="false">(ABS(IF(AH23&lt;0,AH23*Early,AH23*Late))+ABS(IF(AI23&lt;0,AI23*Early,AI23*Late))+ABS(IF(AJ23&lt;0,AJ23*Early,AJ23*Late)))/3</f>
        <v>6</v>
      </c>
      <c r="AP23" s="1" t="n">
        <f aca="false">(ABS(IF(AK23&lt;0,AK23*Early,AK23*Late))+ABS(IF(AL23&lt;0,AL23*Early,AL23*Late))+ABS(IF(AM23&lt;0,AM23*Early,AM23*Late)))/3</f>
        <v>6</v>
      </c>
      <c r="AQ23" s="0" t="n">
        <f aca="false">Y23*Delay+AN23</f>
        <v>3</v>
      </c>
      <c r="AR23" s="0" t="n">
        <f aca="false">Z23*Delay+AO23</f>
        <v>6.5</v>
      </c>
      <c r="AS23" s="0" t="n">
        <f aca="false">AA23*Delay+AP23</f>
        <v>6.5</v>
      </c>
      <c r="AT23" s="0" t="n">
        <f aca="false">IF(AQ23=MIN(AQ22:AQ25),1,0)</f>
        <v>0</v>
      </c>
      <c r="AX23" s="1" t="str">
        <f aca="false">B23&amp;C23&amp;D23</f>
        <v>ELL</v>
      </c>
      <c r="AY23" s="1" t="n">
        <f aca="false">AQ23+AR23+AS23</f>
        <v>16</v>
      </c>
      <c r="AZ23" s="1" t="str">
        <f aca="false">RIGHT(AX23,2)</f>
        <v>LL</v>
      </c>
      <c r="BA23" s="1" t="str">
        <f aca="false">LEFT(AX23,1)&amp;RIGHT(AX23,1)</f>
        <v>EL</v>
      </c>
      <c r="BB23" s="1" t="str">
        <f aca="false">LEFT(AX23,2)</f>
        <v>EL</v>
      </c>
      <c r="BC23" s="1" t="n">
        <f aca="false">VLOOKUP(AZ23,TwoPlayers!$AG$1:$AH$17,2,FALSE())</f>
        <v>13</v>
      </c>
      <c r="BD23" s="1" t="n">
        <f aca="false">VLOOKUP(BA23,TwoPlayers!$AG$1:$AH$17,2,FALSE())</f>
        <v>7</v>
      </c>
      <c r="BE23" s="1" t="n">
        <f aca="false">VLOOKUP(BB23,TwoPlayers!$AG$1:$AH$17,2,FALSE())</f>
        <v>7</v>
      </c>
      <c r="BF23" s="1" t="n">
        <f aca="false">$AY23-BC23</f>
        <v>3</v>
      </c>
      <c r="BG23" s="1" t="n">
        <f aca="false">$AY23-BD23</f>
        <v>9</v>
      </c>
      <c r="BH23" s="1" t="n">
        <f aca="false">$AY23-BE23</f>
        <v>9</v>
      </c>
      <c r="BJ23" s="0" t="n">
        <f aca="false">AQ23+BF23</f>
        <v>6</v>
      </c>
      <c r="BK23" s="0" t="n">
        <f aca="false">AR23+BG23</f>
        <v>15.5</v>
      </c>
      <c r="BL23" s="0" t="n">
        <f aca="false">AS23+BH23</f>
        <v>15.5</v>
      </c>
      <c r="BM23" s="0" t="n">
        <f aca="false">IF(BJ23=MIN(BJ22:BJ26),1,0)</f>
        <v>0</v>
      </c>
    </row>
    <row r="24" customFormat="false" ht="13" hidden="false" customHeight="false" outlineLevel="0" collapsed="false">
      <c r="A24" s="0" t="n">
        <v>48</v>
      </c>
      <c r="B24" s="0" t="s">
        <v>3</v>
      </c>
      <c r="C24" s="0" t="s">
        <v>4</v>
      </c>
      <c r="D24" s="0" t="s">
        <v>4</v>
      </c>
      <c r="E24" s="0" t="n">
        <f aca="false">(IF($B24="V",1,0))+IF($C24="V",1,0)+IF($D24="V",1,0)</f>
        <v>0</v>
      </c>
      <c r="F24" s="0" t="n">
        <f aca="false">(IF($B24="E",1,0))+IF($C24="E",1,0)+IF($D24="E",1,0)</f>
        <v>0</v>
      </c>
      <c r="G24" s="0" t="n">
        <f aca="false">(IF($B24="O",1,0))+IF($C24="O",1,0)+IF($D24="O",1,0)</f>
        <v>1</v>
      </c>
      <c r="H24" s="0" t="n">
        <f aca="false">(IF($B24="L",1,0))+IF($C24="L",1,0)+IF($D24="L",1,0)</f>
        <v>2</v>
      </c>
      <c r="I24" s="0" t="n">
        <f aca="false">(IF(B24="V",1,0))</f>
        <v>0</v>
      </c>
      <c r="J24" s="0" t="n">
        <f aca="false">(IF(B24="E",1,0))</f>
        <v>0</v>
      </c>
      <c r="K24" s="0" t="n">
        <f aca="false">(IF(B24="O",1,0))</f>
        <v>1</v>
      </c>
      <c r="L24" s="0" t="n">
        <f aca="false">(IF(B24="L",1,0))</f>
        <v>0</v>
      </c>
      <c r="M24" s="0" t="n">
        <f aca="false">(IF(C24="V",1,0))</f>
        <v>0</v>
      </c>
      <c r="N24" s="0" t="n">
        <f aca="false">(IF(C24="E",1,0))</f>
        <v>0</v>
      </c>
      <c r="O24" s="0" t="n">
        <f aca="false">(IF(C24="O",1,0))</f>
        <v>0</v>
      </c>
      <c r="P24" s="0" t="n">
        <f aca="false">(IF(C24="L",1,0))</f>
        <v>1</v>
      </c>
      <c r="Q24" s="0" t="n">
        <f aca="false">(IF(D24="V",1,0))</f>
        <v>0</v>
      </c>
      <c r="R24" s="0" t="n">
        <f aca="false">(IF(D24="E",1,0))</f>
        <v>0</v>
      </c>
      <c r="S24" s="0" t="n">
        <f aca="false">(IF(D24="O",1,0))</f>
        <v>0</v>
      </c>
      <c r="T24" s="0" t="n">
        <f aca="false">(IF(D24="L",1,0))</f>
        <v>1</v>
      </c>
      <c r="U24" s="0" t="n">
        <f aca="false">MAX(E24-1,0)</f>
        <v>0</v>
      </c>
      <c r="V24" s="0" t="n">
        <f aca="false">MAX(U24-1+F24,0)</f>
        <v>0</v>
      </c>
      <c r="W24" s="0" t="n">
        <f aca="false">MAX(V24-1+G24,0)</f>
        <v>0</v>
      </c>
      <c r="X24" s="0" t="n">
        <f aca="false">MAX(W24-1+H24,0)</f>
        <v>1</v>
      </c>
      <c r="Y24" s="1" t="n">
        <f aca="false">0.5*(E24*I24+F24*J24+G24*K24+H24*L24-1)+(0+$U24*J24+$V24*K24+$W24*L24)</f>
        <v>0</v>
      </c>
      <c r="Z24" s="1" t="n">
        <f aca="false">0.5*(E24*M24+F24*N24+G24*O24+H24*P24-1)+(0+$U24*N24+$V24*O24+$W24*P24)</f>
        <v>0.5</v>
      </c>
      <c r="AA24" s="1" t="n">
        <f aca="false">0.5*(E24*Q24+F24*R24+G24*S24+H24*T24-1)+(0+$U24*R24+$V24*S24+$W24*T24)</f>
        <v>0.5</v>
      </c>
      <c r="AB24" s="0" t="n">
        <f aca="false">IF(B24="V",-2,0)+IF(B24="E",-1,0)+IF(B24="O",0,0)+IF(B24="L",1,0)+Y24</f>
        <v>0</v>
      </c>
      <c r="AC24" s="0" t="n">
        <f aca="false">IF(C24="V",-2,0)+IF(C24="E",-1,0)+IF(C24="O",0,0)+IF(C24="L",1,0)+Z24</f>
        <v>1.5</v>
      </c>
      <c r="AD24" s="0" t="n">
        <f aca="false">IF(D24="V",-2,0)+IF(D24="E",-1,0)+IF(D24="O",0,0)+IF(D24="L",1,0)+AA24</f>
        <v>1.5</v>
      </c>
      <c r="AE24" s="1" t="n">
        <f aca="false">IF(B24="V",-2,0)+IF(B24="E",-1,0)+IF(B24="O",0,0)+IF(B24="L",1,0)</f>
        <v>0</v>
      </c>
      <c r="AF24" s="1" t="n">
        <f aca="false">IF(B24="V",-2,0)+IF(B24="E",-1,0)+IF(B24="O",0,0)+IF(B24="L",1,0)+Y24</f>
        <v>0</v>
      </c>
      <c r="AG24" s="1" t="n">
        <f aca="false">IF(B24="V",-2,0)+IF(B24="E",-1,0)+IF(B24="O",0,0)+IF(B24="L",1,0)+Y24*2</f>
        <v>0</v>
      </c>
      <c r="AH24" s="1" t="n">
        <f aca="false">IF(C24="V",-2,0)+IF(C24="E",-1,0)+IF(C24="O",0,0)+IF(C24="L",1,0)</f>
        <v>1</v>
      </c>
      <c r="AI24" s="1" t="n">
        <f aca="false">IF(C24="V",-2,0)+IF(C24="E",-1,0)+IF(C24="O",0,0)+IF(C24="L",1,0)+Z24</f>
        <v>1.5</v>
      </c>
      <c r="AJ24" s="1" t="n">
        <f aca="false">IF(C24="V",-2,0)+IF(C24="E",-1,0)+IF(C24="O",0,0)+IF(C24="L",1,0)+Z24*2</f>
        <v>2</v>
      </c>
      <c r="AK24" s="1" t="n">
        <f aca="false">IF(D24="V",-2,0)+IF(D24="E",-1,0)+IF(D24="O",0,0)+IF(D24="L",1,0)</f>
        <v>1</v>
      </c>
      <c r="AL24" s="1" t="n">
        <f aca="false">IF(D24="V",-2,0)+IF(D24="E",-1,0)+IF(D24="O",0,0)+IF(D24="L",1,0)+AA24</f>
        <v>1.5</v>
      </c>
      <c r="AM24" s="1" t="n">
        <f aca="false">IF(D24="V",-2,0)+IF(D24="E",-1,0)+IF(D24="O",0,0)+IF(D24="L",1,0)+AA24*2</f>
        <v>2</v>
      </c>
      <c r="AN24" s="1" t="n">
        <f aca="false">(ABS(IF(AE24&lt;0,AE24*Early,AE24*Late))+ABS(IF(AF24&lt;0,AF24*Early,AF24*Late))+ABS(IF(AG24&lt;0,AG24*Early,AG24*Late)))/3</f>
        <v>0</v>
      </c>
      <c r="AO24" s="1" t="n">
        <f aca="false">(ABS(IF(AH24&lt;0,AH24*Early,AH24*Late))+ABS(IF(AI24&lt;0,AI24*Early,AI24*Late))+ABS(IF(AJ24&lt;0,AJ24*Early,AJ24*Late)))/3</f>
        <v>6</v>
      </c>
      <c r="AP24" s="1" t="n">
        <f aca="false">(ABS(IF(AK24&lt;0,AK24*Early,AK24*Late))+ABS(IF(AL24&lt;0,AL24*Early,AL24*Late))+ABS(IF(AM24&lt;0,AM24*Early,AM24*Late)))/3</f>
        <v>6</v>
      </c>
      <c r="AQ24" s="0" t="n">
        <f aca="false">Y24*Delay+AN24</f>
        <v>0</v>
      </c>
      <c r="AR24" s="0" t="n">
        <f aca="false">Z24*Delay+AO24</f>
        <v>6.5</v>
      </c>
      <c r="AS24" s="0" t="n">
        <f aca="false">AA24*Delay+AP24</f>
        <v>6.5</v>
      </c>
      <c r="AT24" s="0" t="n">
        <f aca="false">IF(AQ24=MIN(AQ22:AQ25),1,0)</f>
        <v>1</v>
      </c>
      <c r="AX24" s="0" t="str">
        <f aca="false">B24&amp;C24&amp;D24</f>
        <v>OLL</v>
      </c>
      <c r="AY24" s="1" t="n">
        <f aca="false">AQ24+AR24+AS24</f>
        <v>13</v>
      </c>
      <c r="AZ24" s="1" t="str">
        <f aca="false">RIGHT(AX24,2)</f>
        <v>LL</v>
      </c>
      <c r="BA24" s="1" t="str">
        <f aca="false">LEFT(AX24,1)&amp;RIGHT(AX24,1)</f>
        <v>OL</v>
      </c>
      <c r="BB24" s="1" t="str">
        <f aca="false">LEFT(AX24,2)</f>
        <v>OL</v>
      </c>
      <c r="BC24" s="1" t="n">
        <f aca="false">VLOOKUP(AZ24,TwoPlayers!$AG$1:$AH$17,2,FALSE())</f>
        <v>13</v>
      </c>
      <c r="BD24" s="1" t="n">
        <f aca="false">VLOOKUP(BA24,TwoPlayers!$AG$1:$AH$17,2,FALSE())</f>
        <v>4</v>
      </c>
      <c r="BE24" s="1" t="n">
        <f aca="false">VLOOKUP(BB24,TwoPlayers!$AG$1:$AH$17,2,FALSE())</f>
        <v>4</v>
      </c>
      <c r="BF24" s="1" t="n">
        <f aca="false">$AY24-BC24</f>
        <v>0</v>
      </c>
      <c r="BG24" s="1" t="n">
        <f aca="false">$AY24-BD24</f>
        <v>9</v>
      </c>
      <c r="BH24" s="1" t="n">
        <f aca="false">$AY24-BE24</f>
        <v>9</v>
      </c>
      <c r="BJ24" s="0" t="n">
        <f aca="false">AQ24+BF24</f>
        <v>0</v>
      </c>
      <c r="BK24" s="0" t="n">
        <f aca="false">AR24+BG24</f>
        <v>15.5</v>
      </c>
      <c r="BL24" s="0" t="n">
        <f aca="false">AS24+BH24</f>
        <v>15.5</v>
      </c>
      <c r="BM24" s="0" t="n">
        <f aca="false">IF(BJ24=MIN(BJ22:BJ26),1,0)</f>
        <v>1</v>
      </c>
    </row>
    <row r="25" customFormat="false" ht="13" hidden="false" customHeight="false" outlineLevel="0" collapsed="false">
      <c r="A25" s="0" t="n">
        <v>64</v>
      </c>
      <c r="B25" s="0" t="s">
        <v>4</v>
      </c>
      <c r="C25" s="0" t="s">
        <v>4</v>
      </c>
      <c r="D25" s="0" t="s">
        <v>4</v>
      </c>
      <c r="E25" s="0" t="n">
        <f aca="false">(IF($B25="V",1,0))+IF($C25="V",1,0)+IF($D25="V",1,0)</f>
        <v>0</v>
      </c>
      <c r="F25" s="0" t="n">
        <f aca="false">(IF($B25="E",1,0))+IF($C25="E",1,0)+IF($D25="E",1,0)</f>
        <v>0</v>
      </c>
      <c r="G25" s="0" t="n">
        <f aca="false">(IF($B25="O",1,0))+IF($C25="O",1,0)+IF($D25="O",1,0)</f>
        <v>0</v>
      </c>
      <c r="H25" s="0" t="n">
        <f aca="false">(IF($B25="L",1,0))+IF($C25="L",1,0)+IF($D25="L",1,0)</f>
        <v>3</v>
      </c>
      <c r="I25" s="0" t="n">
        <f aca="false">(IF(B25="V",1,0))</f>
        <v>0</v>
      </c>
      <c r="J25" s="0" t="n">
        <f aca="false">(IF(B25="E",1,0))</f>
        <v>0</v>
      </c>
      <c r="K25" s="0" t="n">
        <f aca="false">(IF(B25="O",1,0))</f>
        <v>0</v>
      </c>
      <c r="L25" s="0" t="n">
        <f aca="false">(IF(B25="L",1,0))</f>
        <v>1</v>
      </c>
      <c r="M25" s="0" t="n">
        <f aca="false">(IF(C25="V",1,0))</f>
        <v>0</v>
      </c>
      <c r="N25" s="0" t="n">
        <f aca="false">(IF(C25="E",1,0))</f>
        <v>0</v>
      </c>
      <c r="O25" s="0" t="n">
        <f aca="false">(IF(C25="O",1,0))</f>
        <v>0</v>
      </c>
      <c r="P25" s="0" t="n">
        <f aca="false">(IF(C25="L",1,0))</f>
        <v>1</v>
      </c>
      <c r="Q25" s="0" t="n">
        <f aca="false">(IF(D25="V",1,0))</f>
        <v>0</v>
      </c>
      <c r="R25" s="0" t="n">
        <f aca="false">(IF(D25="E",1,0))</f>
        <v>0</v>
      </c>
      <c r="S25" s="0" t="n">
        <f aca="false">(IF(D25="O",1,0))</f>
        <v>0</v>
      </c>
      <c r="T25" s="0" t="n">
        <f aca="false">(IF(D25="L",1,0))</f>
        <v>1</v>
      </c>
      <c r="U25" s="0" t="n">
        <f aca="false">MAX(E25-1,0)</f>
        <v>0</v>
      </c>
      <c r="V25" s="0" t="n">
        <f aca="false">MAX(U25-1+F25,0)</f>
        <v>0</v>
      </c>
      <c r="W25" s="0" t="n">
        <f aca="false">MAX(V25-1+G25,0)</f>
        <v>0</v>
      </c>
      <c r="X25" s="0" t="n">
        <f aca="false">MAX(W25-1+H25,0)</f>
        <v>2</v>
      </c>
      <c r="Y25" s="1" t="n">
        <f aca="false">0.5*(E25*I25+F25*J25+G25*K25+H25*L25-1)+(0+$U25*J25+$V25*K25+$W25*L25)</f>
        <v>1</v>
      </c>
      <c r="Z25" s="1" t="n">
        <f aca="false">0.5*(E25*M25+F25*N25+G25*O25+H25*P25-1)+(0+$U25*N25+$V25*O25+$W25*P25)</f>
        <v>1</v>
      </c>
      <c r="AA25" s="1" t="n">
        <f aca="false">0.5*(E25*Q25+F25*R25+G25*S25+H25*T25-1)+(0+$U25*R25+$V25*S25+$W25*T25)</f>
        <v>1</v>
      </c>
      <c r="AB25" s="0" t="n">
        <f aca="false">IF(B25="V",-2,0)+IF(B25="E",-1,0)+IF(B25="O",0,0)+IF(B25="L",1,0)+Y25</f>
        <v>2</v>
      </c>
      <c r="AC25" s="0" t="n">
        <f aca="false">IF(C25="V",-2,0)+IF(C25="E",-1,0)+IF(C25="O",0,0)+IF(C25="L",1,0)+Z25</f>
        <v>2</v>
      </c>
      <c r="AD25" s="0" t="n">
        <f aca="false">IF(D25="V",-2,0)+IF(D25="E",-1,0)+IF(D25="O",0,0)+IF(D25="L",1,0)+AA25</f>
        <v>2</v>
      </c>
      <c r="AE25" s="1" t="n">
        <f aca="false">IF(B25="V",-2,0)+IF(B25="E",-1,0)+IF(B25="O",0,0)+IF(B25="L",1,0)</f>
        <v>1</v>
      </c>
      <c r="AF25" s="1" t="n">
        <f aca="false">IF(B25="V",-2,0)+IF(B25="E",-1,0)+IF(B25="O",0,0)+IF(B25="L",1,0)+Y25</f>
        <v>2</v>
      </c>
      <c r="AG25" s="1" t="n">
        <f aca="false">IF(B25="V",-2,0)+IF(B25="E",-1,0)+IF(B25="O",0,0)+IF(B25="L",1,0)+Y25*2</f>
        <v>3</v>
      </c>
      <c r="AH25" s="1" t="n">
        <f aca="false">IF(C25="V",-2,0)+IF(C25="E",-1,0)+IF(C25="O",0,0)+IF(C25="L",1,0)</f>
        <v>1</v>
      </c>
      <c r="AI25" s="1" t="n">
        <f aca="false">IF(C25="V",-2,0)+IF(C25="E",-1,0)+IF(C25="O",0,0)+IF(C25="L",1,0)+Z25</f>
        <v>2</v>
      </c>
      <c r="AJ25" s="1" t="n">
        <f aca="false">IF(C25="V",-2,0)+IF(C25="E",-1,0)+IF(C25="O",0,0)+IF(C25="L",1,0)+Z25*2</f>
        <v>3</v>
      </c>
      <c r="AK25" s="1" t="n">
        <f aca="false">IF(D25="V",-2,0)+IF(D25="E",-1,0)+IF(D25="O",0,0)+IF(D25="L",1,0)</f>
        <v>1</v>
      </c>
      <c r="AL25" s="1" t="n">
        <f aca="false">IF(D25="V",-2,0)+IF(D25="E",-1,0)+IF(D25="O",0,0)+IF(D25="L",1,0)+AA25</f>
        <v>2</v>
      </c>
      <c r="AM25" s="1" t="n">
        <f aca="false">IF(D25="V",-2,0)+IF(D25="E",-1,0)+IF(D25="O",0,0)+IF(D25="L",1,0)+AA25*2</f>
        <v>3</v>
      </c>
      <c r="AN25" s="1" t="n">
        <f aca="false">(ABS(IF(AE25&lt;0,AE25*Early,AE25*Late))+ABS(IF(AF25&lt;0,AF25*Early,AF25*Late))+ABS(IF(AG25&lt;0,AG25*Early,AG25*Late)))/3</f>
        <v>8</v>
      </c>
      <c r="AO25" s="1" t="n">
        <f aca="false">(ABS(IF(AH25&lt;0,AH25*Early,AH25*Late))+ABS(IF(AI25&lt;0,AI25*Early,AI25*Late))+ABS(IF(AJ25&lt;0,AJ25*Early,AJ25*Late)))/3</f>
        <v>8</v>
      </c>
      <c r="AP25" s="1" t="n">
        <f aca="false">(ABS(IF(AK25&lt;0,AK25*Early,AK25*Late))+ABS(IF(AL25&lt;0,AL25*Early,AL25*Late))+ABS(IF(AM25&lt;0,AM25*Early,AM25*Late)))/3</f>
        <v>8</v>
      </c>
      <c r="AQ25" s="0" t="n">
        <f aca="false">Y25*Delay+AN25</f>
        <v>9</v>
      </c>
      <c r="AR25" s="0" t="n">
        <f aca="false">Z25*Delay+AO25</f>
        <v>9</v>
      </c>
      <c r="AS25" s="0" t="n">
        <f aca="false">AA25*Delay+AP25</f>
        <v>9</v>
      </c>
      <c r="AT25" s="0" t="n">
        <f aca="false">IF(AQ25=MIN(AQ22:AQ25),1,0)</f>
        <v>0</v>
      </c>
      <c r="AX25" s="0" t="str">
        <f aca="false">B25&amp;C25&amp;D25</f>
        <v>LLL</v>
      </c>
      <c r="AY25" s="1" t="n">
        <f aca="false">AQ25+AR25+AS25</f>
        <v>27</v>
      </c>
      <c r="AZ25" s="1" t="str">
        <f aca="false">RIGHT(AX25,2)</f>
        <v>LL</v>
      </c>
      <c r="BA25" s="1" t="str">
        <f aca="false">LEFT(AX25,1)&amp;RIGHT(AX25,1)</f>
        <v>LL</v>
      </c>
      <c r="BB25" s="1" t="str">
        <f aca="false">LEFT(AX25,2)</f>
        <v>LL</v>
      </c>
      <c r="BC25" s="1" t="n">
        <f aca="false">VLOOKUP(AZ25,TwoPlayers!$AG$1:$AH$17,2,FALSE())</f>
        <v>13</v>
      </c>
      <c r="BD25" s="1" t="n">
        <f aca="false">VLOOKUP(BA25,TwoPlayers!$AG$1:$AH$17,2,FALSE())</f>
        <v>13</v>
      </c>
      <c r="BE25" s="1" t="n">
        <f aca="false">VLOOKUP(BB25,TwoPlayers!$AG$1:$AH$17,2,FALSE())</f>
        <v>13</v>
      </c>
      <c r="BF25" s="1" t="n">
        <f aca="false">$AY25-BC25</f>
        <v>14</v>
      </c>
      <c r="BG25" s="1" t="n">
        <f aca="false">$AY25-BD25</f>
        <v>14</v>
      </c>
      <c r="BH25" s="1" t="n">
        <f aca="false">$AY25-BE25</f>
        <v>14</v>
      </c>
      <c r="BJ25" s="0" t="n">
        <f aca="false">AQ25+BF25</f>
        <v>23</v>
      </c>
      <c r="BK25" s="0" t="n">
        <f aca="false">AR25+BG25</f>
        <v>23</v>
      </c>
      <c r="BL25" s="0" t="n">
        <f aca="false">AS25+BH25</f>
        <v>23</v>
      </c>
      <c r="BM25" s="0" t="n">
        <f aca="false">IF(BJ25=MIN(BJ22:BJ26),1,0)</f>
        <v>0</v>
      </c>
    </row>
    <row r="26" customFormat="false" ht="13" hidden="false" customHeight="false" outlineLevel="0" collapsed="false">
      <c r="A26" s="0" t="n">
        <v>15</v>
      </c>
      <c r="B26" s="0" t="s">
        <v>1</v>
      </c>
      <c r="C26" s="0" t="s">
        <v>4</v>
      </c>
      <c r="D26" s="0" t="s">
        <v>3</v>
      </c>
      <c r="E26" s="0" t="n">
        <f aca="false">(IF($B26="V",1,0))+IF($C26="V",1,0)+IF($D26="V",1,0)</f>
        <v>1</v>
      </c>
      <c r="F26" s="0" t="n">
        <f aca="false">(IF($B26="E",1,0))+IF($C26="E",1,0)+IF($D26="E",1,0)</f>
        <v>0</v>
      </c>
      <c r="G26" s="0" t="n">
        <f aca="false">(IF($B26="O",1,0))+IF($C26="O",1,0)+IF($D26="O",1,0)</f>
        <v>1</v>
      </c>
      <c r="H26" s="0" t="n">
        <f aca="false">(IF($B26="L",1,0))+IF($C26="L",1,0)+IF($D26="L",1,0)</f>
        <v>1</v>
      </c>
      <c r="I26" s="0" t="n">
        <f aca="false">(IF(B26="V",1,0))</f>
        <v>1</v>
      </c>
      <c r="J26" s="0" t="n">
        <f aca="false">(IF(B26="E",1,0))</f>
        <v>0</v>
      </c>
      <c r="K26" s="0" t="n">
        <f aca="false">(IF(B26="O",1,0))</f>
        <v>0</v>
      </c>
      <c r="L26" s="0" t="n">
        <f aca="false">(IF(B26="L",1,0))</f>
        <v>0</v>
      </c>
      <c r="M26" s="0" t="n">
        <f aca="false">(IF(C26="V",1,0))</f>
        <v>0</v>
      </c>
      <c r="N26" s="0" t="n">
        <f aca="false">(IF(C26="E",1,0))</f>
        <v>0</v>
      </c>
      <c r="O26" s="0" t="n">
        <f aca="false">(IF(C26="O",1,0))</f>
        <v>0</v>
      </c>
      <c r="P26" s="0" t="n">
        <f aca="false">(IF(C26="L",1,0))</f>
        <v>1</v>
      </c>
      <c r="Q26" s="0" t="n">
        <f aca="false">(IF(D26="V",1,0))</f>
        <v>0</v>
      </c>
      <c r="R26" s="0" t="n">
        <f aca="false">(IF(D26="E",1,0))</f>
        <v>0</v>
      </c>
      <c r="S26" s="0" t="n">
        <f aca="false">(IF(D26="O",1,0))</f>
        <v>1</v>
      </c>
      <c r="T26" s="0" t="n">
        <f aca="false">(IF(D26="L",1,0))</f>
        <v>0</v>
      </c>
      <c r="U26" s="0" t="n">
        <f aca="false">MAX(E26-1,0)</f>
        <v>0</v>
      </c>
      <c r="V26" s="0" t="n">
        <f aca="false">MAX(U26-1+F26,0)</f>
        <v>0</v>
      </c>
      <c r="W26" s="0" t="n">
        <f aca="false">MAX(V26-1+G26,0)</f>
        <v>0</v>
      </c>
      <c r="X26" s="0" t="n">
        <f aca="false">MAX(W26-1+H26,0)</f>
        <v>0</v>
      </c>
      <c r="Y26" s="1" t="n">
        <f aca="false">0.5*(E26*I26+F26*J26+G26*K26+H26*L26-1)+(0+$U26*J26+$V26*K26+$W26*L26)</f>
        <v>0</v>
      </c>
      <c r="Z26" s="1" t="n">
        <f aca="false">0.5*(E26*M26+F26*N26+G26*O26+H26*P26-1)+(0+$U26*N26+$V26*O26+$W26*P26)</f>
        <v>0</v>
      </c>
      <c r="AA26" s="1" t="n">
        <f aca="false">0.5*(E26*Q26+F26*R26+G26*S26+H26*T26-1)+(0+$U26*R26+$V26*S26+$W26*T26)</f>
        <v>0</v>
      </c>
      <c r="AB26" s="0" t="n">
        <f aca="false">IF(B26="V",-2,0)+IF(B26="E",-1,0)+IF(B26="O",0,0)+IF(B26="L",1,0)+Y26</f>
        <v>-2</v>
      </c>
      <c r="AC26" s="0" t="n">
        <f aca="false">IF(C26="V",-2,0)+IF(C26="E",-1,0)+IF(C26="O",0,0)+IF(C26="L",1,0)+Z26</f>
        <v>1</v>
      </c>
      <c r="AD26" s="0" t="n">
        <f aca="false">IF(D26="V",-2,0)+IF(D26="E",-1,0)+IF(D26="O",0,0)+IF(D26="L",1,0)+AA26</f>
        <v>0</v>
      </c>
      <c r="AE26" s="1" t="n">
        <f aca="false">IF(B26="V",-2,0)+IF(B26="E",-1,0)+IF(B26="O",0,0)+IF(B26="L",1,0)</f>
        <v>-2</v>
      </c>
      <c r="AF26" s="1" t="n">
        <f aca="false">IF(B26="V",-2,0)+IF(B26="E",-1,0)+IF(B26="O",0,0)+IF(B26="L",1,0)+Y26</f>
        <v>-2</v>
      </c>
      <c r="AG26" s="1" t="n">
        <f aca="false">IF(B26="V",-2,0)+IF(B26="E",-1,0)+IF(B26="O",0,0)+IF(B26="L",1,0)+Y26*2</f>
        <v>-2</v>
      </c>
      <c r="AH26" s="1" t="n">
        <f aca="false">IF(C26="V",-2,0)+IF(C26="E",-1,0)+IF(C26="O",0,0)+IF(C26="L",1,0)</f>
        <v>1</v>
      </c>
      <c r="AI26" s="1" t="n">
        <f aca="false">IF(C26="V",-2,0)+IF(C26="E",-1,0)+IF(C26="O",0,0)+IF(C26="L",1,0)+Z26</f>
        <v>1</v>
      </c>
      <c r="AJ26" s="1" t="n">
        <f aca="false">IF(C26="V",-2,0)+IF(C26="E",-1,0)+IF(C26="O",0,0)+IF(C26="L",1,0)+Z26*2</f>
        <v>1</v>
      </c>
      <c r="AK26" s="1" t="n">
        <f aca="false">IF(D26="V",-2,0)+IF(D26="E",-1,0)+IF(D26="O",0,0)+IF(D26="L",1,0)</f>
        <v>0</v>
      </c>
      <c r="AL26" s="1" t="n">
        <f aca="false">IF(D26="V",-2,0)+IF(D26="E",-1,0)+IF(D26="O",0,0)+IF(D26="L",1,0)+AA26</f>
        <v>0</v>
      </c>
      <c r="AM26" s="1" t="n">
        <f aca="false">IF(D26="V",-2,0)+IF(D26="E",-1,0)+IF(D26="O",0,0)+IF(D26="L",1,0)+AA26*2</f>
        <v>0</v>
      </c>
      <c r="AN26" s="1" t="n">
        <f aca="false">(ABS(IF(AE26&lt;0,AE26*Early,AE26*Late))+ABS(IF(AF26&lt;0,AF26*Early,AF26*Late))+ABS(IF(AG26&lt;0,AG26*Early,AG26*Late)))/3</f>
        <v>6</v>
      </c>
      <c r="AO26" s="1" t="n">
        <f aca="false">(ABS(IF(AH26&lt;0,AH26*Early,AH26*Late))+ABS(IF(AI26&lt;0,AI26*Early,AI26*Late))+ABS(IF(AJ26&lt;0,AJ26*Early,AJ26*Late)))/3</f>
        <v>4</v>
      </c>
      <c r="AP26" s="1" t="n">
        <f aca="false">(ABS(IF(AK26&lt;0,AK26*Early,AK26*Late))+ABS(IF(AL26&lt;0,AL26*Early,AL26*Late))+ABS(IF(AM26&lt;0,AM26*Early,AM26*Late)))/3</f>
        <v>0</v>
      </c>
      <c r="AQ26" s="0" t="n">
        <f aca="false">Y26*Delay+AN26</f>
        <v>6</v>
      </c>
      <c r="AR26" s="0" t="n">
        <f aca="false">Z26*Delay+AO26</f>
        <v>4</v>
      </c>
      <c r="AS26" s="0" t="n">
        <f aca="false">AA26*Delay+AP26</f>
        <v>0</v>
      </c>
      <c r="AT26" s="0" t="n">
        <f aca="false">IF(AQ26=MIN(AQ26:AQ29),1,0)</f>
        <v>0</v>
      </c>
      <c r="AX26" s="0" t="str">
        <f aca="false">B26&amp;C26&amp;D26</f>
        <v>VLO</v>
      </c>
      <c r="AY26" s="1" t="n">
        <f aca="false">AQ26+AR26+AS26</f>
        <v>10</v>
      </c>
      <c r="AZ26" s="1" t="str">
        <f aca="false">RIGHT(AX26,2)</f>
        <v>LO</v>
      </c>
      <c r="BA26" s="1" t="str">
        <f aca="false">LEFT(AX26,1)&amp;RIGHT(AX26,1)</f>
        <v>VO</v>
      </c>
      <c r="BB26" s="1" t="str">
        <f aca="false">LEFT(AX26,2)</f>
        <v>VL</v>
      </c>
      <c r="BC26" s="1" t="n">
        <f aca="false">VLOOKUP(AZ26,TwoPlayers!$AG$1:$AH$17,2,FALSE())</f>
        <v>4</v>
      </c>
      <c r="BD26" s="1" t="n">
        <f aca="false">VLOOKUP(BA26,TwoPlayers!$AG$1:$AH$17,2,FALSE())</f>
        <v>6</v>
      </c>
      <c r="BE26" s="1" t="n">
        <f aca="false">VLOOKUP(BB26,TwoPlayers!$AG$1:$AH$17,2,FALSE())</f>
        <v>10</v>
      </c>
      <c r="BF26" s="1" t="n">
        <f aca="false">$AY26-BC26</f>
        <v>6</v>
      </c>
      <c r="BG26" s="1" t="n">
        <f aca="false">$AY26-BD26</f>
        <v>4</v>
      </c>
      <c r="BH26" s="1" t="n">
        <f aca="false">$AY26-BE26</f>
        <v>0</v>
      </c>
      <c r="BJ26" s="0" t="n">
        <f aca="false">AQ26+BF26</f>
        <v>12</v>
      </c>
      <c r="BK26" s="0" t="n">
        <f aca="false">AR26+BG26</f>
        <v>8</v>
      </c>
      <c r="BL26" s="0" t="n">
        <f aca="false">AS26+BH26</f>
        <v>0</v>
      </c>
      <c r="BM26" s="0" t="n">
        <f aca="false">IF(BJ26=MIN(BJ26:BJ30),1,0)</f>
        <v>0</v>
      </c>
    </row>
    <row r="27" customFormat="false" ht="13" hidden="false" customHeight="false" outlineLevel="0" collapsed="false">
      <c r="A27" s="0" t="n">
        <v>31</v>
      </c>
      <c r="B27" s="0" t="s">
        <v>2</v>
      </c>
      <c r="C27" s="0" t="s">
        <v>4</v>
      </c>
      <c r="D27" s="0" t="s">
        <v>3</v>
      </c>
      <c r="E27" s="0" t="n">
        <f aca="false">(IF($B27="V",1,0))+IF($C27="V",1,0)+IF($D27="V",1,0)</f>
        <v>0</v>
      </c>
      <c r="F27" s="0" t="n">
        <f aca="false">(IF($B27="E",1,0))+IF($C27="E",1,0)+IF($D27="E",1,0)</f>
        <v>1</v>
      </c>
      <c r="G27" s="0" t="n">
        <f aca="false">(IF($B27="O",1,0))+IF($C27="O",1,0)+IF($D27="O",1,0)</f>
        <v>1</v>
      </c>
      <c r="H27" s="0" t="n">
        <f aca="false">(IF($B27="L",1,0))+IF($C27="L",1,0)+IF($D27="L",1,0)</f>
        <v>1</v>
      </c>
      <c r="I27" s="0" t="n">
        <f aca="false">(IF(B27="V",1,0))</f>
        <v>0</v>
      </c>
      <c r="J27" s="0" t="n">
        <f aca="false">(IF(B27="E",1,0))</f>
        <v>1</v>
      </c>
      <c r="K27" s="0" t="n">
        <f aca="false">(IF(B27="O",1,0))</f>
        <v>0</v>
      </c>
      <c r="L27" s="0" t="n">
        <f aca="false">(IF(B27="L",1,0))</f>
        <v>0</v>
      </c>
      <c r="M27" s="0" t="n">
        <f aca="false">(IF(C27="V",1,0))</f>
        <v>0</v>
      </c>
      <c r="N27" s="0" t="n">
        <f aca="false">(IF(C27="E",1,0))</f>
        <v>0</v>
      </c>
      <c r="O27" s="0" t="n">
        <f aca="false">(IF(C27="O",1,0))</f>
        <v>0</v>
      </c>
      <c r="P27" s="0" t="n">
        <f aca="false">(IF(C27="L",1,0))</f>
        <v>1</v>
      </c>
      <c r="Q27" s="0" t="n">
        <f aca="false">(IF(D27="V",1,0))</f>
        <v>0</v>
      </c>
      <c r="R27" s="0" t="n">
        <f aca="false">(IF(D27="E",1,0))</f>
        <v>0</v>
      </c>
      <c r="S27" s="0" t="n">
        <f aca="false">(IF(D27="O",1,0))</f>
        <v>1</v>
      </c>
      <c r="T27" s="0" t="n">
        <f aca="false">(IF(D27="L",1,0))</f>
        <v>0</v>
      </c>
      <c r="U27" s="0" t="n">
        <f aca="false">MAX(E27-1,0)</f>
        <v>0</v>
      </c>
      <c r="V27" s="0" t="n">
        <f aca="false">MAX(U27-1+F27,0)</f>
        <v>0</v>
      </c>
      <c r="W27" s="0" t="n">
        <f aca="false">MAX(V27-1+G27,0)</f>
        <v>0</v>
      </c>
      <c r="X27" s="0" t="n">
        <f aca="false">MAX(W27-1+H27,0)</f>
        <v>0</v>
      </c>
      <c r="Y27" s="1" t="n">
        <f aca="false">0.5*(E27*I27+F27*J27+G27*K27+H27*L27-1)+(0+$U27*J27+$V27*K27+$W27*L27)</f>
        <v>0</v>
      </c>
      <c r="Z27" s="1" t="n">
        <f aca="false">0.5*(E27*M27+F27*N27+G27*O27+H27*P27-1)+(0+$U27*N27+$V27*O27+$W27*P27)</f>
        <v>0</v>
      </c>
      <c r="AA27" s="1" t="n">
        <f aca="false">0.5*(E27*Q27+F27*R27+G27*S27+H27*T27-1)+(0+$U27*R27+$V27*S27+$W27*T27)</f>
        <v>0</v>
      </c>
      <c r="AB27" s="0" t="n">
        <f aca="false">IF(B27="V",-2,0)+IF(B27="E",-1,0)+IF(B27="O",0,0)+IF(B27="L",1,0)+Y27</f>
        <v>-1</v>
      </c>
      <c r="AC27" s="0" t="n">
        <f aca="false">IF(C27="V",-2,0)+IF(C27="E",-1,0)+IF(C27="O",0,0)+IF(C27="L",1,0)+Z27</f>
        <v>1</v>
      </c>
      <c r="AD27" s="0" t="n">
        <f aca="false">IF(D27="V",-2,0)+IF(D27="E",-1,0)+IF(D27="O",0,0)+IF(D27="L",1,0)+AA27</f>
        <v>0</v>
      </c>
      <c r="AE27" s="1" t="n">
        <f aca="false">IF(B27="V",-2,0)+IF(B27="E",-1,0)+IF(B27="O",0,0)+IF(B27="L",1,0)</f>
        <v>-1</v>
      </c>
      <c r="AF27" s="1" t="n">
        <f aca="false">IF(B27="V",-2,0)+IF(B27="E",-1,0)+IF(B27="O",0,0)+IF(B27="L",1,0)+Y27</f>
        <v>-1</v>
      </c>
      <c r="AG27" s="1" t="n">
        <f aca="false">IF(B27="V",-2,0)+IF(B27="E",-1,0)+IF(B27="O",0,0)+IF(B27="L",1,0)+Y27*2</f>
        <v>-1</v>
      </c>
      <c r="AH27" s="1" t="n">
        <f aca="false">IF(C27="V",-2,0)+IF(C27="E",-1,0)+IF(C27="O",0,0)+IF(C27="L",1,0)</f>
        <v>1</v>
      </c>
      <c r="AI27" s="1" t="n">
        <f aca="false">IF(C27="V",-2,0)+IF(C27="E",-1,0)+IF(C27="O",0,0)+IF(C27="L",1,0)+Z27</f>
        <v>1</v>
      </c>
      <c r="AJ27" s="1" t="n">
        <f aca="false">IF(C27="V",-2,0)+IF(C27="E",-1,0)+IF(C27="O",0,0)+IF(C27="L",1,0)+Z27*2</f>
        <v>1</v>
      </c>
      <c r="AK27" s="1" t="n">
        <f aca="false">IF(D27="V",-2,0)+IF(D27="E",-1,0)+IF(D27="O",0,0)+IF(D27="L",1,0)</f>
        <v>0</v>
      </c>
      <c r="AL27" s="1" t="n">
        <f aca="false">IF(D27="V",-2,0)+IF(D27="E",-1,0)+IF(D27="O",0,0)+IF(D27="L",1,0)+AA27</f>
        <v>0</v>
      </c>
      <c r="AM27" s="1" t="n">
        <f aca="false">IF(D27="V",-2,0)+IF(D27="E",-1,0)+IF(D27="O",0,0)+IF(D27="L",1,0)+AA27*2</f>
        <v>0</v>
      </c>
      <c r="AN27" s="1" t="n">
        <f aca="false">(ABS(IF(AE27&lt;0,AE27*Early,AE27*Late))+ABS(IF(AF27&lt;0,AF27*Early,AF27*Late))+ABS(IF(AG27&lt;0,AG27*Early,AG27*Late)))/3</f>
        <v>3</v>
      </c>
      <c r="AO27" s="1" t="n">
        <f aca="false">(ABS(IF(AH27&lt;0,AH27*Early,AH27*Late))+ABS(IF(AI27&lt;0,AI27*Early,AI27*Late))+ABS(IF(AJ27&lt;0,AJ27*Early,AJ27*Late)))/3</f>
        <v>4</v>
      </c>
      <c r="AP27" s="1" t="n">
        <f aca="false">(ABS(IF(AK27&lt;0,AK27*Early,AK27*Late))+ABS(IF(AL27&lt;0,AL27*Early,AL27*Late))+ABS(IF(AM27&lt;0,AM27*Early,AM27*Late)))/3</f>
        <v>0</v>
      </c>
      <c r="AQ27" s="0" t="n">
        <f aca="false">Y27*Delay+AN27</f>
        <v>3</v>
      </c>
      <c r="AR27" s="0" t="n">
        <f aca="false">Z27*Delay+AO27</f>
        <v>4</v>
      </c>
      <c r="AS27" s="0" t="n">
        <f aca="false">AA27*Delay+AP27</f>
        <v>0</v>
      </c>
      <c r="AT27" s="0" t="n">
        <f aca="false">IF(AQ27=MIN(AQ26:AQ29),1,0)</f>
        <v>0</v>
      </c>
      <c r="AX27" s="0" t="str">
        <f aca="false">B27&amp;C27&amp;D27</f>
        <v>ELO</v>
      </c>
      <c r="AY27" s="1" t="n">
        <f aca="false">AQ27+AR27+AS27</f>
        <v>7</v>
      </c>
      <c r="AZ27" s="1" t="str">
        <f aca="false">RIGHT(AX27,2)</f>
        <v>LO</v>
      </c>
      <c r="BA27" s="1" t="str">
        <f aca="false">LEFT(AX27,1)&amp;RIGHT(AX27,1)</f>
        <v>EO</v>
      </c>
      <c r="BB27" s="1" t="str">
        <f aca="false">LEFT(AX27,2)</f>
        <v>EL</v>
      </c>
      <c r="BC27" s="1" t="n">
        <f aca="false">VLOOKUP(AZ27,TwoPlayers!$AG$1:$AH$17,2,FALSE())</f>
        <v>4</v>
      </c>
      <c r="BD27" s="1" t="n">
        <f aca="false">VLOOKUP(BA27,TwoPlayers!$AG$1:$AH$17,2,FALSE())</f>
        <v>3</v>
      </c>
      <c r="BE27" s="1" t="n">
        <f aca="false">VLOOKUP(BB27,TwoPlayers!$AG$1:$AH$17,2,FALSE())</f>
        <v>7</v>
      </c>
      <c r="BF27" s="1" t="n">
        <f aca="false">$AY27-BC27</f>
        <v>3</v>
      </c>
      <c r="BG27" s="1" t="n">
        <f aca="false">$AY27-BD27</f>
        <v>4</v>
      </c>
      <c r="BH27" s="1" t="n">
        <f aca="false">$AY27-BE27</f>
        <v>0</v>
      </c>
      <c r="BJ27" s="0" t="n">
        <f aca="false">AQ27+BF27</f>
        <v>6</v>
      </c>
      <c r="BK27" s="0" t="n">
        <f aca="false">AR27+BG27</f>
        <v>8</v>
      </c>
      <c r="BL27" s="0" t="n">
        <f aca="false">AS27+BH27</f>
        <v>0</v>
      </c>
      <c r="BM27" s="0" t="n">
        <f aca="false">IF(BJ27=MIN(BJ26:BJ30),1,0)</f>
        <v>1</v>
      </c>
    </row>
    <row r="28" customFormat="false" ht="13" hidden="false" customHeight="false" outlineLevel="0" collapsed="false">
      <c r="A28" s="0" t="n">
        <v>47</v>
      </c>
      <c r="B28" s="0" t="s">
        <v>3</v>
      </c>
      <c r="C28" s="0" t="s">
        <v>4</v>
      </c>
      <c r="D28" s="0" t="s">
        <v>3</v>
      </c>
      <c r="E28" s="0" t="n">
        <f aca="false">(IF($B28="V",1,0))+IF($C28="V",1,0)+IF($D28="V",1,0)</f>
        <v>0</v>
      </c>
      <c r="F28" s="0" t="n">
        <f aca="false">(IF($B28="E",1,0))+IF($C28="E",1,0)+IF($D28="E",1,0)</f>
        <v>0</v>
      </c>
      <c r="G28" s="0" t="n">
        <f aca="false">(IF($B28="O",1,0))+IF($C28="O",1,0)+IF($D28="O",1,0)</f>
        <v>2</v>
      </c>
      <c r="H28" s="0" t="n">
        <f aca="false">(IF($B28="L",1,0))+IF($C28="L",1,0)+IF($D28="L",1,0)</f>
        <v>1</v>
      </c>
      <c r="I28" s="0" t="n">
        <f aca="false">(IF(B28="V",1,0))</f>
        <v>0</v>
      </c>
      <c r="J28" s="0" t="n">
        <f aca="false">(IF(B28="E",1,0))</f>
        <v>0</v>
      </c>
      <c r="K28" s="0" t="n">
        <f aca="false">(IF(B28="O",1,0))</f>
        <v>1</v>
      </c>
      <c r="L28" s="0" t="n">
        <f aca="false">(IF(B28="L",1,0))</f>
        <v>0</v>
      </c>
      <c r="M28" s="0" t="n">
        <f aca="false">(IF(C28="V",1,0))</f>
        <v>0</v>
      </c>
      <c r="N28" s="0" t="n">
        <f aca="false">(IF(C28="E",1,0))</f>
        <v>0</v>
      </c>
      <c r="O28" s="0" t="n">
        <f aca="false">(IF(C28="O",1,0))</f>
        <v>0</v>
      </c>
      <c r="P28" s="0" t="n">
        <f aca="false">(IF(C28="L",1,0))</f>
        <v>1</v>
      </c>
      <c r="Q28" s="0" t="n">
        <f aca="false">(IF(D28="V",1,0))</f>
        <v>0</v>
      </c>
      <c r="R28" s="0" t="n">
        <f aca="false">(IF(D28="E",1,0))</f>
        <v>0</v>
      </c>
      <c r="S28" s="0" t="n">
        <f aca="false">(IF(D28="O",1,0))</f>
        <v>1</v>
      </c>
      <c r="T28" s="0" t="n">
        <f aca="false">(IF(D28="L",1,0))</f>
        <v>0</v>
      </c>
      <c r="U28" s="0" t="n">
        <f aca="false">MAX(E28-1,0)</f>
        <v>0</v>
      </c>
      <c r="V28" s="0" t="n">
        <f aca="false">MAX(U28-1+F28,0)</f>
        <v>0</v>
      </c>
      <c r="W28" s="0" t="n">
        <f aca="false">MAX(V28-1+G28,0)</f>
        <v>1</v>
      </c>
      <c r="X28" s="0" t="n">
        <f aca="false">MAX(W28-1+H28,0)</f>
        <v>1</v>
      </c>
      <c r="Y28" s="1" t="n">
        <f aca="false">0.5*(E28*I28+F28*J28+G28*K28+H28*L28-1)+(0+$U28*J28+$V28*K28+$W28*L28)</f>
        <v>0.5</v>
      </c>
      <c r="Z28" s="1" t="n">
        <f aca="false">0.5*(E28*M28+F28*N28+G28*O28+H28*P28-1)+(0+$U28*N28+$V28*O28+$W28*P28)</f>
        <v>1</v>
      </c>
      <c r="AA28" s="1" t="n">
        <f aca="false">0.5*(E28*Q28+F28*R28+G28*S28+H28*T28-1)+(0+$U28*R28+$V28*S28+$W28*T28)</f>
        <v>0.5</v>
      </c>
      <c r="AB28" s="0" t="n">
        <f aca="false">IF(B28="V",-2,0)+IF(B28="E",-1,0)+IF(B28="O",0,0)+IF(B28="L",1,0)+Y28</f>
        <v>0.5</v>
      </c>
      <c r="AC28" s="0" t="n">
        <f aca="false">IF(C28="V",-2,0)+IF(C28="E",-1,0)+IF(C28="O",0,0)+IF(C28="L",1,0)+Z28</f>
        <v>2</v>
      </c>
      <c r="AD28" s="0" t="n">
        <f aca="false">IF(D28="V",-2,0)+IF(D28="E",-1,0)+IF(D28="O",0,0)+IF(D28="L",1,0)+AA28</f>
        <v>0.5</v>
      </c>
      <c r="AE28" s="1" t="n">
        <f aca="false">IF(B28="V",-2,0)+IF(B28="E",-1,0)+IF(B28="O",0,0)+IF(B28="L",1,0)</f>
        <v>0</v>
      </c>
      <c r="AF28" s="1" t="n">
        <f aca="false">IF(B28="V",-2,0)+IF(B28="E",-1,0)+IF(B28="O",0,0)+IF(B28="L",1,0)+Y28</f>
        <v>0.5</v>
      </c>
      <c r="AG28" s="1" t="n">
        <f aca="false">IF(B28="V",-2,0)+IF(B28="E",-1,0)+IF(B28="O",0,0)+IF(B28="L",1,0)+Y28*2</f>
        <v>1</v>
      </c>
      <c r="AH28" s="1" t="n">
        <f aca="false">IF(C28="V",-2,0)+IF(C28="E",-1,0)+IF(C28="O",0,0)+IF(C28="L",1,0)</f>
        <v>1</v>
      </c>
      <c r="AI28" s="1" t="n">
        <f aca="false">IF(C28="V",-2,0)+IF(C28="E",-1,0)+IF(C28="O",0,0)+IF(C28="L",1,0)+Z28</f>
        <v>2</v>
      </c>
      <c r="AJ28" s="1" t="n">
        <f aca="false">IF(C28="V",-2,0)+IF(C28="E",-1,0)+IF(C28="O",0,0)+IF(C28="L",1,0)+Z28*2</f>
        <v>3</v>
      </c>
      <c r="AK28" s="1" t="n">
        <f aca="false">IF(D28="V",-2,0)+IF(D28="E",-1,0)+IF(D28="O",0,0)+IF(D28="L",1,0)</f>
        <v>0</v>
      </c>
      <c r="AL28" s="1" t="n">
        <f aca="false">IF(D28="V",-2,0)+IF(D28="E",-1,0)+IF(D28="O",0,0)+IF(D28="L",1,0)+AA28</f>
        <v>0.5</v>
      </c>
      <c r="AM28" s="1" t="n">
        <f aca="false">IF(D28="V",-2,0)+IF(D28="E",-1,0)+IF(D28="O",0,0)+IF(D28="L",1,0)+AA28*2</f>
        <v>1</v>
      </c>
      <c r="AN28" s="1" t="n">
        <f aca="false">(ABS(IF(AE28&lt;0,AE28*Early,AE28*Late))+ABS(IF(AF28&lt;0,AF28*Early,AF28*Late))+ABS(IF(AG28&lt;0,AG28*Early,AG28*Late)))/3</f>
        <v>2</v>
      </c>
      <c r="AO28" s="1" t="n">
        <f aca="false">(ABS(IF(AH28&lt;0,AH28*Early,AH28*Late))+ABS(IF(AI28&lt;0,AI28*Early,AI28*Late))+ABS(IF(AJ28&lt;0,AJ28*Early,AJ28*Late)))/3</f>
        <v>8</v>
      </c>
      <c r="AP28" s="1" t="n">
        <f aca="false">(ABS(IF(AK28&lt;0,AK28*Early,AK28*Late))+ABS(IF(AL28&lt;0,AL28*Early,AL28*Late))+ABS(IF(AM28&lt;0,AM28*Early,AM28*Late)))/3</f>
        <v>2</v>
      </c>
      <c r="AQ28" s="0" t="n">
        <f aca="false">Y28*Delay+AN28</f>
        <v>2.5</v>
      </c>
      <c r="AR28" s="0" t="n">
        <f aca="false">Z28*Delay+AO28</f>
        <v>9</v>
      </c>
      <c r="AS28" s="0" t="n">
        <f aca="false">AA28*Delay+AP28</f>
        <v>2.5</v>
      </c>
      <c r="AT28" s="0" t="n">
        <f aca="false">IF(AQ28=MIN(AQ26:AQ29),1,0)</f>
        <v>1</v>
      </c>
      <c r="AX28" s="0" t="str">
        <f aca="false">B28&amp;C28&amp;D28</f>
        <v>OLO</v>
      </c>
      <c r="AY28" s="1" t="n">
        <f aca="false">AQ28+AR28+AS28</f>
        <v>14</v>
      </c>
      <c r="AZ28" s="1" t="str">
        <f aca="false">RIGHT(AX28,2)</f>
        <v>LO</v>
      </c>
      <c r="BA28" s="1" t="str">
        <f aca="false">LEFT(AX28,1)&amp;RIGHT(AX28,1)</f>
        <v>OO</v>
      </c>
      <c r="BB28" s="1" t="str">
        <f aca="false">LEFT(AX28,2)</f>
        <v>OL</v>
      </c>
      <c r="BC28" s="1" t="n">
        <f aca="false">VLOOKUP(AZ28,TwoPlayers!$AG$1:$AH$17,2,FALSE())</f>
        <v>4</v>
      </c>
      <c r="BD28" s="1" t="n">
        <f aca="false">VLOOKUP(BA28,TwoPlayers!$AG$1:$AH$17,2,FALSE())</f>
        <v>5</v>
      </c>
      <c r="BE28" s="1" t="n">
        <f aca="false">VLOOKUP(BB28,TwoPlayers!$AG$1:$AH$17,2,FALSE())</f>
        <v>4</v>
      </c>
      <c r="BF28" s="1" t="n">
        <f aca="false">$AY28-BC28</f>
        <v>10</v>
      </c>
      <c r="BG28" s="1" t="n">
        <f aca="false">$AY28-BD28</f>
        <v>9</v>
      </c>
      <c r="BH28" s="1" t="n">
        <f aca="false">$AY28-BE28</f>
        <v>10</v>
      </c>
      <c r="BJ28" s="0" t="n">
        <f aca="false">AQ28+BF28</f>
        <v>12.5</v>
      </c>
      <c r="BK28" s="0" t="n">
        <f aca="false">AR28+BG28</f>
        <v>18</v>
      </c>
      <c r="BL28" s="0" t="n">
        <f aca="false">AS28+BH28</f>
        <v>12.5</v>
      </c>
      <c r="BM28" s="0" t="n">
        <f aca="false">IF(BJ28=MIN(BJ26:BJ30),1,0)</f>
        <v>0</v>
      </c>
    </row>
    <row r="29" customFormat="false" ht="13" hidden="false" customHeight="false" outlineLevel="0" collapsed="false">
      <c r="A29" s="0" t="n">
        <v>63</v>
      </c>
      <c r="B29" s="0" t="s">
        <v>4</v>
      </c>
      <c r="C29" s="0" t="s">
        <v>4</v>
      </c>
      <c r="D29" s="0" t="s">
        <v>3</v>
      </c>
      <c r="E29" s="0" t="n">
        <f aca="false">(IF($B29="V",1,0))+IF($C29="V",1,0)+IF($D29="V",1,0)</f>
        <v>0</v>
      </c>
      <c r="F29" s="0" t="n">
        <f aca="false">(IF($B29="E",1,0))+IF($C29="E",1,0)+IF($D29="E",1,0)</f>
        <v>0</v>
      </c>
      <c r="G29" s="0" t="n">
        <f aca="false">(IF($B29="O",1,0))+IF($C29="O",1,0)+IF($D29="O",1,0)</f>
        <v>1</v>
      </c>
      <c r="H29" s="0" t="n">
        <f aca="false">(IF($B29="L",1,0))+IF($C29="L",1,0)+IF($D29="L",1,0)</f>
        <v>2</v>
      </c>
      <c r="I29" s="0" t="n">
        <f aca="false">(IF(B29="V",1,0))</f>
        <v>0</v>
      </c>
      <c r="J29" s="0" t="n">
        <f aca="false">(IF(B29="E",1,0))</f>
        <v>0</v>
      </c>
      <c r="K29" s="0" t="n">
        <f aca="false">(IF(B29="O",1,0))</f>
        <v>0</v>
      </c>
      <c r="L29" s="0" t="n">
        <f aca="false">(IF(B29="L",1,0))</f>
        <v>1</v>
      </c>
      <c r="M29" s="0" t="n">
        <f aca="false">(IF(C29="V",1,0))</f>
        <v>0</v>
      </c>
      <c r="N29" s="0" t="n">
        <f aca="false">(IF(C29="E",1,0))</f>
        <v>0</v>
      </c>
      <c r="O29" s="0" t="n">
        <f aca="false">(IF(C29="O",1,0))</f>
        <v>0</v>
      </c>
      <c r="P29" s="0" t="n">
        <f aca="false">(IF(C29="L",1,0))</f>
        <v>1</v>
      </c>
      <c r="Q29" s="0" t="n">
        <f aca="false">(IF(D29="V",1,0))</f>
        <v>0</v>
      </c>
      <c r="R29" s="0" t="n">
        <f aca="false">(IF(D29="E",1,0))</f>
        <v>0</v>
      </c>
      <c r="S29" s="0" t="n">
        <f aca="false">(IF(D29="O",1,0))</f>
        <v>1</v>
      </c>
      <c r="T29" s="0" t="n">
        <f aca="false">(IF(D29="L",1,0))</f>
        <v>0</v>
      </c>
      <c r="U29" s="0" t="n">
        <f aca="false">MAX(E29-1,0)</f>
        <v>0</v>
      </c>
      <c r="V29" s="0" t="n">
        <f aca="false">MAX(U29-1+F29,0)</f>
        <v>0</v>
      </c>
      <c r="W29" s="0" t="n">
        <f aca="false">MAX(V29-1+G29,0)</f>
        <v>0</v>
      </c>
      <c r="X29" s="0" t="n">
        <f aca="false">MAX(W29-1+H29,0)</f>
        <v>1</v>
      </c>
      <c r="Y29" s="1" t="n">
        <f aca="false">0.5*(E29*I29+F29*J29+G29*K29+H29*L29-1)+(0+$U29*J29+$V29*K29+$W29*L29)</f>
        <v>0.5</v>
      </c>
      <c r="Z29" s="1" t="n">
        <f aca="false">0.5*(E29*M29+F29*N29+G29*O29+H29*P29-1)+(0+$U29*N29+$V29*O29+$W29*P29)</f>
        <v>0.5</v>
      </c>
      <c r="AA29" s="1" t="n">
        <f aca="false">0.5*(E29*Q29+F29*R29+G29*S29+H29*T29-1)+(0+$U29*R29+$V29*S29+$W29*T29)</f>
        <v>0</v>
      </c>
      <c r="AB29" s="0" t="n">
        <f aca="false">IF(B29="V",-2,0)+IF(B29="E",-1,0)+IF(B29="O",0,0)+IF(B29="L",1,0)+Y29</f>
        <v>1.5</v>
      </c>
      <c r="AC29" s="0" t="n">
        <f aca="false">IF(C29="V",-2,0)+IF(C29="E",-1,0)+IF(C29="O",0,0)+IF(C29="L",1,0)+Z29</f>
        <v>1.5</v>
      </c>
      <c r="AD29" s="0" t="n">
        <f aca="false">IF(D29="V",-2,0)+IF(D29="E",-1,0)+IF(D29="O",0,0)+IF(D29="L",1,0)+AA29</f>
        <v>0</v>
      </c>
      <c r="AE29" s="1" t="n">
        <f aca="false">IF(B29="V",-2,0)+IF(B29="E",-1,0)+IF(B29="O",0,0)+IF(B29="L",1,0)</f>
        <v>1</v>
      </c>
      <c r="AF29" s="1" t="n">
        <f aca="false">IF(B29="V",-2,0)+IF(B29="E",-1,0)+IF(B29="O",0,0)+IF(B29="L",1,0)+Y29</f>
        <v>1.5</v>
      </c>
      <c r="AG29" s="1" t="n">
        <f aca="false">IF(B29="V",-2,0)+IF(B29="E",-1,0)+IF(B29="O",0,0)+IF(B29="L",1,0)+Y29*2</f>
        <v>2</v>
      </c>
      <c r="AH29" s="1" t="n">
        <f aca="false">IF(C29="V",-2,0)+IF(C29="E",-1,0)+IF(C29="O",0,0)+IF(C29="L",1,0)</f>
        <v>1</v>
      </c>
      <c r="AI29" s="1" t="n">
        <f aca="false">IF(C29="V",-2,0)+IF(C29="E",-1,0)+IF(C29="O",0,0)+IF(C29="L",1,0)+Z29</f>
        <v>1.5</v>
      </c>
      <c r="AJ29" s="1" t="n">
        <f aca="false">IF(C29="V",-2,0)+IF(C29="E",-1,0)+IF(C29="O",0,0)+IF(C29="L",1,0)+Z29*2</f>
        <v>2</v>
      </c>
      <c r="AK29" s="1" t="n">
        <f aca="false">IF(D29="V",-2,0)+IF(D29="E",-1,0)+IF(D29="O",0,0)+IF(D29="L",1,0)</f>
        <v>0</v>
      </c>
      <c r="AL29" s="1" t="n">
        <f aca="false">IF(D29="V",-2,0)+IF(D29="E",-1,0)+IF(D29="O",0,0)+IF(D29="L",1,0)+AA29</f>
        <v>0</v>
      </c>
      <c r="AM29" s="1" t="n">
        <f aca="false">IF(D29="V",-2,0)+IF(D29="E",-1,0)+IF(D29="O",0,0)+IF(D29="L",1,0)+AA29*2</f>
        <v>0</v>
      </c>
      <c r="AN29" s="1" t="n">
        <f aca="false">(ABS(IF(AE29&lt;0,AE29*Early,AE29*Late))+ABS(IF(AF29&lt;0,AF29*Early,AF29*Late))+ABS(IF(AG29&lt;0,AG29*Early,AG29*Late)))/3</f>
        <v>6</v>
      </c>
      <c r="AO29" s="1" t="n">
        <f aca="false">(ABS(IF(AH29&lt;0,AH29*Early,AH29*Late))+ABS(IF(AI29&lt;0,AI29*Early,AI29*Late))+ABS(IF(AJ29&lt;0,AJ29*Early,AJ29*Late)))/3</f>
        <v>6</v>
      </c>
      <c r="AP29" s="1" t="n">
        <f aca="false">(ABS(IF(AK29&lt;0,AK29*Early,AK29*Late))+ABS(IF(AL29&lt;0,AL29*Early,AL29*Late))+ABS(IF(AM29&lt;0,AM29*Early,AM29*Late)))/3</f>
        <v>0</v>
      </c>
      <c r="AQ29" s="0" t="n">
        <f aca="false">Y29*Delay+AN29</f>
        <v>6.5</v>
      </c>
      <c r="AR29" s="0" t="n">
        <f aca="false">Z29*Delay+AO29</f>
        <v>6.5</v>
      </c>
      <c r="AS29" s="0" t="n">
        <f aca="false">AA29*Delay+AP29</f>
        <v>0</v>
      </c>
      <c r="AT29" s="0" t="n">
        <f aca="false">IF(AQ29=MIN(AQ26:AQ29),1,0)</f>
        <v>0</v>
      </c>
      <c r="AX29" s="0" t="str">
        <f aca="false">B29&amp;C29&amp;D29</f>
        <v>LLO</v>
      </c>
      <c r="AY29" s="1" t="n">
        <f aca="false">AQ29+AR29+AS29</f>
        <v>13</v>
      </c>
      <c r="AZ29" s="1" t="str">
        <f aca="false">RIGHT(AX29,2)</f>
        <v>LO</v>
      </c>
      <c r="BA29" s="1" t="str">
        <f aca="false">LEFT(AX29,1)&amp;RIGHT(AX29,1)</f>
        <v>LO</v>
      </c>
      <c r="BB29" s="1" t="str">
        <f aca="false">LEFT(AX29,2)</f>
        <v>LL</v>
      </c>
      <c r="BC29" s="1" t="n">
        <f aca="false">VLOOKUP(AZ29,TwoPlayers!$AG$1:$AH$17,2,FALSE())</f>
        <v>4</v>
      </c>
      <c r="BD29" s="1" t="n">
        <f aca="false">VLOOKUP(BA29,TwoPlayers!$AG$1:$AH$17,2,FALSE())</f>
        <v>4</v>
      </c>
      <c r="BE29" s="1" t="n">
        <f aca="false">VLOOKUP(BB29,TwoPlayers!$AG$1:$AH$17,2,FALSE())</f>
        <v>13</v>
      </c>
      <c r="BF29" s="1" t="n">
        <f aca="false">$AY29-BC29</f>
        <v>9</v>
      </c>
      <c r="BG29" s="1" t="n">
        <f aca="false">$AY29-BD29</f>
        <v>9</v>
      </c>
      <c r="BH29" s="1" t="n">
        <f aca="false">$AY29-BE29</f>
        <v>0</v>
      </c>
      <c r="BJ29" s="0" t="n">
        <f aca="false">AQ29+BF29</f>
        <v>15.5</v>
      </c>
      <c r="BK29" s="0" t="n">
        <f aca="false">AR29+BG29</f>
        <v>15.5</v>
      </c>
      <c r="BL29" s="0" t="n">
        <f aca="false">AS29+BH29</f>
        <v>0</v>
      </c>
      <c r="BM29" s="0" t="n">
        <f aca="false">IF(BJ29=MIN(BJ26:BJ30),1,0)</f>
        <v>0</v>
      </c>
    </row>
    <row r="30" customFormat="false" ht="13" hidden="false" customHeight="false" outlineLevel="0" collapsed="false">
      <c r="A30" s="0" t="n">
        <v>13</v>
      </c>
      <c r="B30" s="0" t="s">
        <v>1</v>
      </c>
      <c r="C30" s="0" t="s">
        <v>4</v>
      </c>
      <c r="D30" s="0" t="s">
        <v>1</v>
      </c>
      <c r="E30" s="0" t="n">
        <f aca="false">(IF($B30="V",1,0))+IF($C30="V",1,0)+IF($D30="V",1,0)</f>
        <v>2</v>
      </c>
      <c r="F30" s="0" t="n">
        <f aca="false">(IF($B30="E",1,0))+IF($C30="E",1,0)+IF($D30="E",1,0)</f>
        <v>0</v>
      </c>
      <c r="G30" s="0" t="n">
        <f aca="false">(IF($B30="O",1,0))+IF($C30="O",1,0)+IF($D30="O",1,0)</f>
        <v>0</v>
      </c>
      <c r="H30" s="0" t="n">
        <f aca="false">(IF($B30="L",1,0))+IF($C30="L",1,0)+IF($D30="L",1,0)</f>
        <v>1</v>
      </c>
      <c r="I30" s="0" t="n">
        <f aca="false">(IF(B30="V",1,0))</f>
        <v>1</v>
      </c>
      <c r="J30" s="0" t="n">
        <f aca="false">(IF(B30="E",1,0))</f>
        <v>0</v>
      </c>
      <c r="K30" s="0" t="n">
        <f aca="false">(IF(B30="O",1,0))</f>
        <v>0</v>
      </c>
      <c r="L30" s="0" t="n">
        <f aca="false">(IF(B30="L",1,0))</f>
        <v>0</v>
      </c>
      <c r="M30" s="0" t="n">
        <f aca="false">(IF(C30="V",1,0))</f>
        <v>0</v>
      </c>
      <c r="N30" s="0" t="n">
        <f aca="false">(IF(C30="E",1,0))</f>
        <v>0</v>
      </c>
      <c r="O30" s="0" t="n">
        <f aca="false">(IF(C30="O",1,0))</f>
        <v>0</v>
      </c>
      <c r="P30" s="0" t="n">
        <f aca="false">(IF(C30="L",1,0))</f>
        <v>1</v>
      </c>
      <c r="Q30" s="0" t="n">
        <f aca="false">(IF(D30="V",1,0))</f>
        <v>1</v>
      </c>
      <c r="R30" s="0" t="n">
        <f aca="false">(IF(D30="E",1,0))</f>
        <v>0</v>
      </c>
      <c r="S30" s="0" t="n">
        <f aca="false">(IF(D30="O",1,0))</f>
        <v>0</v>
      </c>
      <c r="T30" s="0" t="n">
        <f aca="false">(IF(D30="L",1,0))</f>
        <v>0</v>
      </c>
      <c r="U30" s="0" t="n">
        <f aca="false">MAX(E30-1,0)</f>
        <v>1</v>
      </c>
      <c r="V30" s="0" t="n">
        <f aca="false">MAX(U30-1+F30,0)</f>
        <v>0</v>
      </c>
      <c r="W30" s="0" t="n">
        <f aca="false">MAX(V30-1+G30,0)</f>
        <v>0</v>
      </c>
      <c r="X30" s="0" t="n">
        <f aca="false">MAX(W30-1+H30,0)</f>
        <v>0</v>
      </c>
      <c r="Y30" s="1" t="n">
        <f aca="false">0.5*(E30*I30+F30*J30+G30*K30+H30*L30-1)+(0+$U30*J30+$V30*K30+$W30*L30)</f>
        <v>0.5</v>
      </c>
      <c r="Z30" s="1" t="n">
        <f aca="false">0.5*(E30*M30+F30*N30+G30*O30+H30*P30-1)+(0+$U30*N30+$V30*O30+$W30*P30)</f>
        <v>0</v>
      </c>
      <c r="AA30" s="1" t="n">
        <f aca="false">0.5*(E30*Q30+F30*R30+G30*S30+H30*T30-1)+(0+$U30*R30+$V30*S30+$W30*T30)</f>
        <v>0.5</v>
      </c>
      <c r="AB30" s="0" t="n">
        <f aca="false">IF(B30="V",-2,0)+IF(B30="E",-1,0)+IF(B30="O",0,0)+IF(B30="L",1,0)+Y30</f>
        <v>-1.5</v>
      </c>
      <c r="AC30" s="0" t="n">
        <f aca="false">IF(C30="V",-2,0)+IF(C30="E",-1,0)+IF(C30="O",0,0)+IF(C30="L",1,0)+Z30</f>
        <v>1</v>
      </c>
      <c r="AD30" s="0" t="n">
        <f aca="false">IF(D30="V",-2,0)+IF(D30="E",-1,0)+IF(D30="O",0,0)+IF(D30="L",1,0)+AA30</f>
        <v>-1.5</v>
      </c>
      <c r="AE30" s="1" t="n">
        <f aca="false">IF(B30="V",-2,0)+IF(B30="E",-1,0)+IF(B30="O",0,0)+IF(B30="L",1,0)</f>
        <v>-2</v>
      </c>
      <c r="AF30" s="1" t="n">
        <f aca="false">IF(B30="V",-2,0)+IF(B30="E",-1,0)+IF(B30="O",0,0)+IF(B30="L",1,0)+Y30</f>
        <v>-1.5</v>
      </c>
      <c r="AG30" s="1" t="n">
        <f aca="false">IF(B30="V",-2,0)+IF(B30="E",-1,0)+IF(B30="O",0,0)+IF(B30="L",1,0)+Y30*2</f>
        <v>-1</v>
      </c>
      <c r="AH30" s="1" t="n">
        <f aca="false">IF(C30="V",-2,0)+IF(C30="E",-1,0)+IF(C30="O",0,0)+IF(C30="L",1,0)</f>
        <v>1</v>
      </c>
      <c r="AI30" s="1" t="n">
        <f aca="false">IF(C30="V",-2,0)+IF(C30="E",-1,0)+IF(C30="O",0,0)+IF(C30="L",1,0)+Z30</f>
        <v>1</v>
      </c>
      <c r="AJ30" s="1" t="n">
        <f aca="false">IF(C30="V",-2,0)+IF(C30="E",-1,0)+IF(C30="O",0,0)+IF(C30="L",1,0)+Z30*2</f>
        <v>1</v>
      </c>
      <c r="AK30" s="1" t="n">
        <f aca="false">IF(D30="V",-2,0)+IF(D30="E",-1,0)+IF(D30="O",0,0)+IF(D30="L",1,0)</f>
        <v>-2</v>
      </c>
      <c r="AL30" s="1" t="n">
        <f aca="false">IF(D30="V",-2,0)+IF(D30="E",-1,0)+IF(D30="O",0,0)+IF(D30="L",1,0)+AA30</f>
        <v>-1.5</v>
      </c>
      <c r="AM30" s="1" t="n">
        <f aca="false">IF(D30="V",-2,0)+IF(D30="E",-1,0)+IF(D30="O",0,0)+IF(D30="L",1,0)+AA30*2</f>
        <v>-1</v>
      </c>
      <c r="AN30" s="1" t="n">
        <f aca="false">(ABS(IF(AE30&lt;0,AE30*Early,AE30*Late))+ABS(IF(AF30&lt;0,AF30*Early,AF30*Late))+ABS(IF(AG30&lt;0,AG30*Early,AG30*Late)))/3</f>
        <v>4.5</v>
      </c>
      <c r="AO30" s="1" t="n">
        <f aca="false">(ABS(IF(AH30&lt;0,AH30*Early,AH30*Late))+ABS(IF(AI30&lt;0,AI30*Early,AI30*Late))+ABS(IF(AJ30&lt;0,AJ30*Early,AJ30*Late)))/3</f>
        <v>4</v>
      </c>
      <c r="AP30" s="1" t="n">
        <f aca="false">(ABS(IF(AK30&lt;0,AK30*Early,AK30*Late))+ABS(IF(AL30&lt;0,AL30*Early,AL30*Late))+ABS(IF(AM30&lt;0,AM30*Early,AM30*Late)))/3</f>
        <v>4.5</v>
      </c>
      <c r="AQ30" s="0" t="n">
        <f aca="false">Y30*Delay+AN30</f>
        <v>5</v>
      </c>
      <c r="AR30" s="0" t="n">
        <f aca="false">Z30*Delay+AO30</f>
        <v>4</v>
      </c>
      <c r="AS30" s="0" t="n">
        <f aca="false">AA30*Delay+AP30</f>
        <v>5</v>
      </c>
      <c r="AT30" s="0" t="n">
        <f aca="false">IF(AQ30=MIN(AQ30:AQ33),1,0)</f>
        <v>0</v>
      </c>
      <c r="AX30" s="0" t="str">
        <f aca="false">B30&amp;C30&amp;D30</f>
        <v>VLV</v>
      </c>
      <c r="AY30" s="1" t="n">
        <f aca="false">AQ30+AR30+AS30</f>
        <v>14</v>
      </c>
      <c r="AZ30" s="1" t="str">
        <f aca="false">RIGHT(AX30,2)</f>
        <v>LV</v>
      </c>
      <c r="BA30" s="1" t="str">
        <f aca="false">LEFT(AX30,1)&amp;RIGHT(AX30,1)</f>
        <v>VV</v>
      </c>
      <c r="BB30" s="1" t="str">
        <f aca="false">LEFT(AX30,2)</f>
        <v>VL</v>
      </c>
      <c r="BC30" s="1" t="n">
        <f aca="false">VLOOKUP(AZ30,TwoPlayers!$AG$1:$AH$17,2,FALSE())</f>
        <v>10</v>
      </c>
      <c r="BD30" s="1" t="n">
        <f aca="false">VLOOKUP(BA30,TwoPlayers!$AG$1:$AH$17,2,FALSE())</f>
        <v>10</v>
      </c>
      <c r="BE30" s="1" t="n">
        <f aca="false">VLOOKUP(BB30,TwoPlayers!$AG$1:$AH$17,2,FALSE())</f>
        <v>10</v>
      </c>
      <c r="BF30" s="1" t="n">
        <f aca="false">$AY30-BC30</f>
        <v>4</v>
      </c>
      <c r="BG30" s="1" t="n">
        <f aca="false">$AY30-BD30</f>
        <v>4</v>
      </c>
      <c r="BH30" s="1" t="n">
        <f aca="false">$AY30-BE30</f>
        <v>4</v>
      </c>
      <c r="BJ30" s="0" t="n">
        <f aca="false">AQ30+BF30</f>
        <v>9</v>
      </c>
      <c r="BK30" s="0" t="n">
        <f aca="false">AR30+BG30</f>
        <v>8</v>
      </c>
      <c r="BL30" s="0" t="n">
        <f aca="false">AS30+BH30</f>
        <v>9</v>
      </c>
      <c r="BM30" s="0" t="n">
        <f aca="false">IF(BJ30=MIN(BJ30:BJ34),1,0)</f>
        <v>0</v>
      </c>
    </row>
    <row r="31" customFormat="false" ht="13" hidden="false" customHeight="false" outlineLevel="0" collapsed="false">
      <c r="A31" s="0" t="n">
        <v>29</v>
      </c>
      <c r="B31" s="0" t="s">
        <v>2</v>
      </c>
      <c r="C31" s="0" t="s">
        <v>4</v>
      </c>
      <c r="D31" s="0" t="s">
        <v>1</v>
      </c>
      <c r="E31" s="0" t="n">
        <f aca="false">(IF($B31="V",1,0))+IF($C31="V",1,0)+IF($D31="V",1,0)</f>
        <v>1</v>
      </c>
      <c r="F31" s="0" t="n">
        <f aca="false">(IF($B31="E",1,0))+IF($C31="E",1,0)+IF($D31="E",1,0)</f>
        <v>1</v>
      </c>
      <c r="G31" s="0" t="n">
        <f aca="false">(IF($B31="O",1,0))+IF($C31="O",1,0)+IF($D31="O",1,0)</f>
        <v>0</v>
      </c>
      <c r="H31" s="0" t="n">
        <f aca="false">(IF($B31="L",1,0))+IF($C31="L",1,0)+IF($D31="L",1,0)</f>
        <v>1</v>
      </c>
      <c r="I31" s="0" t="n">
        <f aca="false">(IF(B31="V",1,0))</f>
        <v>0</v>
      </c>
      <c r="J31" s="0" t="n">
        <f aca="false">(IF(B31="E",1,0))</f>
        <v>1</v>
      </c>
      <c r="K31" s="0" t="n">
        <f aca="false">(IF(B31="O",1,0))</f>
        <v>0</v>
      </c>
      <c r="L31" s="0" t="n">
        <f aca="false">(IF(B31="L",1,0))</f>
        <v>0</v>
      </c>
      <c r="M31" s="0" t="n">
        <f aca="false">(IF(C31="V",1,0))</f>
        <v>0</v>
      </c>
      <c r="N31" s="0" t="n">
        <f aca="false">(IF(C31="E",1,0))</f>
        <v>0</v>
      </c>
      <c r="O31" s="0" t="n">
        <f aca="false">(IF(C31="O",1,0))</f>
        <v>0</v>
      </c>
      <c r="P31" s="0" t="n">
        <f aca="false">(IF(C31="L",1,0))</f>
        <v>1</v>
      </c>
      <c r="Q31" s="0" t="n">
        <f aca="false">(IF(D31="V",1,0))</f>
        <v>1</v>
      </c>
      <c r="R31" s="0" t="n">
        <f aca="false">(IF(D31="E",1,0))</f>
        <v>0</v>
      </c>
      <c r="S31" s="0" t="n">
        <f aca="false">(IF(D31="O",1,0))</f>
        <v>0</v>
      </c>
      <c r="T31" s="0" t="n">
        <f aca="false">(IF(D31="L",1,0))</f>
        <v>0</v>
      </c>
      <c r="U31" s="0" t="n">
        <f aca="false">MAX(E31-1,0)</f>
        <v>0</v>
      </c>
      <c r="V31" s="0" t="n">
        <f aca="false">MAX(U31-1+F31,0)</f>
        <v>0</v>
      </c>
      <c r="W31" s="0" t="n">
        <f aca="false">MAX(V31-1+G31,0)</f>
        <v>0</v>
      </c>
      <c r="X31" s="0" t="n">
        <f aca="false">MAX(W31-1+H31,0)</f>
        <v>0</v>
      </c>
      <c r="Y31" s="1" t="n">
        <f aca="false">0.5*(E31*I31+F31*J31+G31*K31+H31*L31-1)+(0+$U31*J31+$V31*K31+$W31*L31)</f>
        <v>0</v>
      </c>
      <c r="Z31" s="1" t="n">
        <f aca="false">0.5*(E31*M31+F31*N31+G31*O31+H31*P31-1)+(0+$U31*N31+$V31*O31+$W31*P31)</f>
        <v>0</v>
      </c>
      <c r="AA31" s="1" t="n">
        <f aca="false">0.5*(E31*Q31+F31*R31+G31*S31+H31*T31-1)+(0+$U31*R31+$V31*S31+$W31*T31)</f>
        <v>0</v>
      </c>
      <c r="AB31" s="0" t="n">
        <f aca="false">IF(B31="V",-2,0)+IF(B31="E",-1,0)+IF(B31="O",0,0)+IF(B31="L",1,0)+Y31</f>
        <v>-1</v>
      </c>
      <c r="AC31" s="0" t="n">
        <f aca="false">IF(C31="V",-2,0)+IF(C31="E",-1,0)+IF(C31="O",0,0)+IF(C31="L",1,0)+Z31</f>
        <v>1</v>
      </c>
      <c r="AD31" s="0" t="n">
        <f aca="false">IF(D31="V",-2,0)+IF(D31="E",-1,0)+IF(D31="O",0,0)+IF(D31="L",1,0)+AA31</f>
        <v>-2</v>
      </c>
      <c r="AE31" s="1" t="n">
        <f aca="false">IF(B31="V",-2,0)+IF(B31="E",-1,0)+IF(B31="O",0,0)+IF(B31="L",1,0)</f>
        <v>-1</v>
      </c>
      <c r="AF31" s="1" t="n">
        <f aca="false">IF(B31="V",-2,0)+IF(B31="E",-1,0)+IF(B31="O",0,0)+IF(B31="L",1,0)+Y31</f>
        <v>-1</v>
      </c>
      <c r="AG31" s="1" t="n">
        <f aca="false">IF(B31="V",-2,0)+IF(B31="E",-1,0)+IF(B31="O",0,0)+IF(B31="L",1,0)+Y31*2</f>
        <v>-1</v>
      </c>
      <c r="AH31" s="1" t="n">
        <f aca="false">IF(C31="V",-2,0)+IF(C31="E",-1,0)+IF(C31="O",0,0)+IF(C31="L",1,0)</f>
        <v>1</v>
      </c>
      <c r="AI31" s="1" t="n">
        <f aca="false">IF(C31="V",-2,0)+IF(C31="E",-1,0)+IF(C31="O",0,0)+IF(C31="L",1,0)+Z31</f>
        <v>1</v>
      </c>
      <c r="AJ31" s="1" t="n">
        <f aca="false">IF(C31="V",-2,0)+IF(C31="E",-1,0)+IF(C31="O",0,0)+IF(C31="L",1,0)+Z31*2</f>
        <v>1</v>
      </c>
      <c r="AK31" s="1" t="n">
        <f aca="false">IF(D31="V",-2,0)+IF(D31="E",-1,0)+IF(D31="O",0,0)+IF(D31="L",1,0)</f>
        <v>-2</v>
      </c>
      <c r="AL31" s="1" t="n">
        <f aca="false">IF(D31="V",-2,0)+IF(D31="E",-1,0)+IF(D31="O",0,0)+IF(D31="L",1,0)+AA31</f>
        <v>-2</v>
      </c>
      <c r="AM31" s="1" t="n">
        <f aca="false">IF(D31="V",-2,0)+IF(D31="E",-1,0)+IF(D31="O",0,0)+IF(D31="L",1,0)+AA31*2</f>
        <v>-2</v>
      </c>
      <c r="AN31" s="1" t="n">
        <f aca="false">(ABS(IF(AE31&lt;0,AE31*Early,AE31*Late))+ABS(IF(AF31&lt;0,AF31*Early,AF31*Late))+ABS(IF(AG31&lt;0,AG31*Early,AG31*Late)))/3</f>
        <v>3</v>
      </c>
      <c r="AO31" s="1" t="n">
        <f aca="false">(ABS(IF(AH31&lt;0,AH31*Early,AH31*Late))+ABS(IF(AI31&lt;0,AI31*Early,AI31*Late))+ABS(IF(AJ31&lt;0,AJ31*Early,AJ31*Late)))/3</f>
        <v>4</v>
      </c>
      <c r="AP31" s="1" t="n">
        <f aca="false">(ABS(IF(AK31&lt;0,AK31*Early,AK31*Late))+ABS(IF(AL31&lt;0,AL31*Early,AL31*Late))+ABS(IF(AM31&lt;0,AM31*Early,AM31*Late)))/3</f>
        <v>6</v>
      </c>
      <c r="AQ31" s="0" t="n">
        <f aca="false">Y31*Delay+AN31</f>
        <v>3</v>
      </c>
      <c r="AR31" s="0" t="n">
        <f aca="false">Z31*Delay+AO31</f>
        <v>4</v>
      </c>
      <c r="AS31" s="0" t="n">
        <f aca="false">AA31*Delay+AP31</f>
        <v>6</v>
      </c>
      <c r="AT31" s="0" t="n">
        <f aca="false">IF(AQ31=MIN(AQ30:AQ33),1,0)</f>
        <v>0</v>
      </c>
      <c r="AX31" s="0" t="str">
        <f aca="false">B31&amp;C31&amp;D31</f>
        <v>ELV</v>
      </c>
      <c r="AY31" s="1" t="n">
        <f aca="false">AQ31+AR31+AS31</f>
        <v>13</v>
      </c>
      <c r="AZ31" s="1" t="str">
        <f aca="false">RIGHT(AX31,2)</f>
        <v>LV</v>
      </c>
      <c r="BA31" s="1" t="str">
        <f aca="false">LEFT(AX31,1)&amp;RIGHT(AX31,1)</f>
        <v>EV</v>
      </c>
      <c r="BB31" s="1" t="str">
        <f aca="false">LEFT(AX31,2)</f>
        <v>EL</v>
      </c>
      <c r="BC31" s="1" t="n">
        <f aca="false">VLOOKUP(AZ31,TwoPlayers!$AG$1:$AH$17,2,FALSE())</f>
        <v>10</v>
      </c>
      <c r="BD31" s="1" t="n">
        <f aca="false">VLOOKUP(BA31,TwoPlayers!$AG$1:$AH$17,2,FALSE())</f>
        <v>9</v>
      </c>
      <c r="BE31" s="1" t="n">
        <f aca="false">VLOOKUP(BB31,TwoPlayers!$AG$1:$AH$17,2,FALSE())</f>
        <v>7</v>
      </c>
      <c r="BF31" s="1" t="n">
        <f aca="false">$AY31-BC31</f>
        <v>3</v>
      </c>
      <c r="BG31" s="1" t="n">
        <f aca="false">$AY31-BD31</f>
        <v>4</v>
      </c>
      <c r="BH31" s="1" t="n">
        <f aca="false">$AY31-BE31</f>
        <v>6</v>
      </c>
      <c r="BJ31" s="0" t="n">
        <f aca="false">AQ31+BF31</f>
        <v>6</v>
      </c>
      <c r="BK31" s="0" t="n">
        <f aca="false">AR31+BG31</f>
        <v>8</v>
      </c>
      <c r="BL31" s="0" t="n">
        <f aca="false">AS31+BH31</f>
        <v>12</v>
      </c>
      <c r="BM31" s="0" t="n">
        <f aca="false">IF(BJ31=MIN(BJ30:BJ34),1,0)</f>
        <v>0</v>
      </c>
    </row>
    <row r="32" customFormat="false" ht="13" hidden="false" customHeight="false" outlineLevel="0" collapsed="false">
      <c r="A32" s="0" t="n">
        <v>45</v>
      </c>
      <c r="B32" s="0" t="s">
        <v>3</v>
      </c>
      <c r="C32" s="0" t="s">
        <v>4</v>
      </c>
      <c r="D32" s="0" t="s">
        <v>1</v>
      </c>
      <c r="E32" s="0" t="n">
        <f aca="false">(IF($B32="V",1,0))+IF($C32="V",1,0)+IF($D32="V",1,0)</f>
        <v>1</v>
      </c>
      <c r="F32" s="0" t="n">
        <f aca="false">(IF($B32="E",1,0))+IF($C32="E",1,0)+IF($D32="E",1,0)</f>
        <v>0</v>
      </c>
      <c r="G32" s="0" t="n">
        <f aca="false">(IF($B32="O",1,0))+IF($C32="O",1,0)+IF($D32="O",1,0)</f>
        <v>1</v>
      </c>
      <c r="H32" s="0" t="n">
        <f aca="false">(IF($B32="L",1,0))+IF($C32="L",1,0)+IF($D32="L",1,0)</f>
        <v>1</v>
      </c>
      <c r="I32" s="0" t="n">
        <f aca="false">(IF(B32="V",1,0))</f>
        <v>0</v>
      </c>
      <c r="J32" s="0" t="n">
        <f aca="false">(IF(B32="E",1,0))</f>
        <v>0</v>
      </c>
      <c r="K32" s="0" t="n">
        <f aca="false">(IF(B32="O",1,0))</f>
        <v>1</v>
      </c>
      <c r="L32" s="0" t="n">
        <f aca="false">(IF(B32="L",1,0))</f>
        <v>0</v>
      </c>
      <c r="M32" s="0" t="n">
        <f aca="false">(IF(C32="V",1,0))</f>
        <v>0</v>
      </c>
      <c r="N32" s="0" t="n">
        <f aca="false">(IF(C32="E",1,0))</f>
        <v>0</v>
      </c>
      <c r="O32" s="0" t="n">
        <f aca="false">(IF(C32="O",1,0))</f>
        <v>0</v>
      </c>
      <c r="P32" s="0" t="n">
        <f aca="false">(IF(C32="L",1,0))</f>
        <v>1</v>
      </c>
      <c r="Q32" s="0" t="n">
        <f aca="false">(IF(D32="V",1,0))</f>
        <v>1</v>
      </c>
      <c r="R32" s="0" t="n">
        <f aca="false">(IF(D32="E",1,0))</f>
        <v>0</v>
      </c>
      <c r="S32" s="0" t="n">
        <f aca="false">(IF(D32="O",1,0))</f>
        <v>0</v>
      </c>
      <c r="T32" s="0" t="n">
        <f aca="false">(IF(D32="L",1,0))</f>
        <v>0</v>
      </c>
      <c r="U32" s="0" t="n">
        <f aca="false">MAX(E32-1,0)</f>
        <v>0</v>
      </c>
      <c r="V32" s="0" t="n">
        <f aca="false">MAX(U32-1+F32,0)</f>
        <v>0</v>
      </c>
      <c r="W32" s="0" t="n">
        <f aca="false">MAX(V32-1+G32,0)</f>
        <v>0</v>
      </c>
      <c r="X32" s="0" t="n">
        <f aca="false">MAX(W32-1+H32,0)</f>
        <v>0</v>
      </c>
      <c r="Y32" s="1" t="n">
        <f aca="false">0.5*(E32*I32+F32*J32+G32*K32+H32*L32-1)+(0+$U32*J32+$V32*K32+$W32*L32)</f>
        <v>0</v>
      </c>
      <c r="Z32" s="1" t="n">
        <f aca="false">0.5*(E32*M32+F32*N32+G32*O32+H32*P32-1)+(0+$U32*N32+$V32*O32+$W32*P32)</f>
        <v>0</v>
      </c>
      <c r="AA32" s="1" t="n">
        <f aca="false">0.5*(E32*Q32+F32*R32+G32*S32+H32*T32-1)+(0+$U32*R32+$V32*S32+$W32*T32)</f>
        <v>0</v>
      </c>
      <c r="AB32" s="0" t="n">
        <f aca="false">IF(B32="V",-2,0)+IF(B32="E",-1,0)+IF(B32="O",0,0)+IF(B32="L",1,0)+Y32</f>
        <v>0</v>
      </c>
      <c r="AC32" s="0" t="n">
        <f aca="false">IF(C32="V",-2,0)+IF(C32="E",-1,0)+IF(C32="O",0,0)+IF(C32="L",1,0)+Z32</f>
        <v>1</v>
      </c>
      <c r="AD32" s="0" t="n">
        <f aca="false">IF(D32="V",-2,0)+IF(D32="E",-1,0)+IF(D32="O",0,0)+IF(D32="L",1,0)+AA32</f>
        <v>-2</v>
      </c>
      <c r="AE32" s="1" t="n">
        <f aca="false">IF(B32="V",-2,0)+IF(B32="E",-1,0)+IF(B32="O",0,0)+IF(B32="L",1,0)</f>
        <v>0</v>
      </c>
      <c r="AF32" s="1" t="n">
        <f aca="false">IF(B32="V",-2,0)+IF(B32="E",-1,0)+IF(B32="O",0,0)+IF(B32="L",1,0)+Y32</f>
        <v>0</v>
      </c>
      <c r="AG32" s="1" t="n">
        <f aca="false">IF(B32="V",-2,0)+IF(B32="E",-1,0)+IF(B32="O",0,0)+IF(B32="L",1,0)+Y32*2</f>
        <v>0</v>
      </c>
      <c r="AH32" s="1" t="n">
        <f aca="false">IF(C32="V",-2,0)+IF(C32="E",-1,0)+IF(C32="O",0,0)+IF(C32="L",1,0)</f>
        <v>1</v>
      </c>
      <c r="AI32" s="1" t="n">
        <f aca="false">IF(C32="V",-2,0)+IF(C32="E",-1,0)+IF(C32="O",0,0)+IF(C32="L",1,0)+Z32</f>
        <v>1</v>
      </c>
      <c r="AJ32" s="1" t="n">
        <f aca="false">IF(C32="V",-2,0)+IF(C32="E",-1,0)+IF(C32="O",0,0)+IF(C32="L",1,0)+Z32*2</f>
        <v>1</v>
      </c>
      <c r="AK32" s="1" t="n">
        <f aca="false">IF(D32="V",-2,0)+IF(D32="E",-1,0)+IF(D32="O",0,0)+IF(D32="L",1,0)</f>
        <v>-2</v>
      </c>
      <c r="AL32" s="1" t="n">
        <f aca="false">IF(D32="V",-2,0)+IF(D32="E",-1,0)+IF(D32="O",0,0)+IF(D32="L",1,0)+AA32</f>
        <v>-2</v>
      </c>
      <c r="AM32" s="1" t="n">
        <f aca="false">IF(D32="V",-2,0)+IF(D32="E",-1,0)+IF(D32="O",0,0)+IF(D32="L",1,0)+AA32*2</f>
        <v>-2</v>
      </c>
      <c r="AN32" s="1" t="n">
        <f aca="false">(ABS(IF(AE32&lt;0,AE32*Early,AE32*Late))+ABS(IF(AF32&lt;0,AF32*Early,AF32*Late))+ABS(IF(AG32&lt;0,AG32*Early,AG32*Late)))/3</f>
        <v>0</v>
      </c>
      <c r="AO32" s="1" t="n">
        <f aca="false">(ABS(IF(AH32&lt;0,AH32*Early,AH32*Late))+ABS(IF(AI32&lt;0,AI32*Early,AI32*Late))+ABS(IF(AJ32&lt;0,AJ32*Early,AJ32*Late)))/3</f>
        <v>4</v>
      </c>
      <c r="AP32" s="1" t="n">
        <f aca="false">(ABS(IF(AK32&lt;0,AK32*Early,AK32*Late))+ABS(IF(AL32&lt;0,AL32*Early,AL32*Late))+ABS(IF(AM32&lt;0,AM32*Early,AM32*Late)))/3</f>
        <v>6</v>
      </c>
      <c r="AQ32" s="0" t="n">
        <f aca="false">Y32*Delay+AN32</f>
        <v>0</v>
      </c>
      <c r="AR32" s="0" t="n">
        <f aca="false">Z32*Delay+AO32</f>
        <v>4</v>
      </c>
      <c r="AS32" s="0" t="n">
        <f aca="false">AA32*Delay+AP32</f>
        <v>6</v>
      </c>
      <c r="AT32" s="0" t="n">
        <f aca="false">IF(AQ32=MIN(AQ30:AQ33),1,0)</f>
        <v>1</v>
      </c>
      <c r="AX32" s="0" t="str">
        <f aca="false">B32&amp;C32&amp;D32</f>
        <v>OLV</v>
      </c>
      <c r="AY32" s="1" t="n">
        <f aca="false">AQ32+AR32+AS32</f>
        <v>10</v>
      </c>
      <c r="AZ32" s="1" t="str">
        <f aca="false">RIGHT(AX32,2)</f>
        <v>LV</v>
      </c>
      <c r="BA32" s="1" t="str">
        <f aca="false">LEFT(AX32,1)&amp;RIGHT(AX32,1)</f>
        <v>OV</v>
      </c>
      <c r="BB32" s="1" t="str">
        <f aca="false">LEFT(AX32,2)</f>
        <v>OL</v>
      </c>
      <c r="BC32" s="1" t="n">
        <f aca="false">VLOOKUP(AZ32,TwoPlayers!$AG$1:$AH$17,2,FALSE())</f>
        <v>10</v>
      </c>
      <c r="BD32" s="1" t="n">
        <f aca="false">VLOOKUP(BA32,TwoPlayers!$AG$1:$AH$17,2,FALSE())</f>
        <v>6</v>
      </c>
      <c r="BE32" s="1" t="n">
        <f aca="false">VLOOKUP(BB32,TwoPlayers!$AG$1:$AH$17,2,FALSE())</f>
        <v>4</v>
      </c>
      <c r="BF32" s="1" t="n">
        <f aca="false">$AY32-BC32</f>
        <v>0</v>
      </c>
      <c r="BG32" s="1" t="n">
        <f aca="false">$AY32-BD32</f>
        <v>4</v>
      </c>
      <c r="BH32" s="1" t="n">
        <f aca="false">$AY32-BE32</f>
        <v>6</v>
      </c>
      <c r="BJ32" s="0" t="n">
        <f aca="false">AQ32+BF32</f>
        <v>0</v>
      </c>
      <c r="BK32" s="0" t="n">
        <f aca="false">AR32+BG32</f>
        <v>8</v>
      </c>
      <c r="BL32" s="0" t="n">
        <f aca="false">AS32+BH32</f>
        <v>12</v>
      </c>
      <c r="BM32" s="0" t="n">
        <f aca="false">IF(BJ32=MIN(BJ30:BJ34),1,0)</f>
        <v>1</v>
      </c>
    </row>
    <row r="33" customFormat="false" ht="13" hidden="false" customHeight="false" outlineLevel="0" collapsed="false">
      <c r="A33" s="0" t="n">
        <v>61</v>
      </c>
      <c r="B33" s="0" t="s">
        <v>4</v>
      </c>
      <c r="C33" s="0" t="s">
        <v>4</v>
      </c>
      <c r="D33" s="0" t="s">
        <v>1</v>
      </c>
      <c r="E33" s="0" t="n">
        <f aca="false">(IF($B33="V",1,0))+IF($C33="V",1,0)+IF($D33="V",1,0)</f>
        <v>1</v>
      </c>
      <c r="F33" s="0" t="n">
        <f aca="false">(IF($B33="E",1,0))+IF($C33="E",1,0)+IF($D33="E",1,0)</f>
        <v>0</v>
      </c>
      <c r="G33" s="0" t="n">
        <f aca="false">(IF($B33="O",1,0))+IF($C33="O",1,0)+IF($D33="O",1,0)</f>
        <v>0</v>
      </c>
      <c r="H33" s="0" t="n">
        <f aca="false">(IF($B33="L",1,0))+IF($C33="L",1,0)+IF($D33="L",1,0)</f>
        <v>2</v>
      </c>
      <c r="I33" s="0" t="n">
        <f aca="false">(IF(B33="V",1,0))</f>
        <v>0</v>
      </c>
      <c r="J33" s="0" t="n">
        <f aca="false">(IF(B33="E",1,0))</f>
        <v>0</v>
      </c>
      <c r="K33" s="0" t="n">
        <f aca="false">(IF(B33="O",1,0))</f>
        <v>0</v>
      </c>
      <c r="L33" s="0" t="n">
        <f aca="false">(IF(B33="L",1,0))</f>
        <v>1</v>
      </c>
      <c r="M33" s="0" t="n">
        <f aca="false">(IF(C33="V",1,0))</f>
        <v>0</v>
      </c>
      <c r="N33" s="0" t="n">
        <f aca="false">(IF(C33="E",1,0))</f>
        <v>0</v>
      </c>
      <c r="O33" s="0" t="n">
        <f aca="false">(IF(C33="O",1,0))</f>
        <v>0</v>
      </c>
      <c r="P33" s="0" t="n">
        <f aca="false">(IF(C33="L",1,0))</f>
        <v>1</v>
      </c>
      <c r="Q33" s="0" t="n">
        <f aca="false">(IF(D33="V",1,0))</f>
        <v>1</v>
      </c>
      <c r="R33" s="0" t="n">
        <f aca="false">(IF(D33="E",1,0))</f>
        <v>0</v>
      </c>
      <c r="S33" s="0" t="n">
        <f aca="false">(IF(D33="O",1,0))</f>
        <v>0</v>
      </c>
      <c r="T33" s="0" t="n">
        <f aca="false">(IF(D33="L",1,0))</f>
        <v>0</v>
      </c>
      <c r="U33" s="0" t="n">
        <f aca="false">MAX(E33-1,0)</f>
        <v>0</v>
      </c>
      <c r="V33" s="0" t="n">
        <f aca="false">MAX(U33-1+F33,0)</f>
        <v>0</v>
      </c>
      <c r="W33" s="0" t="n">
        <f aca="false">MAX(V33-1+G33,0)</f>
        <v>0</v>
      </c>
      <c r="X33" s="0" t="n">
        <f aca="false">MAX(W33-1+H33,0)</f>
        <v>1</v>
      </c>
      <c r="Y33" s="1" t="n">
        <f aca="false">0.5*(E33*I33+F33*J33+G33*K33+H33*L33-1)+(0+$U33*J33+$V33*K33+$W33*L33)</f>
        <v>0.5</v>
      </c>
      <c r="Z33" s="1" t="n">
        <f aca="false">0.5*(E33*M33+F33*N33+G33*O33+H33*P33-1)+(0+$U33*N33+$V33*O33+$W33*P33)</f>
        <v>0.5</v>
      </c>
      <c r="AA33" s="1" t="n">
        <f aca="false">0.5*(E33*Q33+F33*R33+G33*S33+H33*T33-1)+(0+$U33*R33+$V33*S33+$W33*T33)</f>
        <v>0</v>
      </c>
      <c r="AB33" s="0" t="n">
        <f aca="false">IF(B33="V",-2,0)+IF(B33="E",-1,0)+IF(B33="O",0,0)+IF(B33="L",1,0)+Y33</f>
        <v>1.5</v>
      </c>
      <c r="AC33" s="0" t="n">
        <f aca="false">IF(C33="V",-2,0)+IF(C33="E",-1,0)+IF(C33="O",0,0)+IF(C33="L",1,0)+Z33</f>
        <v>1.5</v>
      </c>
      <c r="AD33" s="0" t="n">
        <f aca="false">IF(D33="V",-2,0)+IF(D33="E",-1,0)+IF(D33="O",0,0)+IF(D33="L",1,0)+AA33</f>
        <v>-2</v>
      </c>
      <c r="AE33" s="1" t="n">
        <f aca="false">IF(B33="V",-2,0)+IF(B33="E",-1,0)+IF(B33="O",0,0)+IF(B33="L",1,0)</f>
        <v>1</v>
      </c>
      <c r="AF33" s="1" t="n">
        <f aca="false">IF(B33="V",-2,0)+IF(B33="E",-1,0)+IF(B33="O",0,0)+IF(B33="L",1,0)+Y33</f>
        <v>1.5</v>
      </c>
      <c r="AG33" s="1" t="n">
        <f aca="false">IF(B33="V",-2,0)+IF(B33="E",-1,0)+IF(B33="O",0,0)+IF(B33="L",1,0)+Y33*2</f>
        <v>2</v>
      </c>
      <c r="AH33" s="1" t="n">
        <f aca="false">IF(C33="V",-2,0)+IF(C33="E",-1,0)+IF(C33="O",0,0)+IF(C33="L",1,0)</f>
        <v>1</v>
      </c>
      <c r="AI33" s="1" t="n">
        <f aca="false">IF(C33="V",-2,0)+IF(C33="E",-1,0)+IF(C33="O",0,0)+IF(C33="L",1,0)+Z33</f>
        <v>1.5</v>
      </c>
      <c r="AJ33" s="1" t="n">
        <f aca="false">IF(C33="V",-2,0)+IF(C33="E",-1,0)+IF(C33="O",0,0)+IF(C33="L",1,0)+Z33*2</f>
        <v>2</v>
      </c>
      <c r="AK33" s="1" t="n">
        <f aca="false">IF(D33="V",-2,0)+IF(D33="E",-1,0)+IF(D33="O",0,0)+IF(D33="L",1,0)</f>
        <v>-2</v>
      </c>
      <c r="AL33" s="1" t="n">
        <f aca="false">IF(D33="V",-2,0)+IF(D33="E",-1,0)+IF(D33="O",0,0)+IF(D33="L",1,0)+AA33</f>
        <v>-2</v>
      </c>
      <c r="AM33" s="1" t="n">
        <f aca="false">IF(D33="V",-2,0)+IF(D33="E",-1,0)+IF(D33="O",0,0)+IF(D33="L",1,0)+AA33*2</f>
        <v>-2</v>
      </c>
      <c r="AN33" s="1" t="n">
        <f aca="false">(ABS(IF(AE33&lt;0,AE33*Early,AE33*Late))+ABS(IF(AF33&lt;0,AF33*Early,AF33*Late))+ABS(IF(AG33&lt;0,AG33*Early,AG33*Late)))/3</f>
        <v>6</v>
      </c>
      <c r="AO33" s="1" t="n">
        <f aca="false">(ABS(IF(AH33&lt;0,AH33*Early,AH33*Late))+ABS(IF(AI33&lt;0,AI33*Early,AI33*Late))+ABS(IF(AJ33&lt;0,AJ33*Early,AJ33*Late)))/3</f>
        <v>6</v>
      </c>
      <c r="AP33" s="1" t="n">
        <f aca="false">(ABS(IF(AK33&lt;0,AK33*Early,AK33*Late))+ABS(IF(AL33&lt;0,AL33*Early,AL33*Late))+ABS(IF(AM33&lt;0,AM33*Early,AM33*Late)))/3</f>
        <v>6</v>
      </c>
      <c r="AQ33" s="0" t="n">
        <f aca="false">Y33*Delay+AN33</f>
        <v>6.5</v>
      </c>
      <c r="AR33" s="0" t="n">
        <f aca="false">Z33*Delay+AO33</f>
        <v>6.5</v>
      </c>
      <c r="AS33" s="0" t="n">
        <f aca="false">AA33*Delay+AP33</f>
        <v>6</v>
      </c>
      <c r="AT33" s="0" t="n">
        <f aca="false">IF(AQ33=MIN(AQ30:AQ33),1,0)</f>
        <v>0</v>
      </c>
      <c r="AX33" s="0" t="str">
        <f aca="false">B33&amp;C33&amp;D33</f>
        <v>LLV</v>
      </c>
      <c r="AY33" s="1" t="n">
        <f aca="false">AQ33+AR33+AS33</f>
        <v>19</v>
      </c>
      <c r="AZ33" s="1" t="str">
        <f aca="false">RIGHT(AX33,2)</f>
        <v>LV</v>
      </c>
      <c r="BA33" s="1" t="str">
        <f aca="false">LEFT(AX33,1)&amp;RIGHT(AX33,1)</f>
        <v>LV</v>
      </c>
      <c r="BB33" s="1" t="str">
        <f aca="false">LEFT(AX33,2)</f>
        <v>LL</v>
      </c>
      <c r="BC33" s="1" t="n">
        <f aca="false">VLOOKUP(AZ33,TwoPlayers!$AG$1:$AH$17,2,FALSE())</f>
        <v>10</v>
      </c>
      <c r="BD33" s="1" t="n">
        <f aca="false">VLOOKUP(BA33,TwoPlayers!$AG$1:$AH$17,2,FALSE())</f>
        <v>10</v>
      </c>
      <c r="BE33" s="1" t="n">
        <f aca="false">VLOOKUP(BB33,TwoPlayers!$AG$1:$AH$17,2,FALSE())</f>
        <v>13</v>
      </c>
      <c r="BF33" s="1" t="n">
        <f aca="false">$AY33-BC33</f>
        <v>9</v>
      </c>
      <c r="BG33" s="1" t="n">
        <f aca="false">$AY33-BD33</f>
        <v>9</v>
      </c>
      <c r="BH33" s="1" t="n">
        <f aca="false">$AY33-BE33</f>
        <v>6</v>
      </c>
      <c r="BJ33" s="0" t="n">
        <f aca="false">AQ33+BF33</f>
        <v>15.5</v>
      </c>
      <c r="BK33" s="0" t="n">
        <f aca="false">AR33+BG33</f>
        <v>15.5</v>
      </c>
      <c r="BL33" s="0" t="n">
        <f aca="false">AS33+BH33</f>
        <v>12</v>
      </c>
      <c r="BM33" s="0" t="n">
        <f aca="false">IF(BJ33=MIN(BJ30:BJ34),1,0)</f>
        <v>0</v>
      </c>
    </row>
    <row r="34" customFormat="false" ht="13" hidden="false" customHeight="false" outlineLevel="0" collapsed="false">
      <c r="A34" s="0" t="n">
        <v>10</v>
      </c>
      <c r="B34" s="0" t="s">
        <v>1</v>
      </c>
      <c r="C34" s="0" t="s">
        <v>3</v>
      </c>
      <c r="D34" s="0" t="s">
        <v>2</v>
      </c>
      <c r="E34" s="0" t="n">
        <f aca="false">(IF($B34="V",1,0))+IF($C34="V",1,0)+IF($D34="V",1,0)</f>
        <v>1</v>
      </c>
      <c r="F34" s="0" t="n">
        <f aca="false">(IF($B34="E",1,0))+IF($C34="E",1,0)+IF($D34="E",1,0)</f>
        <v>1</v>
      </c>
      <c r="G34" s="0" t="n">
        <f aca="false">(IF($B34="O",1,0))+IF($C34="O",1,0)+IF($D34="O",1,0)</f>
        <v>1</v>
      </c>
      <c r="H34" s="0" t="n">
        <f aca="false">(IF($B34="L",1,0))+IF($C34="L",1,0)+IF($D34="L",1,0)</f>
        <v>0</v>
      </c>
      <c r="I34" s="0" t="n">
        <f aca="false">(IF(B34="V",1,0))</f>
        <v>1</v>
      </c>
      <c r="J34" s="0" t="n">
        <f aca="false">(IF(B34="E",1,0))</f>
        <v>0</v>
      </c>
      <c r="K34" s="0" t="n">
        <f aca="false">(IF(B34="O",1,0))</f>
        <v>0</v>
      </c>
      <c r="L34" s="0" t="n">
        <f aca="false">(IF(B34="L",1,0))</f>
        <v>0</v>
      </c>
      <c r="M34" s="0" t="n">
        <f aca="false">(IF(C34="V",1,0))</f>
        <v>0</v>
      </c>
      <c r="N34" s="0" t="n">
        <f aca="false">(IF(C34="E",1,0))</f>
        <v>0</v>
      </c>
      <c r="O34" s="0" t="n">
        <f aca="false">(IF(C34="O",1,0))</f>
        <v>1</v>
      </c>
      <c r="P34" s="0" t="n">
        <f aca="false">(IF(C34="L",1,0))</f>
        <v>0</v>
      </c>
      <c r="Q34" s="0" t="n">
        <f aca="false">(IF(D34="V",1,0))</f>
        <v>0</v>
      </c>
      <c r="R34" s="0" t="n">
        <f aca="false">(IF(D34="E",1,0))</f>
        <v>1</v>
      </c>
      <c r="S34" s="0" t="n">
        <f aca="false">(IF(D34="O",1,0))</f>
        <v>0</v>
      </c>
      <c r="T34" s="0" t="n">
        <f aca="false">(IF(D34="L",1,0))</f>
        <v>0</v>
      </c>
      <c r="U34" s="0" t="n">
        <f aca="false">MAX(E34-1,0)</f>
        <v>0</v>
      </c>
      <c r="V34" s="0" t="n">
        <f aca="false">MAX(U34-1+F34,0)</f>
        <v>0</v>
      </c>
      <c r="W34" s="0" t="n">
        <f aca="false">MAX(V34-1+G34,0)</f>
        <v>0</v>
      </c>
      <c r="X34" s="0" t="n">
        <f aca="false">MAX(W34-1+H34,0)</f>
        <v>0</v>
      </c>
      <c r="Y34" s="1" t="n">
        <f aca="false">0.5*(E34*I34+F34*J34+G34*K34+H34*L34-1)+(0+$U34*J34+$V34*K34+$W34*L34)</f>
        <v>0</v>
      </c>
      <c r="Z34" s="1" t="n">
        <f aca="false">0.5*(E34*M34+F34*N34+G34*O34+H34*P34-1)+(0+$U34*N34+$V34*O34+$W34*P34)</f>
        <v>0</v>
      </c>
      <c r="AA34" s="1" t="n">
        <f aca="false">0.5*(E34*Q34+F34*R34+G34*S34+H34*T34-1)+(0+$U34*R34+$V34*S34+$W34*T34)</f>
        <v>0</v>
      </c>
      <c r="AB34" s="0" t="n">
        <f aca="false">IF(B34="V",-2,0)+IF(B34="E",-1,0)+IF(B34="O",0,0)+IF(B34="L",1,0)+Y34</f>
        <v>-2</v>
      </c>
      <c r="AC34" s="0" t="n">
        <f aca="false">IF(C34="V",-2,0)+IF(C34="E",-1,0)+IF(C34="O",0,0)+IF(C34="L",1,0)+Z34</f>
        <v>0</v>
      </c>
      <c r="AD34" s="0" t="n">
        <f aca="false">IF(D34="V",-2,0)+IF(D34="E",-1,0)+IF(D34="O",0,0)+IF(D34="L",1,0)+AA34</f>
        <v>-1</v>
      </c>
      <c r="AE34" s="1" t="n">
        <f aca="false">IF(B34="V",-2,0)+IF(B34="E",-1,0)+IF(B34="O",0,0)+IF(B34="L",1,0)</f>
        <v>-2</v>
      </c>
      <c r="AF34" s="1" t="n">
        <f aca="false">IF(B34="V",-2,0)+IF(B34="E",-1,0)+IF(B34="O",0,0)+IF(B34="L",1,0)+Y34</f>
        <v>-2</v>
      </c>
      <c r="AG34" s="1" t="n">
        <f aca="false">IF(B34="V",-2,0)+IF(B34="E",-1,0)+IF(B34="O",0,0)+IF(B34="L",1,0)+Y34*2</f>
        <v>-2</v>
      </c>
      <c r="AH34" s="1" t="n">
        <f aca="false">IF(C34="V",-2,0)+IF(C34="E",-1,0)+IF(C34="O",0,0)+IF(C34="L",1,0)</f>
        <v>0</v>
      </c>
      <c r="AI34" s="1" t="n">
        <f aca="false">IF(C34="V",-2,0)+IF(C34="E",-1,0)+IF(C34="O",0,0)+IF(C34="L",1,0)+Z34</f>
        <v>0</v>
      </c>
      <c r="AJ34" s="1" t="n">
        <f aca="false">IF(C34="V",-2,0)+IF(C34="E",-1,0)+IF(C34="O",0,0)+IF(C34="L",1,0)+Z34*2</f>
        <v>0</v>
      </c>
      <c r="AK34" s="1" t="n">
        <f aca="false">IF(D34="V",-2,0)+IF(D34="E",-1,0)+IF(D34="O",0,0)+IF(D34="L",1,0)</f>
        <v>-1</v>
      </c>
      <c r="AL34" s="1" t="n">
        <f aca="false">IF(D34="V",-2,0)+IF(D34="E",-1,0)+IF(D34="O",0,0)+IF(D34="L",1,0)+AA34</f>
        <v>-1</v>
      </c>
      <c r="AM34" s="1" t="n">
        <f aca="false">IF(D34="V",-2,0)+IF(D34="E",-1,0)+IF(D34="O",0,0)+IF(D34="L",1,0)+AA34*2</f>
        <v>-1</v>
      </c>
      <c r="AN34" s="1" t="n">
        <f aca="false">(ABS(IF(AE34&lt;0,AE34*Early,AE34*Late))+ABS(IF(AF34&lt;0,AF34*Early,AF34*Late))+ABS(IF(AG34&lt;0,AG34*Early,AG34*Late)))/3</f>
        <v>6</v>
      </c>
      <c r="AO34" s="1" t="n">
        <f aca="false">(ABS(IF(AH34&lt;0,AH34*Early,AH34*Late))+ABS(IF(AI34&lt;0,AI34*Early,AI34*Late))+ABS(IF(AJ34&lt;0,AJ34*Early,AJ34*Late)))/3</f>
        <v>0</v>
      </c>
      <c r="AP34" s="1" t="n">
        <f aca="false">(ABS(IF(AK34&lt;0,AK34*Early,AK34*Late))+ABS(IF(AL34&lt;0,AL34*Early,AL34*Late))+ABS(IF(AM34&lt;0,AM34*Early,AM34*Late)))/3</f>
        <v>3</v>
      </c>
      <c r="AQ34" s="0" t="n">
        <f aca="false">Y34*Delay+AN34</f>
        <v>6</v>
      </c>
      <c r="AR34" s="0" t="n">
        <f aca="false">Z34*Delay+AO34</f>
        <v>0</v>
      </c>
      <c r="AS34" s="0" t="n">
        <f aca="false">AA34*Delay+AP34</f>
        <v>3</v>
      </c>
      <c r="AT34" s="0" t="n">
        <f aca="false">IF(AQ34=MIN(AQ34:AQ37),1,0)</f>
        <v>0</v>
      </c>
      <c r="AX34" s="0" t="str">
        <f aca="false">B34&amp;C34&amp;D34</f>
        <v>VOE</v>
      </c>
      <c r="AY34" s="1" t="n">
        <f aca="false">AQ34+AR34+AS34</f>
        <v>9</v>
      </c>
      <c r="AZ34" s="1" t="str">
        <f aca="false">RIGHT(AX34,2)</f>
        <v>OE</v>
      </c>
      <c r="BA34" s="1" t="str">
        <f aca="false">LEFT(AX34,1)&amp;RIGHT(AX34,1)</f>
        <v>VE</v>
      </c>
      <c r="BB34" s="1" t="str">
        <f aca="false">LEFT(AX34,2)</f>
        <v>VO</v>
      </c>
      <c r="BC34" s="1" t="n">
        <f aca="false">VLOOKUP(AZ34,TwoPlayers!$AG$1:$AH$17,2,FALSE())</f>
        <v>3</v>
      </c>
      <c r="BD34" s="1" t="n">
        <f aca="false">VLOOKUP(BA34,TwoPlayers!$AG$1:$AH$17,2,FALSE())</f>
        <v>9</v>
      </c>
      <c r="BE34" s="1" t="n">
        <f aca="false">VLOOKUP(BB34,TwoPlayers!$AG$1:$AH$17,2,FALSE())</f>
        <v>6</v>
      </c>
      <c r="BF34" s="1" t="n">
        <f aca="false">$AY34-BC34</f>
        <v>6</v>
      </c>
      <c r="BG34" s="1" t="n">
        <f aca="false">$AY34-BD34</f>
        <v>0</v>
      </c>
      <c r="BH34" s="1" t="n">
        <f aca="false">$AY34-BE34</f>
        <v>3</v>
      </c>
      <c r="BJ34" s="0" t="n">
        <f aca="false">AQ34+BF34</f>
        <v>12</v>
      </c>
      <c r="BK34" s="0" t="n">
        <f aca="false">AR34+BG34</f>
        <v>0</v>
      </c>
      <c r="BL34" s="0" t="n">
        <f aca="false">AS34+BH34</f>
        <v>6</v>
      </c>
      <c r="BM34" s="0" t="n">
        <f aca="false">IF(BJ34=MIN(BJ34:BJ38),1,0)</f>
        <v>0</v>
      </c>
    </row>
    <row r="35" customFormat="false" ht="13" hidden="false" customHeight="false" outlineLevel="0" collapsed="false">
      <c r="A35" s="0" t="n">
        <v>26</v>
      </c>
      <c r="B35" s="0" t="s">
        <v>2</v>
      </c>
      <c r="C35" s="0" t="s">
        <v>3</v>
      </c>
      <c r="D35" s="0" t="s">
        <v>2</v>
      </c>
      <c r="E35" s="0" t="n">
        <f aca="false">(IF($B35="V",1,0))+IF($C35="V",1,0)+IF($D35="V",1,0)</f>
        <v>0</v>
      </c>
      <c r="F35" s="0" t="n">
        <f aca="false">(IF($B35="E",1,0))+IF($C35="E",1,0)+IF($D35="E",1,0)</f>
        <v>2</v>
      </c>
      <c r="G35" s="0" t="n">
        <f aca="false">(IF($B35="O",1,0))+IF($C35="O",1,0)+IF($D35="O",1,0)</f>
        <v>1</v>
      </c>
      <c r="H35" s="0" t="n">
        <f aca="false">(IF($B35="L",1,0))+IF($C35="L",1,0)+IF($D35="L",1,0)</f>
        <v>0</v>
      </c>
      <c r="I35" s="0" t="n">
        <f aca="false">(IF(B35="V",1,0))</f>
        <v>0</v>
      </c>
      <c r="J35" s="0" t="n">
        <f aca="false">(IF(B35="E",1,0))</f>
        <v>1</v>
      </c>
      <c r="K35" s="0" t="n">
        <f aca="false">(IF(B35="O",1,0))</f>
        <v>0</v>
      </c>
      <c r="L35" s="0" t="n">
        <f aca="false">(IF(B35="L",1,0))</f>
        <v>0</v>
      </c>
      <c r="M35" s="0" t="n">
        <f aca="false">(IF(C35="V",1,0))</f>
        <v>0</v>
      </c>
      <c r="N35" s="0" t="n">
        <f aca="false">(IF(C35="E",1,0))</f>
        <v>0</v>
      </c>
      <c r="O35" s="0" t="n">
        <f aca="false">(IF(C35="O",1,0))</f>
        <v>1</v>
      </c>
      <c r="P35" s="0" t="n">
        <f aca="false">(IF(C35="L",1,0))</f>
        <v>0</v>
      </c>
      <c r="Q35" s="0" t="n">
        <f aca="false">(IF(D35="V",1,0))</f>
        <v>0</v>
      </c>
      <c r="R35" s="0" t="n">
        <f aca="false">(IF(D35="E",1,0))</f>
        <v>1</v>
      </c>
      <c r="S35" s="0" t="n">
        <f aca="false">(IF(D35="O",1,0))</f>
        <v>0</v>
      </c>
      <c r="T35" s="0" t="n">
        <f aca="false">(IF(D35="L",1,0))</f>
        <v>0</v>
      </c>
      <c r="U35" s="0" t="n">
        <f aca="false">MAX(E35-1,0)</f>
        <v>0</v>
      </c>
      <c r="V35" s="0" t="n">
        <f aca="false">MAX(U35-1+F35,0)</f>
        <v>1</v>
      </c>
      <c r="W35" s="0" t="n">
        <f aca="false">MAX(V35-1+G35,0)</f>
        <v>1</v>
      </c>
      <c r="X35" s="0" t="n">
        <f aca="false">MAX(W35-1+H35,0)</f>
        <v>0</v>
      </c>
      <c r="Y35" s="1" t="n">
        <f aca="false">0.5*(E35*I35+F35*J35+G35*K35+H35*L35-1)+(0+$U35*J35+$V35*K35+$W35*L35)</f>
        <v>0.5</v>
      </c>
      <c r="Z35" s="1" t="n">
        <f aca="false">0.5*(E35*M35+F35*N35+G35*O35+H35*P35-1)+(0+$U35*N35+$V35*O35+$W35*P35)</f>
        <v>1</v>
      </c>
      <c r="AA35" s="1" t="n">
        <f aca="false">0.5*(E35*Q35+F35*R35+G35*S35+H35*T35-1)+(0+$U35*R35+$V35*S35+$W35*T35)</f>
        <v>0.5</v>
      </c>
      <c r="AB35" s="0" t="n">
        <f aca="false">IF(B35="V",-2,0)+IF(B35="E",-1,0)+IF(B35="O",0,0)+IF(B35="L",1,0)+Y35</f>
        <v>-0.5</v>
      </c>
      <c r="AC35" s="0" t="n">
        <f aca="false">IF(C35="V",-2,0)+IF(C35="E",-1,0)+IF(C35="O",0,0)+IF(C35="L",1,0)+Z35</f>
        <v>1</v>
      </c>
      <c r="AD35" s="0" t="n">
        <f aca="false">IF(D35="V",-2,0)+IF(D35="E",-1,0)+IF(D35="O",0,0)+IF(D35="L",1,0)+AA35</f>
        <v>-0.5</v>
      </c>
      <c r="AE35" s="1" t="n">
        <f aca="false">IF(B35="V",-2,0)+IF(B35="E",-1,0)+IF(B35="O",0,0)+IF(B35="L",1,0)</f>
        <v>-1</v>
      </c>
      <c r="AF35" s="1" t="n">
        <f aca="false">IF(B35="V",-2,0)+IF(B35="E",-1,0)+IF(B35="O",0,0)+IF(B35="L",1,0)+Y35</f>
        <v>-0.5</v>
      </c>
      <c r="AG35" s="1" t="n">
        <f aca="false">IF(B35="V",-2,0)+IF(B35="E",-1,0)+IF(B35="O",0,0)+IF(B35="L",1,0)+Y35*2</f>
        <v>0</v>
      </c>
      <c r="AH35" s="1" t="n">
        <f aca="false">IF(C35="V",-2,0)+IF(C35="E",-1,0)+IF(C35="O",0,0)+IF(C35="L",1,0)</f>
        <v>0</v>
      </c>
      <c r="AI35" s="1" t="n">
        <f aca="false">IF(C35="V",-2,0)+IF(C35="E",-1,0)+IF(C35="O",0,0)+IF(C35="L",1,0)+Z35</f>
        <v>1</v>
      </c>
      <c r="AJ35" s="1" t="n">
        <f aca="false">IF(C35="V",-2,0)+IF(C35="E",-1,0)+IF(C35="O",0,0)+IF(C35="L",1,0)+Z35*2</f>
        <v>2</v>
      </c>
      <c r="AK35" s="1" t="n">
        <f aca="false">IF(D35="V",-2,0)+IF(D35="E",-1,0)+IF(D35="O",0,0)+IF(D35="L",1,0)</f>
        <v>-1</v>
      </c>
      <c r="AL35" s="1" t="n">
        <f aca="false">IF(D35="V",-2,0)+IF(D35="E",-1,0)+IF(D35="O",0,0)+IF(D35="L",1,0)+AA35</f>
        <v>-0.5</v>
      </c>
      <c r="AM35" s="1" t="n">
        <f aca="false">IF(D35="V",-2,0)+IF(D35="E",-1,0)+IF(D35="O",0,0)+IF(D35="L",1,0)+AA35*2</f>
        <v>0</v>
      </c>
      <c r="AN35" s="1" t="n">
        <f aca="false">(ABS(IF(AE35&lt;0,AE35*Early,AE35*Late))+ABS(IF(AF35&lt;0,AF35*Early,AF35*Late))+ABS(IF(AG35&lt;0,AG35*Early,AG35*Late)))/3</f>
        <v>1.5</v>
      </c>
      <c r="AO35" s="1" t="n">
        <f aca="false">(ABS(IF(AH35&lt;0,AH35*Early,AH35*Late))+ABS(IF(AI35&lt;0,AI35*Early,AI35*Late))+ABS(IF(AJ35&lt;0,AJ35*Early,AJ35*Late)))/3</f>
        <v>4</v>
      </c>
      <c r="AP35" s="1" t="n">
        <f aca="false">(ABS(IF(AK35&lt;0,AK35*Early,AK35*Late))+ABS(IF(AL35&lt;0,AL35*Early,AL35*Late))+ABS(IF(AM35&lt;0,AM35*Early,AM35*Late)))/3</f>
        <v>1.5</v>
      </c>
      <c r="AQ35" s="0" t="n">
        <f aca="false">Y35*Delay+AN35</f>
        <v>2</v>
      </c>
      <c r="AR35" s="0" t="n">
        <f aca="false">Z35*Delay+AO35</f>
        <v>5</v>
      </c>
      <c r="AS35" s="0" t="n">
        <f aca="false">AA35*Delay+AP35</f>
        <v>2</v>
      </c>
      <c r="AT35" s="0" t="n">
        <f aca="false">IF(AQ35=MIN(AQ34:AQ37),1,0)</f>
        <v>1</v>
      </c>
      <c r="AX35" s="0" t="str">
        <f aca="false">B35&amp;C35&amp;D35</f>
        <v>EOE</v>
      </c>
      <c r="AY35" s="1" t="n">
        <f aca="false">AQ35+AR35+AS35</f>
        <v>9</v>
      </c>
      <c r="AZ35" s="1" t="str">
        <f aca="false">RIGHT(AX35,2)</f>
        <v>OE</v>
      </c>
      <c r="BA35" s="1" t="str">
        <f aca="false">LEFT(AX35,1)&amp;RIGHT(AX35,1)</f>
        <v>EE</v>
      </c>
      <c r="BB35" s="1" t="str">
        <f aca="false">LEFT(AX35,2)</f>
        <v>EO</v>
      </c>
      <c r="BC35" s="1" t="n">
        <f aca="false">VLOOKUP(AZ35,TwoPlayers!$AG$1:$AH$17,2,FALSE())</f>
        <v>3</v>
      </c>
      <c r="BD35" s="1" t="n">
        <f aca="false">VLOOKUP(BA35,TwoPlayers!$AG$1:$AH$17,2,FALSE())</f>
        <v>4</v>
      </c>
      <c r="BE35" s="1" t="n">
        <f aca="false">VLOOKUP(BB35,TwoPlayers!$AG$1:$AH$17,2,FALSE())</f>
        <v>3</v>
      </c>
      <c r="BF35" s="1" t="n">
        <f aca="false">$AY35-BC35</f>
        <v>6</v>
      </c>
      <c r="BG35" s="1" t="n">
        <f aca="false">$AY35-BD35</f>
        <v>5</v>
      </c>
      <c r="BH35" s="1" t="n">
        <f aca="false">$AY35-BE35</f>
        <v>6</v>
      </c>
      <c r="BJ35" s="0" t="n">
        <f aca="false">AQ35+BF35</f>
        <v>8</v>
      </c>
      <c r="BK35" s="0" t="n">
        <f aca="false">AR35+BG35</f>
        <v>10</v>
      </c>
      <c r="BL35" s="0" t="n">
        <f aca="false">AS35+BH35</f>
        <v>8</v>
      </c>
      <c r="BM35" s="0" t="n">
        <f aca="false">IF(BJ35=MIN(BJ34:BJ38),1,0)</f>
        <v>0</v>
      </c>
    </row>
    <row r="36" customFormat="false" ht="13" hidden="false" customHeight="false" outlineLevel="0" collapsed="false">
      <c r="A36" s="0" t="n">
        <v>42</v>
      </c>
      <c r="B36" s="0" t="s">
        <v>3</v>
      </c>
      <c r="C36" s="0" t="s">
        <v>3</v>
      </c>
      <c r="D36" s="0" t="s">
        <v>2</v>
      </c>
      <c r="E36" s="0" t="n">
        <f aca="false">(IF($B36="V",1,0))+IF($C36="V",1,0)+IF($D36="V",1,0)</f>
        <v>0</v>
      </c>
      <c r="F36" s="0" t="n">
        <f aca="false">(IF($B36="E",1,0))+IF($C36="E",1,0)+IF($D36="E",1,0)</f>
        <v>1</v>
      </c>
      <c r="G36" s="0" t="n">
        <f aca="false">(IF($B36="O",1,0))+IF($C36="O",1,0)+IF($D36="O",1,0)</f>
        <v>2</v>
      </c>
      <c r="H36" s="0" t="n">
        <f aca="false">(IF($B36="L",1,0))+IF($C36="L",1,0)+IF($D36="L",1,0)</f>
        <v>0</v>
      </c>
      <c r="I36" s="0" t="n">
        <f aca="false">(IF(B36="V",1,0))</f>
        <v>0</v>
      </c>
      <c r="J36" s="0" t="n">
        <f aca="false">(IF(B36="E",1,0))</f>
        <v>0</v>
      </c>
      <c r="K36" s="0" t="n">
        <f aca="false">(IF(B36="O",1,0))</f>
        <v>1</v>
      </c>
      <c r="L36" s="0" t="n">
        <f aca="false">(IF(B36="L",1,0))</f>
        <v>0</v>
      </c>
      <c r="M36" s="0" t="n">
        <f aca="false">(IF(C36="V",1,0))</f>
        <v>0</v>
      </c>
      <c r="N36" s="0" t="n">
        <f aca="false">(IF(C36="E",1,0))</f>
        <v>0</v>
      </c>
      <c r="O36" s="0" t="n">
        <f aca="false">(IF(C36="O",1,0))</f>
        <v>1</v>
      </c>
      <c r="P36" s="0" t="n">
        <f aca="false">(IF(C36="L",1,0))</f>
        <v>0</v>
      </c>
      <c r="Q36" s="0" t="n">
        <f aca="false">(IF(D36="V",1,0))</f>
        <v>0</v>
      </c>
      <c r="R36" s="0" t="n">
        <f aca="false">(IF(D36="E",1,0))</f>
        <v>1</v>
      </c>
      <c r="S36" s="0" t="n">
        <f aca="false">(IF(D36="O",1,0))</f>
        <v>0</v>
      </c>
      <c r="T36" s="0" t="n">
        <f aca="false">(IF(D36="L",1,0))</f>
        <v>0</v>
      </c>
      <c r="U36" s="0" t="n">
        <f aca="false">MAX(E36-1,0)</f>
        <v>0</v>
      </c>
      <c r="V36" s="0" t="n">
        <f aca="false">MAX(U36-1+F36,0)</f>
        <v>0</v>
      </c>
      <c r="W36" s="0" t="n">
        <f aca="false">MAX(V36-1+G36,0)</f>
        <v>1</v>
      </c>
      <c r="X36" s="0" t="n">
        <f aca="false">MAX(W36-1+H36,0)</f>
        <v>0</v>
      </c>
      <c r="Y36" s="1" t="n">
        <f aca="false">0.5*(E36*I36+F36*J36+G36*K36+H36*L36-1)+(0+$U36*J36+$V36*K36+$W36*L36)</f>
        <v>0.5</v>
      </c>
      <c r="Z36" s="1" t="n">
        <f aca="false">0.5*(E36*M36+F36*N36+G36*O36+H36*P36-1)+(0+$U36*N36+$V36*O36+$W36*P36)</f>
        <v>0.5</v>
      </c>
      <c r="AA36" s="1" t="n">
        <f aca="false">0.5*(E36*Q36+F36*R36+G36*S36+H36*T36-1)+(0+$U36*R36+$V36*S36+$W36*T36)</f>
        <v>0</v>
      </c>
      <c r="AB36" s="0" t="n">
        <f aca="false">IF(B36="V",-2,0)+IF(B36="E",-1,0)+IF(B36="O",0,0)+IF(B36="L",1,0)+Y36</f>
        <v>0.5</v>
      </c>
      <c r="AC36" s="0" t="n">
        <f aca="false">IF(C36="V",-2,0)+IF(C36="E",-1,0)+IF(C36="O",0,0)+IF(C36="L",1,0)+Z36</f>
        <v>0.5</v>
      </c>
      <c r="AD36" s="0" t="n">
        <f aca="false">IF(D36="V",-2,0)+IF(D36="E",-1,0)+IF(D36="O",0,0)+IF(D36="L",1,0)+AA36</f>
        <v>-1</v>
      </c>
      <c r="AE36" s="1" t="n">
        <f aca="false">IF(B36="V",-2,0)+IF(B36="E",-1,0)+IF(B36="O",0,0)+IF(B36="L",1,0)</f>
        <v>0</v>
      </c>
      <c r="AF36" s="1" t="n">
        <f aca="false">IF(B36="V",-2,0)+IF(B36="E",-1,0)+IF(B36="O",0,0)+IF(B36="L",1,0)+Y36</f>
        <v>0.5</v>
      </c>
      <c r="AG36" s="1" t="n">
        <f aca="false">IF(B36="V",-2,0)+IF(B36="E",-1,0)+IF(B36="O",0,0)+IF(B36="L",1,0)+Y36*2</f>
        <v>1</v>
      </c>
      <c r="AH36" s="1" t="n">
        <f aca="false">IF(C36="V",-2,0)+IF(C36="E",-1,0)+IF(C36="O",0,0)+IF(C36="L",1,0)</f>
        <v>0</v>
      </c>
      <c r="AI36" s="1" t="n">
        <f aca="false">IF(C36="V",-2,0)+IF(C36="E",-1,0)+IF(C36="O",0,0)+IF(C36="L",1,0)+Z36</f>
        <v>0.5</v>
      </c>
      <c r="AJ36" s="1" t="n">
        <f aca="false">IF(C36="V",-2,0)+IF(C36="E",-1,0)+IF(C36="O",0,0)+IF(C36="L",1,0)+Z36*2</f>
        <v>1</v>
      </c>
      <c r="AK36" s="1" t="n">
        <f aca="false">IF(D36="V",-2,0)+IF(D36="E",-1,0)+IF(D36="O",0,0)+IF(D36="L",1,0)</f>
        <v>-1</v>
      </c>
      <c r="AL36" s="1" t="n">
        <f aca="false">IF(D36="V",-2,0)+IF(D36="E",-1,0)+IF(D36="O",0,0)+IF(D36="L",1,0)+AA36</f>
        <v>-1</v>
      </c>
      <c r="AM36" s="1" t="n">
        <f aca="false">IF(D36="V",-2,0)+IF(D36="E",-1,0)+IF(D36="O",0,0)+IF(D36="L",1,0)+AA36*2</f>
        <v>-1</v>
      </c>
      <c r="AN36" s="1" t="n">
        <f aca="false">(ABS(IF(AE36&lt;0,AE36*Early,AE36*Late))+ABS(IF(AF36&lt;0,AF36*Early,AF36*Late))+ABS(IF(AG36&lt;0,AG36*Early,AG36*Late)))/3</f>
        <v>2</v>
      </c>
      <c r="AO36" s="1" t="n">
        <f aca="false">(ABS(IF(AH36&lt;0,AH36*Early,AH36*Late))+ABS(IF(AI36&lt;0,AI36*Early,AI36*Late))+ABS(IF(AJ36&lt;0,AJ36*Early,AJ36*Late)))/3</f>
        <v>2</v>
      </c>
      <c r="AP36" s="1" t="n">
        <f aca="false">(ABS(IF(AK36&lt;0,AK36*Early,AK36*Late))+ABS(IF(AL36&lt;0,AL36*Early,AL36*Late))+ABS(IF(AM36&lt;0,AM36*Early,AM36*Late)))/3</f>
        <v>3</v>
      </c>
      <c r="AQ36" s="0" t="n">
        <f aca="false">Y36*Delay+AN36</f>
        <v>2.5</v>
      </c>
      <c r="AR36" s="0" t="n">
        <f aca="false">Z36*Delay+AO36</f>
        <v>2.5</v>
      </c>
      <c r="AS36" s="0" t="n">
        <f aca="false">AA36*Delay+AP36</f>
        <v>3</v>
      </c>
      <c r="AT36" s="0" t="n">
        <f aca="false">IF(AQ36=MIN(AQ34:AQ37),1,0)</f>
        <v>0</v>
      </c>
      <c r="AX36" s="0" t="str">
        <f aca="false">B36&amp;C36&amp;D36</f>
        <v>OOE</v>
      </c>
      <c r="AY36" s="1" t="n">
        <f aca="false">AQ36+AR36+AS36</f>
        <v>8</v>
      </c>
      <c r="AZ36" s="1" t="str">
        <f aca="false">RIGHT(AX36,2)</f>
        <v>OE</v>
      </c>
      <c r="BA36" s="1" t="str">
        <f aca="false">LEFT(AX36,1)&amp;RIGHT(AX36,1)</f>
        <v>OE</v>
      </c>
      <c r="BB36" s="1" t="str">
        <f aca="false">LEFT(AX36,2)</f>
        <v>OO</v>
      </c>
      <c r="BC36" s="1" t="n">
        <f aca="false">VLOOKUP(AZ36,TwoPlayers!$AG$1:$AH$17,2,FALSE())</f>
        <v>3</v>
      </c>
      <c r="BD36" s="1" t="n">
        <f aca="false">VLOOKUP(BA36,TwoPlayers!$AG$1:$AH$17,2,FALSE())</f>
        <v>3</v>
      </c>
      <c r="BE36" s="1" t="n">
        <f aca="false">VLOOKUP(BB36,TwoPlayers!$AG$1:$AH$17,2,FALSE())</f>
        <v>5</v>
      </c>
      <c r="BF36" s="1" t="n">
        <f aca="false">$AY36-BC36</f>
        <v>5</v>
      </c>
      <c r="BG36" s="1" t="n">
        <f aca="false">$AY36-BD36</f>
        <v>5</v>
      </c>
      <c r="BH36" s="1" t="n">
        <f aca="false">$AY36-BE36</f>
        <v>3</v>
      </c>
      <c r="BJ36" s="0" t="n">
        <f aca="false">AQ36+BF36</f>
        <v>7.5</v>
      </c>
      <c r="BK36" s="0" t="n">
        <f aca="false">AR36+BG36</f>
        <v>7.5</v>
      </c>
      <c r="BL36" s="0" t="n">
        <f aca="false">AS36+BH36</f>
        <v>6</v>
      </c>
      <c r="BM36" s="0" t="n">
        <f aca="false">IF(BJ36=MIN(BJ34:BJ38),1,0)</f>
        <v>1</v>
      </c>
    </row>
    <row r="37" customFormat="false" ht="13" hidden="false" customHeight="false" outlineLevel="0" collapsed="false">
      <c r="A37" s="0" t="n">
        <v>58</v>
      </c>
      <c r="B37" s="0" t="s">
        <v>4</v>
      </c>
      <c r="C37" s="0" t="s">
        <v>3</v>
      </c>
      <c r="D37" s="0" t="s">
        <v>2</v>
      </c>
      <c r="E37" s="0" t="n">
        <f aca="false">(IF($B37="V",1,0))+IF($C37="V",1,0)+IF($D37="V",1,0)</f>
        <v>0</v>
      </c>
      <c r="F37" s="0" t="n">
        <f aca="false">(IF($B37="E",1,0))+IF($C37="E",1,0)+IF($D37="E",1,0)</f>
        <v>1</v>
      </c>
      <c r="G37" s="0" t="n">
        <f aca="false">(IF($B37="O",1,0))+IF($C37="O",1,0)+IF($D37="O",1,0)</f>
        <v>1</v>
      </c>
      <c r="H37" s="0" t="n">
        <f aca="false">(IF($B37="L",1,0))+IF($C37="L",1,0)+IF($D37="L",1,0)</f>
        <v>1</v>
      </c>
      <c r="I37" s="0" t="n">
        <f aca="false">(IF(B37="V",1,0))</f>
        <v>0</v>
      </c>
      <c r="J37" s="0" t="n">
        <f aca="false">(IF(B37="E",1,0))</f>
        <v>0</v>
      </c>
      <c r="K37" s="0" t="n">
        <f aca="false">(IF(B37="O",1,0))</f>
        <v>0</v>
      </c>
      <c r="L37" s="0" t="n">
        <f aca="false">(IF(B37="L",1,0))</f>
        <v>1</v>
      </c>
      <c r="M37" s="0" t="n">
        <f aca="false">(IF(C37="V",1,0))</f>
        <v>0</v>
      </c>
      <c r="N37" s="0" t="n">
        <f aca="false">(IF(C37="E",1,0))</f>
        <v>0</v>
      </c>
      <c r="O37" s="0" t="n">
        <f aca="false">(IF(C37="O",1,0))</f>
        <v>1</v>
      </c>
      <c r="P37" s="0" t="n">
        <f aca="false">(IF(C37="L",1,0))</f>
        <v>0</v>
      </c>
      <c r="Q37" s="0" t="n">
        <f aca="false">(IF(D37="V",1,0))</f>
        <v>0</v>
      </c>
      <c r="R37" s="0" t="n">
        <f aca="false">(IF(D37="E",1,0))</f>
        <v>1</v>
      </c>
      <c r="S37" s="0" t="n">
        <f aca="false">(IF(D37="O",1,0))</f>
        <v>0</v>
      </c>
      <c r="T37" s="0" t="n">
        <f aca="false">(IF(D37="L",1,0))</f>
        <v>0</v>
      </c>
      <c r="U37" s="0" t="n">
        <f aca="false">MAX(E37-1,0)</f>
        <v>0</v>
      </c>
      <c r="V37" s="0" t="n">
        <f aca="false">MAX(U37-1+F37,0)</f>
        <v>0</v>
      </c>
      <c r="W37" s="0" t="n">
        <f aca="false">MAX(V37-1+G37,0)</f>
        <v>0</v>
      </c>
      <c r="X37" s="0" t="n">
        <f aca="false">MAX(W37-1+H37,0)</f>
        <v>0</v>
      </c>
      <c r="Y37" s="1" t="n">
        <f aca="false">0.5*(E37*I37+F37*J37+G37*K37+H37*L37-1)+(0+$U37*J37+$V37*K37+$W37*L37)</f>
        <v>0</v>
      </c>
      <c r="Z37" s="1" t="n">
        <f aca="false">0.5*(E37*M37+F37*N37+G37*O37+H37*P37-1)+(0+$U37*N37+$V37*O37+$W37*P37)</f>
        <v>0</v>
      </c>
      <c r="AA37" s="1" t="n">
        <f aca="false">0.5*(E37*Q37+F37*R37+G37*S37+H37*T37-1)+(0+$U37*R37+$V37*S37+$W37*T37)</f>
        <v>0</v>
      </c>
      <c r="AB37" s="0" t="n">
        <f aca="false">IF(B37="V",-2,0)+IF(B37="E",-1,0)+IF(B37="O",0,0)+IF(B37="L",1,0)+Y37</f>
        <v>1</v>
      </c>
      <c r="AC37" s="0" t="n">
        <f aca="false">IF(C37="V",-2,0)+IF(C37="E",-1,0)+IF(C37="O",0,0)+IF(C37="L",1,0)+Z37</f>
        <v>0</v>
      </c>
      <c r="AD37" s="0" t="n">
        <f aca="false">IF(D37="V",-2,0)+IF(D37="E",-1,0)+IF(D37="O",0,0)+IF(D37="L",1,0)+AA37</f>
        <v>-1</v>
      </c>
      <c r="AE37" s="1" t="n">
        <f aca="false">IF(B37="V",-2,0)+IF(B37="E",-1,0)+IF(B37="O",0,0)+IF(B37="L",1,0)</f>
        <v>1</v>
      </c>
      <c r="AF37" s="1" t="n">
        <f aca="false">IF(B37="V",-2,0)+IF(B37="E",-1,0)+IF(B37="O",0,0)+IF(B37="L",1,0)+Y37</f>
        <v>1</v>
      </c>
      <c r="AG37" s="1" t="n">
        <f aca="false">IF(B37="V",-2,0)+IF(B37="E",-1,0)+IF(B37="O",0,0)+IF(B37="L",1,0)+Y37*2</f>
        <v>1</v>
      </c>
      <c r="AH37" s="1" t="n">
        <f aca="false">IF(C37="V",-2,0)+IF(C37="E",-1,0)+IF(C37="O",0,0)+IF(C37="L",1,0)</f>
        <v>0</v>
      </c>
      <c r="AI37" s="1" t="n">
        <f aca="false">IF(C37="V",-2,0)+IF(C37="E",-1,0)+IF(C37="O",0,0)+IF(C37="L",1,0)+Z37</f>
        <v>0</v>
      </c>
      <c r="AJ37" s="1" t="n">
        <f aca="false">IF(C37="V",-2,0)+IF(C37="E",-1,0)+IF(C37="O",0,0)+IF(C37="L",1,0)+Z37*2</f>
        <v>0</v>
      </c>
      <c r="AK37" s="1" t="n">
        <f aca="false">IF(D37="V",-2,0)+IF(D37="E",-1,0)+IF(D37="O",0,0)+IF(D37="L",1,0)</f>
        <v>-1</v>
      </c>
      <c r="AL37" s="1" t="n">
        <f aca="false">IF(D37="V",-2,0)+IF(D37="E",-1,0)+IF(D37="O",0,0)+IF(D37="L",1,0)+AA37</f>
        <v>-1</v>
      </c>
      <c r="AM37" s="1" t="n">
        <f aca="false">IF(D37="V",-2,0)+IF(D37="E",-1,0)+IF(D37="O",0,0)+IF(D37="L",1,0)+AA37*2</f>
        <v>-1</v>
      </c>
      <c r="AN37" s="1" t="n">
        <f aca="false">(ABS(IF(AE37&lt;0,AE37*Early,AE37*Late))+ABS(IF(AF37&lt;0,AF37*Early,AF37*Late))+ABS(IF(AG37&lt;0,AG37*Early,AG37*Late)))/3</f>
        <v>4</v>
      </c>
      <c r="AO37" s="1" t="n">
        <f aca="false">(ABS(IF(AH37&lt;0,AH37*Early,AH37*Late))+ABS(IF(AI37&lt;0,AI37*Early,AI37*Late))+ABS(IF(AJ37&lt;0,AJ37*Early,AJ37*Late)))/3</f>
        <v>0</v>
      </c>
      <c r="AP37" s="1" t="n">
        <f aca="false">(ABS(IF(AK37&lt;0,AK37*Early,AK37*Late))+ABS(IF(AL37&lt;0,AL37*Early,AL37*Late))+ABS(IF(AM37&lt;0,AM37*Early,AM37*Late)))/3</f>
        <v>3</v>
      </c>
      <c r="AQ37" s="0" t="n">
        <f aca="false">Y37*Delay+AN37</f>
        <v>4</v>
      </c>
      <c r="AR37" s="0" t="n">
        <f aca="false">Z37*Delay+AO37</f>
        <v>0</v>
      </c>
      <c r="AS37" s="0" t="n">
        <f aca="false">AA37*Delay+AP37</f>
        <v>3</v>
      </c>
      <c r="AT37" s="0" t="n">
        <f aca="false">IF(AQ37=MIN(AQ34:AQ37),1,0)</f>
        <v>0</v>
      </c>
      <c r="AX37" s="0" t="str">
        <f aca="false">B37&amp;C37&amp;D37</f>
        <v>LOE</v>
      </c>
      <c r="AY37" s="1" t="n">
        <f aca="false">AQ37+AR37+AS37</f>
        <v>7</v>
      </c>
      <c r="AZ37" s="1" t="str">
        <f aca="false">RIGHT(AX37,2)</f>
        <v>OE</v>
      </c>
      <c r="BA37" s="1" t="str">
        <f aca="false">LEFT(AX37,1)&amp;RIGHT(AX37,1)</f>
        <v>LE</v>
      </c>
      <c r="BB37" s="1" t="str">
        <f aca="false">LEFT(AX37,2)</f>
        <v>LO</v>
      </c>
      <c r="BC37" s="1" t="n">
        <f aca="false">VLOOKUP(AZ37,TwoPlayers!$AG$1:$AH$17,2,FALSE())</f>
        <v>3</v>
      </c>
      <c r="BD37" s="1" t="n">
        <f aca="false">VLOOKUP(BA37,TwoPlayers!$AG$1:$AH$17,2,FALSE())</f>
        <v>7</v>
      </c>
      <c r="BE37" s="1" t="n">
        <f aca="false">VLOOKUP(BB37,TwoPlayers!$AG$1:$AH$17,2,FALSE())</f>
        <v>4</v>
      </c>
      <c r="BF37" s="1" t="n">
        <f aca="false">$AY37-BC37</f>
        <v>4</v>
      </c>
      <c r="BG37" s="1" t="n">
        <f aca="false">$AY37-BD37</f>
        <v>0</v>
      </c>
      <c r="BH37" s="1" t="n">
        <f aca="false">$AY37-BE37</f>
        <v>3</v>
      </c>
      <c r="BJ37" s="0" t="n">
        <f aca="false">AQ37+BF37</f>
        <v>8</v>
      </c>
      <c r="BK37" s="0" t="n">
        <f aca="false">AR37+BG37</f>
        <v>0</v>
      </c>
      <c r="BL37" s="0" t="n">
        <f aca="false">AS37+BH37</f>
        <v>6</v>
      </c>
      <c r="BM37" s="0" t="n">
        <f aca="false">IF(BJ37=MIN(BJ34:BJ38),1,0)</f>
        <v>0</v>
      </c>
    </row>
    <row r="38" customFormat="false" ht="13" hidden="false" customHeight="false" outlineLevel="0" collapsed="false">
      <c r="A38" s="0" t="n">
        <v>12</v>
      </c>
      <c r="B38" s="0" t="s">
        <v>1</v>
      </c>
      <c r="C38" s="0" t="s">
        <v>3</v>
      </c>
      <c r="D38" s="0" t="s">
        <v>4</v>
      </c>
      <c r="E38" s="0" t="n">
        <f aca="false">(IF($B38="V",1,0))+IF($C38="V",1,0)+IF($D38="V",1,0)</f>
        <v>1</v>
      </c>
      <c r="F38" s="0" t="n">
        <f aca="false">(IF($B38="E",1,0))+IF($C38="E",1,0)+IF($D38="E",1,0)</f>
        <v>0</v>
      </c>
      <c r="G38" s="0" t="n">
        <f aca="false">(IF($B38="O",1,0))+IF($C38="O",1,0)+IF($D38="O",1,0)</f>
        <v>1</v>
      </c>
      <c r="H38" s="0" t="n">
        <f aca="false">(IF($B38="L",1,0))+IF($C38="L",1,0)+IF($D38="L",1,0)</f>
        <v>1</v>
      </c>
      <c r="I38" s="0" t="n">
        <f aca="false">(IF(B38="V",1,0))</f>
        <v>1</v>
      </c>
      <c r="J38" s="0" t="n">
        <f aca="false">(IF(B38="E",1,0))</f>
        <v>0</v>
      </c>
      <c r="K38" s="0" t="n">
        <f aca="false">(IF(B38="O",1,0))</f>
        <v>0</v>
      </c>
      <c r="L38" s="0" t="n">
        <f aca="false">(IF(B38="L",1,0))</f>
        <v>0</v>
      </c>
      <c r="M38" s="0" t="n">
        <f aca="false">(IF(C38="V",1,0))</f>
        <v>0</v>
      </c>
      <c r="N38" s="0" t="n">
        <f aca="false">(IF(C38="E",1,0))</f>
        <v>0</v>
      </c>
      <c r="O38" s="0" t="n">
        <f aca="false">(IF(C38="O",1,0))</f>
        <v>1</v>
      </c>
      <c r="P38" s="0" t="n">
        <f aca="false">(IF(C38="L",1,0))</f>
        <v>0</v>
      </c>
      <c r="Q38" s="0" t="n">
        <f aca="false">(IF(D38="V",1,0))</f>
        <v>0</v>
      </c>
      <c r="R38" s="0" t="n">
        <f aca="false">(IF(D38="E",1,0))</f>
        <v>0</v>
      </c>
      <c r="S38" s="0" t="n">
        <f aca="false">(IF(D38="O",1,0))</f>
        <v>0</v>
      </c>
      <c r="T38" s="0" t="n">
        <f aca="false">(IF(D38="L",1,0))</f>
        <v>1</v>
      </c>
      <c r="U38" s="0" t="n">
        <f aca="false">MAX(E38-1,0)</f>
        <v>0</v>
      </c>
      <c r="V38" s="0" t="n">
        <f aca="false">MAX(U38-1+F38,0)</f>
        <v>0</v>
      </c>
      <c r="W38" s="0" t="n">
        <f aca="false">MAX(V38-1+G38,0)</f>
        <v>0</v>
      </c>
      <c r="X38" s="0" t="n">
        <f aca="false">MAX(W38-1+H38,0)</f>
        <v>0</v>
      </c>
      <c r="Y38" s="1" t="n">
        <f aca="false">0.5*(E38*I38+F38*J38+G38*K38+H38*L38-1)+(0+$U38*J38+$V38*K38+$W38*L38)</f>
        <v>0</v>
      </c>
      <c r="Z38" s="1" t="n">
        <f aca="false">0.5*(E38*M38+F38*N38+G38*O38+H38*P38-1)+(0+$U38*N38+$V38*O38+$W38*P38)</f>
        <v>0</v>
      </c>
      <c r="AA38" s="1" t="n">
        <f aca="false">0.5*(E38*Q38+F38*R38+G38*S38+H38*T38-1)+(0+$U38*R38+$V38*S38+$W38*T38)</f>
        <v>0</v>
      </c>
      <c r="AB38" s="0" t="n">
        <f aca="false">IF(B38="V",-2,0)+IF(B38="E",-1,0)+IF(B38="O",0,0)+IF(B38="L",1,0)+Y38</f>
        <v>-2</v>
      </c>
      <c r="AC38" s="0" t="n">
        <f aca="false">IF(C38="V",-2,0)+IF(C38="E",-1,0)+IF(C38="O",0,0)+IF(C38="L",1,0)+Z38</f>
        <v>0</v>
      </c>
      <c r="AD38" s="0" t="n">
        <f aca="false">IF(D38="V",-2,0)+IF(D38="E",-1,0)+IF(D38="O",0,0)+IF(D38="L",1,0)+AA38</f>
        <v>1</v>
      </c>
      <c r="AE38" s="1" t="n">
        <f aca="false">IF(B38="V",-2,0)+IF(B38="E",-1,0)+IF(B38="O",0,0)+IF(B38="L",1,0)</f>
        <v>-2</v>
      </c>
      <c r="AF38" s="1" t="n">
        <f aca="false">IF(B38="V",-2,0)+IF(B38="E",-1,0)+IF(B38="O",0,0)+IF(B38="L",1,0)+Y38</f>
        <v>-2</v>
      </c>
      <c r="AG38" s="1" t="n">
        <f aca="false">IF(B38="V",-2,0)+IF(B38="E",-1,0)+IF(B38="O",0,0)+IF(B38="L",1,0)+Y38*2</f>
        <v>-2</v>
      </c>
      <c r="AH38" s="1" t="n">
        <f aca="false">IF(C38="V",-2,0)+IF(C38="E",-1,0)+IF(C38="O",0,0)+IF(C38="L",1,0)</f>
        <v>0</v>
      </c>
      <c r="AI38" s="1" t="n">
        <f aca="false">IF(C38="V",-2,0)+IF(C38="E",-1,0)+IF(C38="O",0,0)+IF(C38="L",1,0)+Z38</f>
        <v>0</v>
      </c>
      <c r="AJ38" s="1" t="n">
        <f aca="false">IF(C38="V",-2,0)+IF(C38="E",-1,0)+IF(C38="O",0,0)+IF(C38="L",1,0)+Z38*2</f>
        <v>0</v>
      </c>
      <c r="AK38" s="1" t="n">
        <f aca="false">IF(D38="V",-2,0)+IF(D38="E",-1,0)+IF(D38="O",0,0)+IF(D38="L",1,0)</f>
        <v>1</v>
      </c>
      <c r="AL38" s="1" t="n">
        <f aca="false">IF(D38="V",-2,0)+IF(D38="E",-1,0)+IF(D38="O",0,0)+IF(D38="L",1,0)+AA38</f>
        <v>1</v>
      </c>
      <c r="AM38" s="1" t="n">
        <f aca="false">IF(D38="V",-2,0)+IF(D38="E",-1,0)+IF(D38="O",0,0)+IF(D38="L",1,0)+AA38*2</f>
        <v>1</v>
      </c>
      <c r="AN38" s="1" t="n">
        <f aca="false">(ABS(IF(AE38&lt;0,AE38*Early,AE38*Late))+ABS(IF(AF38&lt;0,AF38*Early,AF38*Late))+ABS(IF(AG38&lt;0,AG38*Early,AG38*Late)))/3</f>
        <v>6</v>
      </c>
      <c r="AO38" s="1" t="n">
        <f aca="false">(ABS(IF(AH38&lt;0,AH38*Early,AH38*Late))+ABS(IF(AI38&lt;0,AI38*Early,AI38*Late))+ABS(IF(AJ38&lt;0,AJ38*Early,AJ38*Late)))/3</f>
        <v>0</v>
      </c>
      <c r="AP38" s="1" t="n">
        <f aca="false">(ABS(IF(AK38&lt;0,AK38*Early,AK38*Late))+ABS(IF(AL38&lt;0,AL38*Early,AL38*Late))+ABS(IF(AM38&lt;0,AM38*Early,AM38*Late)))/3</f>
        <v>4</v>
      </c>
      <c r="AQ38" s="0" t="n">
        <f aca="false">Y38*Delay+AN38</f>
        <v>6</v>
      </c>
      <c r="AR38" s="0" t="n">
        <f aca="false">Z38*Delay+AO38</f>
        <v>0</v>
      </c>
      <c r="AS38" s="0" t="n">
        <f aca="false">AA38*Delay+AP38</f>
        <v>4</v>
      </c>
      <c r="AT38" s="0" t="n">
        <f aca="false">IF(AQ38=MIN(AQ38:AQ41),1,0)</f>
        <v>0</v>
      </c>
      <c r="AX38" s="0" t="str">
        <f aca="false">B38&amp;C38&amp;D38</f>
        <v>VOL</v>
      </c>
      <c r="AY38" s="1" t="n">
        <f aca="false">AQ38+AR38+AS38</f>
        <v>10</v>
      </c>
      <c r="AZ38" s="1" t="str">
        <f aca="false">RIGHT(AX38,2)</f>
        <v>OL</v>
      </c>
      <c r="BA38" s="1" t="str">
        <f aca="false">LEFT(AX38,1)&amp;RIGHT(AX38,1)</f>
        <v>VL</v>
      </c>
      <c r="BB38" s="1" t="str">
        <f aca="false">LEFT(AX38,2)</f>
        <v>VO</v>
      </c>
      <c r="BC38" s="1" t="n">
        <f aca="false">VLOOKUP(AZ38,TwoPlayers!$AG$1:$AH$17,2,FALSE())</f>
        <v>4</v>
      </c>
      <c r="BD38" s="1" t="n">
        <f aca="false">VLOOKUP(BA38,TwoPlayers!$AG$1:$AH$17,2,FALSE())</f>
        <v>10</v>
      </c>
      <c r="BE38" s="1" t="n">
        <f aca="false">VLOOKUP(BB38,TwoPlayers!$AG$1:$AH$17,2,FALSE())</f>
        <v>6</v>
      </c>
      <c r="BF38" s="1" t="n">
        <f aca="false">$AY38-BC38</f>
        <v>6</v>
      </c>
      <c r="BG38" s="1" t="n">
        <f aca="false">$AY38-BD38</f>
        <v>0</v>
      </c>
      <c r="BH38" s="1" t="n">
        <f aca="false">$AY38-BE38</f>
        <v>4</v>
      </c>
      <c r="BJ38" s="0" t="n">
        <f aca="false">AQ38+BF38</f>
        <v>12</v>
      </c>
      <c r="BK38" s="0" t="n">
        <f aca="false">AR38+BG38</f>
        <v>0</v>
      </c>
      <c r="BL38" s="0" t="n">
        <f aca="false">AS38+BH38</f>
        <v>8</v>
      </c>
      <c r="BM38" s="0" t="n">
        <f aca="false">IF(BJ38=MIN(BJ38:BJ42),1,0)</f>
        <v>0</v>
      </c>
    </row>
    <row r="39" customFormat="false" ht="13" hidden="false" customHeight="false" outlineLevel="0" collapsed="false">
      <c r="A39" s="0" t="n">
        <v>28</v>
      </c>
      <c r="B39" s="0" t="s">
        <v>2</v>
      </c>
      <c r="C39" s="0" t="s">
        <v>3</v>
      </c>
      <c r="D39" s="0" t="s">
        <v>4</v>
      </c>
      <c r="E39" s="0" t="n">
        <f aca="false">(IF($B39="V",1,0))+IF($C39="V",1,0)+IF($D39="V",1,0)</f>
        <v>0</v>
      </c>
      <c r="F39" s="0" t="n">
        <f aca="false">(IF($B39="E",1,0))+IF($C39="E",1,0)+IF($D39="E",1,0)</f>
        <v>1</v>
      </c>
      <c r="G39" s="0" t="n">
        <f aca="false">(IF($B39="O",1,0))+IF($C39="O",1,0)+IF($D39="O",1,0)</f>
        <v>1</v>
      </c>
      <c r="H39" s="0" t="n">
        <f aca="false">(IF($B39="L",1,0))+IF($C39="L",1,0)+IF($D39="L",1,0)</f>
        <v>1</v>
      </c>
      <c r="I39" s="0" t="n">
        <f aca="false">(IF(B39="V",1,0))</f>
        <v>0</v>
      </c>
      <c r="J39" s="0" t="n">
        <f aca="false">(IF(B39="E",1,0))</f>
        <v>1</v>
      </c>
      <c r="K39" s="0" t="n">
        <f aca="false">(IF(B39="O",1,0))</f>
        <v>0</v>
      </c>
      <c r="L39" s="0" t="n">
        <f aca="false">(IF(B39="L",1,0))</f>
        <v>0</v>
      </c>
      <c r="M39" s="0" t="n">
        <f aca="false">(IF(C39="V",1,0))</f>
        <v>0</v>
      </c>
      <c r="N39" s="0" t="n">
        <f aca="false">(IF(C39="E",1,0))</f>
        <v>0</v>
      </c>
      <c r="O39" s="0" t="n">
        <f aca="false">(IF(C39="O",1,0))</f>
        <v>1</v>
      </c>
      <c r="P39" s="0" t="n">
        <f aca="false">(IF(C39="L",1,0))</f>
        <v>0</v>
      </c>
      <c r="Q39" s="0" t="n">
        <f aca="false">(IF(D39="V",1,0))</f>
        <v>0</v>
      </c>
      <c r="R39" s="0" t="n">
        <f aca="false">(IF(D39="E",1,0))</f>
        <v>0</v>
      </c>
      <c r="S39" s="0" t="n">
        <f aca="false">(IF(D39="O",1,0))</f>
        <v>0</v>
      </c>
      <c r="T39" s="0" t="n">
        <f aca="false">(IF(D39="L",1,0))</f>
        <v>1</v>
      </c>
      <c r="U39" s="0" t="n">
        <f aca="false">MAX(E39-1,0)</f>
        <v>0</v>
      </c>
      <c r="V39" s="0" t="n">
        <f aca="false">MAX(U39-1+F39,0)</f>
        <v>0</v>
      </c>
      <c r="W39" s="0" t="n">
        <f aca="false">MAX(V39-1+G39,0)</f>
        <v>0</v>
      </c>
      <c r="X39" s="0" t="n">
        <f aca="false">MAX(W39-1+H39,0)</f>
        <v>0</v>
      </c>
      <c r="Y39" s="1" t="n">
        <f aca="false">0.5*(E39*I39+F39*J39+G39*K39+H39*L39-1)+(0+$U39*J39+$V39*K39+$W39*L39)</f>
        <v>0</v>
      </c>
      <c r="Z39" s="1" t="n">
        <f aca="false">0.5*(E39*M39+F39*N39+G39*O39+H39*P39-1)+(0+$U39*N39+$V39*O39+$W39*P39)</f>
        <v>0</v>
      </c>
      <c r="AA39" s="1" t="n">
        <f aca="false">0.5*(E39*Q39+F39*R39+G39*S39+H39*T39-1)+(0+$U39*R39+$V39*S39+$W39*T39)</f>
        <v>0</v>
      </c>
      <c r="AB39" s="0" t="n">
        <f aca="false">IF(B39="V",-2,0)+IF(B39="E",-1,0)+IF(B39="O",0,0)+IF(B39="L",1,0)+Y39</f>
        <v>-1</v>
      </c>
      <c r="AC39" s="0" t="n">
        <f aca="false">IF(C39="V",-2,0)+IF(C39="E",-1,0)+IF(C39="O",0,0)+IF(C39="L",1,0)+Z39</f>
        <v>0</v>
      </c>
      <c r="AD39" s="0" t="n">
        <f aca="false">IF(D39="V",-2,0)+IF(D39="E",-1,0)+IF(D39="O",0,0)+IF(D39="L",1,0)+AA39</f>
        <v>1</v>
      </c>
      <c r="AE39" s="1" t="n">
        <f aca="false">IF(B39="V",-2,0)+IF(B39="E",-1,0)+IF(B39="O",0,0)+IF(B39="L",1,0)</f>
        <v>-1</v>
      </c>
      <c r="AF39" s="1" t="n">
        <f aca="false">IF(B39="V",-2,0)+IF(B39="E",-1,0)+IF(B39="O",0,0)+IF(B39="L",1,0)+Y39</f>
        <v>-1</v>
      </c>
      <c r="AG39" s="1" t="n">
        <f aca="false">IF(B39="V",-2,0)+IF(B39="E",-1,0)+IF(B39="O",0,0)+IF(B39="L",1,0)+Y39*2</f>
        <v>-1</v>
      </c>
      <c r="AH39" s="1" t="n">
        <f aca="false">IF(C39="V",-2,0)+IF(C39="E",-1,0)+IF(C39="O",0,0)+IF(C39="L",1,0)</f>
        <v>0</v>
      </c>
      <c r="AI39" s="1" t="n">
        <f aca="false">IF(C39="V",-2,0)+IF(C39="E",-1,0)+IF(C39="O",0,0)+IF(C39="L",1,0)+Z39</f>
        <v>0</v>
      </c>
      <c r="AJ39" s="1" t="n">
        <f aca="false">IF(C39="V",-2,0)+IF(C39="E",-1,0)+IF(C39="O",0,0)+IF(C39="L",1,0)+Z39*2</f>
        <v>0</v>
      </c>
      <c r="AK39" s="1" t="n">
        <f aca="false">IF(D39="V",-2,0)+IF(D39="E",-1,0)+IF(D39="O",0,0)+IF(D39="L",1,0)</f>
        <v>1</v>
      </c>
      <c r="AL39" s="1" t="n">
        <f aca="false">IF(D39="V",-2,0)+IF(D39="E",-1,0)+IF(D39="O",0,0)+IF(D39="L",1,0)+AA39</f>
        <v>1</v>
      </c>
      <c r="AM39" s="1" t="n">
        <f aca="false">IF(D39="V",-2,0)+IF(D39="E",-1,0)+IF(D39="O",0,0)+IF(D39="L",1,0)+AA39*2</f>
        <v>1</v>
      </c>
      <c r="AN39" s="1" t="n">
        <f aca="false">(ABS(IF(AE39&lt;0,AE39*Early,AE39*Late))+ABS(IF(AF39&lt;0,AF39*Early,AF39*Late))+ABS(IF(AG39&lt;0,AG39*Early,AG39*Late)))/3</f>
        <v>3</v>
      </c>
      <c r="AO39" s="1" t="n">
        <f aca="false">(ABS(IF(AH39&lt;0,AH39*Early,AH39*Late))+ABS(IF(AI39&lt;0,AI39*Early,AI39*Late))+ABS(IF(AJ39&lt;0,AJ39*Early,AJ39*Late)))/3</f>
        <v>0</v>
      </c>
      <c r="AP39" s="1" t="n">
        <f aca="false">(ABS(IF(AK39&lt;0,AK39*Early,AK39*Late))+ABS(IF(AL39&lt;0,AL39*Early,AL39*Late))+ABS(IF(AM39&lt;0,AM39*Early,AM39*Late)))/3</f>
        <v>4</v>
      </c>
      <c r="AQ39" s="0" t="n">
        <f aca="false">Y39*Delay+AN39</f>
        <v>3</v>
      </c>
      <c r="AR39" s="0" t="n">
        <f aca="false">Z39*Delay+AO39</f>
        <v>0</v>
      </c>
      <c r="AS39" s="0" t="n">
        <f aca="false">AA39*Delay+AP39</f>
        <v>4</v>
      </c>
      <c r="AT39" s="0" t="n">
        <f aca="false">IF(AQ39=MIN(AQ38:AQ41),1,0)</f>
        <v>0</v>
      </c>
      <c r="AX39" s="0" t="str">
        <f aca="false">B39&amp;C39&amp;D39</f>
        <v>EOL</v>
      </c>
      <c r="AY39" s="1" t="n">
        <f aca="false">AQ39+AR39+AS39</f>
        <v>7</v>
      </c>
      <c r="AZ39" s="1" t="str">
        <f aca="false">RIGHT(AX39,2)</f>
        <v>OL</v>
      </c>
      <c r="BA39" s="1" t="str">
        <f aca="false">LEFT(AX39,1)&amp;RIGHT(AX39,1)</f>
        <v>EL</v>
      </c>
      <c r="BB39" s="1" t="str">
        <f aca="false">LEFT(AX39,2)</f>
        <v>EO</v>
      </c>
      <c r="BC39" s="1" t="n">
        <f aca="false">VLOOKUP(AZ39,TwoPlayers!$AG$1:$AH$17,2,FALSE())</f>
        <v>4</v>
      </c>
      <c r="BD39" s="1" t="n">
        <f aca="false">VLOOKUP(BA39,TwoPlayers!$AG$1:$AH$17,2,FALSE())</f>
        <v>7</v>
      </c>
      <c r="BE39" s="1" t="n">
        <f aca="false">VLOOKUP(BB39,TwoPlayers!$AG$1:$AH$17,2,FALSE())</f>
        <v>3</v>
      </c>
      <c r="BF39" s="1" t="n">
        <f aca="false">$AY39-BC39</f>
        <v>3</v>
      </c>
      <c r="BG39" s="1" t="n">
        <f aca="false">$AY39-BD39</f>
        <v>0</v>
      </c>
      <c r="BH39" s="1" t="n">
        <f aca="false">$AY39-BE39</f>
        <v>4</v>
      </c>
      <c r="BJ39" s="0" t="n">
        <f aca="false">AQ39+BF39</f>
        <v>6</v>
      </c>
      <c r="BK39" s="0" t="n">
        <f aca="false">AR39+BG39</f>
        <v>0</v>
      </c>
      <c r="BL39" s="0" t="n">
        <f aca="false">AS39+BH39</f>
        <v>8</v>
      </c>
      <c r="BM39" s="0" t="n">
        <f aca="false">IF(BJ39=MIN(BJ38:BJ42),1,0)</f>
        <v>1</v>
      </c>
    </row>
    <row r="40" customFormat="false" ht="13" hidden="false" customHeight="false" outlineLevel="0" collapsed="false">
      <c r="A40" s="0" t="n">
        <v>44</v>
      </c>
      <c r="B40" s="0" t="s">
        <v>3</v>
      </c>
      <c r="C40" s="0" t="s">
        <v>3</v>
      </c>
      <c r="D40" s="0" t="s">
        <v>4</v>
      </c>
      <c r="E40" s="0" t="n">
        <f aca="false">(IF($B40="V",1,0))+IF($C40="V",1,0)+IF($D40="V",1,0)</f>
        <v>0</v>
      </c>
      <c r="F40" s="0" t="n">
        <f aca="false">(IF($B40="E",1,0))+IF($C40="E",1,0)+IF($D40="E",1,0)</f>
        <v>0</v>
      </c>
      <c r="G40" s="0" t="n">
        <f aca="false">(IF($B40="O",1,0))+IF($C40="O",1,0)+IF($D40="O",1,0)</f>
        <v>2</v>
      </c>
      <c r="H40" s="0" t="n">
        <f aca="false">(IF($B40="L",1,0))+IF($C40="L",1,0)+IF($D40="L",1,0)</f>
        <v>1</v>
      </c>
      <c r="I40" s="0" t="n">
        <f aca="false">(IF(B40="V",1,0))</f>
        <v>0</v>
      </c>
      <c r="J40" s="0" t="n">
        <f aca="false">(IF(B40="E",1,0))</f>
        <v>0</v>
      </c>
      <c r="K40" s="0" t="n">
        <f aca="false">(IF(B40="O",1,0))</f>
        <v>1</v>
      </c>
      <c r="L40" s="0" t="n">
        <f aca="false">(IF(B40="L",1,0))</f>
        <v>0</v>
      </c>
      <c r="M40" s="0" t="n">
        <f aca="false">(IF(C40="V",1,0))</f>
        <v>0</v>
      </c>
      <c r="N40" s="0" t="n">
        <f aca="false">(IF(C40="E",1,0))</f>
        <v>0</v>
      </c>
      <c r="O40" s="0" t="n">
        <f aca="false">(IF(C40="O",1,0))</f>
        <v>1</v>
      </c>
      <c r="P40" s="0" t="n">
        <f aca="false">(IF(C40="L",1,0))</f>
        <v>0</v>
      </c>
      <c r="Q40" s="0" t="n">
        <f aca="false">(IF(D40="V",1,0))</f>
        <v>0</v>
      </c>
      <c r="R40" s="0" t="n">
        <f aca="false">(IF(D40="E",1,0))</f>
        <v>0</v>
      </c>
      <c r="S40" s="0" t="n">
        <f aca="false">(IF(D40="O",1,0))</f>
        <v>0</v>
      </c>
      <c r="T40" s="0" t="n">
        <f aca="false">(IF(D40="L",1,0))</f>
        <v>1</v>
      </c>
      <c r="U40" s="0" t="n">
        <f aca="false">MAX(E40-1,0)</f>
        <v>0</v>
      </c>
      <c r="V40" s="0" t="n">
        <f aca="false">MAX(U40-1+F40,0)</f>
        <v>0</v>
      </c>
      <c r="W40" s="0" t="n">
        <f aca="false">MAX(V40-1+G40,0)</f>
        <v>1</v>
      </c>
      <c r="X40" s="0" t="n">
        <f aca="false">MAX(W40-1+H40,0)</f>
        <v>1</v>
      </c>
      <c r="Y40" s="1" t="n">
        <f aca="false">0.5*(E40*I40+F40*J40+G40*K40+H40*L40-1)+(0+$U40*J40+$V40*K40+$W40*L40)</f>
        <v>0.5</v>
      </c>
      <c r="Z40" s="1" t="n">
        <f aca="false">0.5*(E40*M40+F40*N40+G40*O40+H40*P40-1)+(0+$U40*N40+$V40*O40+$W40*P40)</f>
        <v>0.5</v>
      </c>
      <c r="AA40" s="1" t="n">
        <f aca="false">0.5*(E40*Q40+F40*R40+G40*S40+H40*T40-1)+(0+$U40*R40+$V40*S40+$W40*T40)</f>
        <v>1</v>
      </c>
      <c r="AB40" s="0" t="n">
        <f aca="false">IF(B40="V",-2,0)+IF(B40="E",-1,0)+IF(B40="O",0,0)+IF(B40="L",1,0)+Y40</f>
        <v>0.5</v>
      </c>
      <c r="AC40" s="0" t="n">
        <f aca="false">IF(C40="V",-2,0)+IF(C40="E",-1,0)+IF(C40="O",0,0)+IF(C40="L",1,0)+Z40</f>
        <v>0.5</v>
      </c>
      <c r="AD40" s="0" t="n">
        <f aca="false">IF(D40="V",-2,0)+IF(D40="E",-1,0)+IF(D40="O",0,0)+IF(D40="L",1,0)+AA40</f>
        <v>2</v>
      </c>
      <c r="AE40" s="1" t="n">
        <f aca="false">IF(B40="V",-2,0)+IF(B40="E",-1,0)+IF(B40="O",0,0)+IF(B40="L",1,0)</f>
        <v>0</v>
      </c>
      <c r="AF40" s="1" t="n">
        <f aca="false">IF(B40="V",-2,0)+IF(B40="E",-1,0)+IF(B40="O",0,0)+IF(B40="L",1,0)+Y40</f>
        <v>0.5</v>
      </c>
      <c r="AG40" s="1" t="n">
        <f aca="false">IF(B40="V",-2,0)+IF(B40="E",-1,0)+IF(B40="O",0,0)+IF(B40="L",1,0)+Y40*2</f>
        <v>1</v>
      </c>
      <c r="AH40" s="1" t="n">
        <f aca="false">IF(C40="V",-2,0)+IF(C40="E",-1,0)+IF(C40="O",0,0)+IF(C40="L",1,0)</f>
        <v>0</v>
      </c>
      <c r="AI40" s="1" t="n">
        <f aca="false">IF(C40="V",-2,0)+IF(C40="E",-1,0)+IF(C40="O",0,0)+IF(C40="L",1,0)+Z40</f>
        <v>0.5</v>
      </c>
      <c r="AJ40" s="1" t="n">
        <f aca="false">IF(C40="V",-2,0)+IF(C40="E",-1,0)+IF(C40="O",0,0)+IF(C40="L",1,0)+Z40*2</f>
        <v>1</v>
      </c>
      <c r="AK40" s="1" t="n">
        <f aca="false">IF(D40="V",-2,0)+IF(D40="E",-1,0)+IF(D40="O",0,0)+IF(D40="L",1,0)</f>
        <v>1</v>
      </c>
      <c r="AL40" s="1" t="n">
        <f aca="false">IF(D40="V",-2,0)+IF(D40="E",-1,0)+IF(D40="O",0,0)+IF(D40="L",1,0)+AA40</f>
        <v>2</v>
      </c>
      <c r="AM40" s="1" t="n">
        <f aca="false">IF(D40="V",-2,0)+IF(D40="E",-1,0)+IF(D40="O",0,0)+IF(D40="L",1,0)+AA40*2</f>
        <v>3</v>
      </c>
      <c r="AN40" s="1" t="n">
        <f aca="false">(ABS(IF(AE40&lt;0,AE40*Early,AE40*Late))+ABS(IF(AF40&lt;0,AF40*Early,AF40*Late))+ABS(IF(AG40&lt;0,AG40*Early,AG40*Late)))/3</f>
        <v>2</v>
      </c>
      <c r="AO40" s="1" t="n">
        <f aca="false">(ABS(IF(AH40&lt;0,AH40*Early,AH40*Late))+ABS(IF(AI40&lt;0,AI40*Early,AI40*Late))+ABS(IF(AJ40&lt;0,AJ40*Early,AJ40*Late)))/3</f>
        <v>2</v>
      </c>
      <c r="AP40" s="1" t="n">
        <f aca="false">(ABS(IF(AK40&lt;0,AK40*Early,AK40*Late))+ABS(IF(AL40&lt;0,AL40*Early,AL40*Late))+ABS(IF(AM40&lt;0,AM40*Early,AM40*Late)))/3</f>
        <v>8</v>
      </c>
      <c r="AQ40" s="0" t="n">
        <f aca="false">Y40*Delay+AN40</f>
        <v>2.5</v>
      </c>
      <c r="AR40" s="0" t="n">
        <f aca="false">Z40*Delay+AO40</f>
        <v>2.5</v>
      </c>
      <c r="AS40" s="0" t="n">
        <f aca="false">AA40*Delay+AP40</f>
        <v>9</v>
      </c>
      <c r="AT40" s="0" t="n">
        <f aca="false">IF(AQ40=MIN(AQ38:AQ41),1,0)</f>
        <v>1</v>
      </c>
      <c r="AX40" s="0" t="str">
        <f aca="false">B40&amp;C40&amp;D40</f>
        <v>OOL</v>
      </c>
      <c r="AY40" s="1" t="n">
        <f aca="false">AQ40+AR40+AS40</f>
        <v>14</v>
      </c>
      <c r="AZ40" s="1" t="str">
        <f aca="false">RIGHT(AX40,2)</f>
        <v>OL</v>
      </c>
      <c r="BA40" s="1" t="str">
        <f aca="false">LEFT(AX40,1)&amp;RIGHT(AX40,1)</f>
        <v>OL</v>
      </c>
      <c r="BB40" s="1" t="str">
        <f aca="false">LEFT(AX40,2)</f>
        <v>OO</v>
      </c>
      <c r="BC40" s="1" t="n">
        <f aca="false">VLOOKUP(AZ40,TwoPlayers!$AG$1:$AH$17,2,FALSE())</f>
        <v>4</v>
      </c>
      <c r="BD40" s="1" t="n">
        <f aca="false">VLOOKUP(BA40,TwoPlayers!$AG$1:$AH$17,2,FALSE())</f>
        <v>4</v>
      </c>
      <c r="BE40" s="1" t="n">
        <f aca="false">VLOOKUP(BB40,TwoPlayers!$AG$1:$AH$17,2,FALSE())</f>
        <v>5</v>
      </c>
      <c r="BF40" s="1" t="n">
        <f aca="false">$AY40-BC40</f>
        <v>10</v>
      </c>
      <c r="BG40" s="1" t="n">
        <f aca="false">$AY40-BD40</f>
        <v>10</v>
      </c>
      <c r="BH40" s="1" t="n">
        <f aca="false">$AY40-BE40</f>
        <v>9</v>
      </c>
      <c r="BJ40" s="0" t="n">
        <f aca="false">AQ40+BF40</f>
        <v>12.5</v>
      </c>
      <c r="BK40" s="0" t="n">
        <f aca="false">AR40+BG40</f>
        <v>12.5</v>
      </c>
      <c r="BL40" s="0" t="n">
        <f aca="false">AS40+BH40</f>
        <v>18</v>
      </c>
      <c r="BM40" s="0" t="n">
        <f aca="false">IF(BJ40=MIN(BJ38:BJ42),1,0)</f>
        <v>0</v>
      </c>
    </row>
    <row r="41" customFormat="false" ht="13" hidden="false" customHeight="false" outlineLevel="0" collapsed="false">
      <c r="A41" s="0" t="n">
        <v>60</v>
      </c>
      <c r="B41" s="0" t="s">
        <v>4</v>
      </c>
      <c r="C41" s="0" t="s">
        <v>3</v>
      </c>
      <c r="D41" s="0" t="s">
        <v>4</v>
      </c>
      <c r="E41" s="0" t="n">
        <f aca="false">(IF($B41="V",1,0))+IF($C41="V",1,0)+IF($D41="V",1,0)</f>
        <v>0</v>
      </c>
      <c r="F41" s="0" t="n">
        <f aca="false">(IF($B41="E",1,0))+IF($C41="E",1,0)+IF($D41="E",1,0)</f>
        <v>0</v>
      </c>
      <c r="G41" s="0" t="n">
        <f aca="false">(IF($B41="O",1,0))+IF($C41="O",1,0)+IF($D41="O",1,0)</f>
        <v>1</v>
      </c>
      <c r="H41" s="0" t="n">
        <f aca="false">(IF($B41="L",1,0))+IF($C41="L",1,0)+IF($D41="L",1,0)</f>
        <v>2</v>
      </c>
      <c r="I41" s="0" t="n">
        <f aca="false">(IF(B41="V",1,0))</f>
        <v>0</v>
      </c>
      <c r="J41" s="0" t="n">
        <f aca="false">(IF(B41="E",1,0))</f>
        <v>0</v>
      </c>
      <c r="K41" s="0" t="n">
        <f aca="false">(IF(B41="O",1,0))</f>
        <v>0</v>
      </c>
      <c r="L41" s="0" t="n">
        <f aca="false">(IF(B41="L",1,0))</f>
        <v>1</v>
      </c>
      <c r="M41" s="0" t="n">
        <f aca="false">(IF(C41="V",1,0))</f>
        <v>0</v>
      </c>
      <c r="N41" s="0" t="n">
        <f aca="false">(IF(C41="E",1,0))</f>
        <v>0</v>
      </c>
      <c r="O41" s="0" t="n">
        <f aca="false">(IF(C41="O",1,0))</f>
        <v>1</v>
      </c>
      <c r="P41" s="0" t="n">
        <f aca="false">(IF(C41="L",1,0))</f>
        <v>0</v>
      </c>
      <c r="Q41" s="0" t="n">
        <f aca="false">(IF(D41="V",1,0))</f>
        <v>0</v>
      </c>
      <c r="R41" s="0" t="n">
        <f aca="false">(IF(D41="E",1,0))</f>
        <v>0</v>
      </c>
      <c r="S41" s="0" t="n">
        <f aca="false">(IF(D41="O",1,0))</f>
        <v>0</v>
      </c>
      <c r="T41" s="0" t="n">
        <f aca="false">(IF(D41="L",1,0))</f>
        <v>1</v>
      </c>
      <c r="U41" s="0" t="n">
        <f aca="false">MAX(E41-1,0)</f>
        <v>0</v>
      </c>
      <c r="V41" s="0" t="n">
        <f aca="false">MAX(U41-1+F41,0)</f>
        <v>0</v>
      </c>
      <c r="W41" s="0" t="n">
        <f aca="false">MAX(V41-1+G41,0)</f>
        <v>0</v>
      </c>
      <c r="X41" s="0" t="n">
        <f aca="false">MAX(W41-1+H41,0)</f>
        <v>1</v>
      </c>
      <c r="Y41" s="1" t="n">
        <f aca="false">0.5*(E41*I41+F41*J41+G41*K41+H41*L41-1)+(0+$U41*J41+$V41*K41+$W41*L41)</f>
        <v>0.5</v>
      </c>
      <c r="Z41" s="1" t="n">
        <f aca="false">0.5*(E41*M41+F41*N41+G41*O41+H41*P41-1)+(0+$U41*N41+$V41*O41+$W41*P41)</f>
        <v>0</v>
      </c>
      <c r="AA41" s="1" t="n">
        <f aca="false">0.5*(E41*Q41+F41*R41+G41*S41+H41*T41-1)+(0+$U41*R41+$V41*S41+$W41*T41)</f>
        <v>0.5</v>
      </c>
      <c r="AB41" s="0" t="n">
        <f aca="false">IF(B41="V",-2,0)+IF(B41="E",-1,0)+IF(B41="O",0,0)+IF(B41="L",1,0)+Y41</f>
        <v>1.5</v>
      </c>
      <c r="AC41" s="0" t="n">
        <f aca="false">IF(C41="V",-2,0)+IF(C41="E",-1,0)+IF(C41="O",0,0)+IF(C41="L",1,0)+Z41</f>
        <v>0</v>
      </c>
      <c r="AD41" s="0" t="n">
        <f aca="false">IF(D41="V",-2,0)+IF(D41="E",-1,0)+IF(D41="O",0,0)+IF(D41="L",1,0)+AA41</f>
        <v>1.5</v>
      </c>
      <c r="AE41" s="1" t="n">
        <f aca="false">IF(B41="V",-2,0)+IF(B41="E",-1,0)+IF(B41="O",0,0)+IF(B41="L",1,0)</f>
        <v>1</v>
      </c>
      <c r="AF41" s="1" t="n">
        <f aca="false">IF(B41="V",-2,0)+IF(B41="E",-1,0)+IF(B41="O",0,0)+IF(B41="L",1,0)+Y41</f>
        <v>1.5</v>
      </c>
      <c r="AG41" s="1" t="n">
        <f aca="false">IF(B41="V",-2,0)+IF(B41="E",-1,0)+IF(B41="O",0,0)+IF(B41="L",1,0)+Y41*2</f>
        <v>2</v>
      </c>
      <c r="AH41" s="1" t="n">
        <f aca="false">IF(C41="V",-2,0)+IF(C41="E",-1,0)+IF(C41="O",0,0)+IF(C41="L",1,0)</f>
        <v>0</v>
      </c>
      <c r="AI41" s="1" t="n">
        <f aca="false">IF(C41="V",-2,0)+IF(C41="E",-1,0)+IF(C41="O",0,0)+IF(C41="L",1,0)+Z41</f>
        <v>0</v>
      </c>
      <c r="AJ41" s="1" t="n">
        <f aca="false">IF(C41="V",-2,0)+IF(C41="E",-1,0)+IF(C41="O",0,0)+IF(C41="L",1,0)+Z41*2</f>
        <v>0</v>
      </c>
      <c r="AK41" s="1" t="n">
        <f aca="false">IF(D41="V",-2,0)+IF(D41="E",-1,0)+IF(D41="O",0,0)+IF(D41="L",1,0)</f>
        <v>1</v>
      </c>
      <c r="AL41" s="1" t="n">
        <f aca="false">IF(D41="V",-2,0)+IF(D41="E",-1,0)+IF(D41="O",0,0)+IF(D41="L",1,0)+AA41</f>
        <v>1.5</v>
      </c>
      <c r="AM41" s="1" t="n">
        <f aca="false">IF(D41="V",-2,0)+IF(D41="E",-1,0)+IF(D41="O",0,0)+IF(D41="L",1,0)+AA41*2</f>
        <v>2</v>
      </c>
      <c r="AN41" s="1" t="n">
        <f aca="false">(ABS(IF(AE41&lt;0,AE41*Early,AE41*Late))+ABS(IF(AF41&lt;0,AF41*Early,AF41*Late))+ABS(IF(AG41&lt;0,AG41*Early,AG41*Late)))/3</f>
        <v>6</v>
      </c>
      <c r="AO41" s="1" t="n">
        <f aca="false">(ABS(IF(AH41&lt;0,AH41*Early,AH41*Late))+ABS(IF(AI41&lt;0,AI41*Early,AI41*Late))+ABS(IF(AJ41&lt;0,AJ41*Early,AJ41*Late)))/3</f>
        <v>0</v>
      </c>
      <c r="AP41" s="1" t="n">
        <f aca="false">(ABS(IF(AK41&lt;0,AK41*Early,AK41*Late))+ABS(IF(AL41&lt;0,AL41*Early,AL41*Late))+ABS(IF(AM41&lt;0,AM41*Early,AM41*Late)))/3</f>
        <v>6</v>
      </c>
      <c r="AQ41" s="0" t="n">
        <f aca="false">Y41*Delay+AN41</f>
        <v>6.5</v>
      </c>
      <c r="AR41" s="0" t="n">
        <f aca="false">Z41*Delay+AO41</f>
        <v>0</v>
      </c>
      <c r="AS41" s="0" t="n">
        <f aca="false">AA41*Delay+AP41</f>
        <v>6.5</v>
      </c>
      <c r="AT41" s="0" t="n">
        <f aca="false">IF(AQ41=MIN(AQ38:AQ41),1,0)</f>
        <v>0</v>
      </c>
      <c r="AX41" s="0" t="str">
        <f aca="false">B41&amp;C41&amp;D41</f>
        <v>LOL</v>
      </c>
      <c r="AY41" s="1" t="n">
        <f aca="false">AQ41+AR41+AS41</f>
        <v>13</v>
      </c>
      <c r="AZ41" s="1" t="str">
        <f aca="false">RIGHT(AX41,2)</f>
        <v>OL</v>
      </c>
      <c r="BA41" s="1" t="str">
        <f aca="false">LEFT(AX41,1)&amp;RIGHT(AX41,1)</f>
        <v>LL</v>
      </c>
      <c r="BB41" s="1" t="str">
        <f aca="false">LEFT(AX41,2)</f>
        <v>LO</v>
      </c>
      <c r="BC41" s="1" t="n">
        <f aca="false">VLOOKUP(AZ41,TwoPlayers!$AG$1:$AH$17,2,FALSE())</f>
        <v>4</v>
      </c>
      <c r="BD41" s="1" t="n">
        <f aca="false">VLOOKUP(BA41,TwoPlayers!$AG$1:$AH$17,2,FALSE())</f>
        <v>13</v>
      </c>
      <c r="BE41" s="1" t="n">
        <f aca="false">VLOOKUP(BB41,TwoPlayers!$AG$1:$AH$17,2,FALSE())</f>
        <v>4</v>
      </c>
      <c r="BF41" s="1" t="n">
        <f aca="false">$AY41-BC41</f>
        <v>9</v>
      </c>
      <c r="BG41" s="1" t="n">
        <f aca="false">$AY41-BD41</f>
        <v>0</v>
      </c>
      <c r="BH41" s="1" t="n">
        <f aca="false">$AY41-BE41</f>
        <v>9</v>
      </c>
      <c r="BJ41" s="0" t="n">
        <f aca="false">AQ41+BF41</f>
        <v>15.5</v>
      </c>
      <c r="BK41" s="0" t="n">
        <f aca="false">AR41+BG41</f>
        <v>0</v>
      </c>
      <c r="BL41" s="0" t="n">
        <f aca="false">AS41+BH41</f>
        <v>15.5</v>
      </c>
      <c r="BM41" s="0" t="n">
        <f aca="false">IF(BJ41=MIN(BJ38:BJ42),1,0)</f>
        <v>0</v>
      </c>
    </row>
    <row r="42" customFormat="false" ht="13" hidden="false" customHeight="false" outlineLevel="0" collapsed="false">
      <c r="A42" s="0" t="n">
        <v>11</v>
      </c>
      <c r="B42" s="0" t="s">
        <v>1</v>
      </c>
      <c r="C42" s="0" t="s">
        <v>3</v>
      </c>
      <c r="D42" s="0" t="s">
        <v>3</v>
      </c>
      <c r="E42" s="0" t="n">
        <f aca="false">(IF($B42="V",1,0))+IF($C42="V",1,0)+IF($D42="V",1,0)</f>
        <v>1</v>
      </c>
      <c r="F42" s="0" t="n">
        <f aca="false">(IF($B42="E",1,0))+IF($C42="E",1,0)+IF($D42="E",1,0)</f>
        <v>0</v>
      </c>
      <c r="G42" s="0" t="n">
        <f aca="false">(IF($B42="O",1,0))+IF($C42="O",1,0)+IF($D42="O",1,0)</f>
        <v>2</v>
      </c>
      <c r="H42" s="0" t="n">
        <f aca="false">(IF($B42="L",1,0))+IF($C42="L",1,0)+IF($D42="L",1,0)</f>
        <v>0</v>
      </c>
      <c r="I42" s="0" t="n">
        <f aca="false">(IF(B42="V",1,0))</f>
        <v>1</v>
      </c>
      <c r="J42" s="0" t="n">
        <f aca="false">(IF(B42="E",1,0))</f>
        <v>0</v>
      </c>
      <c r="K42" s="0" t="n">
        <f aca="false">(IF(B42="O",1,0))</f>
        <v>0</v>
      </c>
      <c r="L42" s="0" t="n">
        <f aca="false">(IF(B42="L",1,0))</f>
        <v>0</v>
      </c>
      <c r="M42" s="0" t="n">
        <f aca="false">(IF(C42="V",1,0))</f>
        <v>0</v>
      </c>
      <c r="N42" s="0" t="n">
        <f aca="false">(IF(C42="E",1,0))</f>
        <v>0</v>
      </c>
      <c r="O42" s="0" t="n">
        <f aca="false">(IF(C42="O",1,0))</f>
        <v>1</v>
      </c>
      <c r="P42" s="0" t="n">
        <f aca="false">(IF(C42="L",1,0))</f>
        <v>0</v>
      </c>
      <c r="Q42" s="0" t="n">
        <f aca="false">(IF(D42="V",1,0))</f>
        <v>0</v>
      </c>
      <c r="R42" s="0" t="n">
        <f aca="false">(IF(D42="E",1,0))</f>
        <v>0</v>
      </c>
      <c r="S42" s="0" t="n">
        <f aca="false">(IF(D42="O",1,0))</f>
        <v>1</v>
      </c>
      <c r="T42" s="0" t="n">
        <f aca="false">(IF(D42="L",1,0))</f>
        <v>0</v>
      </c>
      <c r="U42" s="0" t="n">
        <f aca="false">MAX(E42-1,0)</f>
        <v>0</v>
      </c>
      <c r="V42" s="0" t="n">
        <f aca="false">MAX(U42-1+F42,0)</f>
        <v>0</v>
      </c>
      <c r="W42" s="0" t="n">
        <f aca="false">MAX(V42-1+G42,0)</f>
        <v>1</v>
      </c>
      <c r="X42" s="0" t="n">
        <f aca="false">MAX(W42-1+H42,0)</f>
        <v>0</v>
      </c>
      <c r="Y42" s="1" t="n">
        <f aca="false">0.5*(E42*I42+F42*J42+G42*K42+H42*L42-1)+(0+$U42*J42+$V42*K42+$W42*L42)</f>
        <v>0</v>
      </c>
      <c r="Z42" s="1" t="n">
        <f aca="false">0.5*(E42*M42+F42*N42+G42*O42+H42*P42-1)+(0+$U42*N42+$V42*O42+$W42*P42)</f>
        <v>0.5</v>
      </c>
      <c r="AA42" s="1" t="n">
        <f aca="false">0.5*(E42*Q42+F42*R42+G42*S42+H42*T42-1)+(0+$U42*R42+$V42*S42+$W42*T42)</f>
        <v>0.5</v>
      </c>
      <c r="AB42" s="0" t="n">
        <f aca="false">IF(B42="V",-2,0)+IF(B42="E",-1,0)+IF(B42="O",0,0)+IF(B42="L",1,0)+Y42</f>
        <v>-2</v>
      </c>
      <c r="AC42" s="0" t="n">
        <f aca="false">IF(C42="V",-2,0)+IF(C42="E",-1,0)+IF(C42="O",0,0)+IF(C42="L",1,0)+Z42</f>
        <v>0.5</v>
      </c>
      <c r="AD42" s="0" t="n">
        <f aca="false">IF(D42="V",-2,0)+IF(D42="E",-1,0)+IF(D42="O",0,0)+IF(D42="L",1,0)+AA42</f>
        <v>0.5</v>
      </c>
      <c r="AE42" s="1" t="n">
        <f aca="false">IF(B42="V",-2,0)+IF(B42="E",-1,0)+IF(B42="O",0,0)+IF(B42="L",1,0)</f>
        <v>-2</v>
      </c>
      <c r="AF42" s="1" t="n">
        <f aca="false">IF(B42="V",-2,0)+IF(B42="E",-1,0)+IF(B42="O",0,0)+IF(B42="L",1,0)+Y42</f>
        <v>-2</v>
      </c>
      <c r="AG42" s="1" t="n">
        <f aca="false">IF(B42="V",-2,0)+IF(B42="E",-1,0)+IF(B42="O",0,0)+IF(B42="L",1,0)+Y42*2</f>
        <v>-2</v>
      </c>
      <c r="AH42" s="1" t="n">
        <f aca="false">IF(C42="V",-2,0)+IF(C42="E",-1,0)+IF(C42="O",0,0)+IF(C42="L",1,0)</f>
        <v>0</v>
      </c>
      <c r="AI42" s="1" t="n">
        <f aca="false">IF(C42="V",-2,0)+IF(C42="E",-1,0)+IF(C42="O",0,0)+IF(C42="L",1,0)+Z42</f>
        <v>0.5</v>
      </c>
      <c r="AJ42" s="1" t="n">
        <f aca="false">IF(C42="V",-2,0)+IF(C42="E",-1,0)+IF(C42="O",0,0)+IF(C42="L",1,0)+Z42*2</f>
        <v>1</v>
      </c>
      <c r="AK42" s="1" t="n">
        <f aca="false">IF(D42="V",-2,0)+IF(D42="E",-1,0)+IF(D42="O",0,0)+IF(D42="L",1,0)</f>
        <v>0</v>
      </c>
      <c r="AL42" s="1" t="n">
        <f aca="false">IF(D42="V",-2,0)+IF(D42="E",-1,0)+IF(D42="O",0,0)+IF(D42="L",1,0)+AA42</f>
        <v>0.5</v>
      </c>
      <c r="AM42" s="1" t="n">
        <f aca="false">IF(D42="V",-2,0)+IF(D42="E",-1,0)+IF(D42="O",0,0)+IF(D42="L",1,0)+AA42*2</f>
        <v>1</v>
      </c>
      <c r="AN42" s="1" t="n">
        <f aca="false">(ABS(IF(AE42&lt;0,AE42*Early,AE42*Late))+ABS(IF(AF42&lt;0,AF42*Early,AF42*Late))+ABS(IF(AG42&lt;0,AG42*Early,AG42*Late)))/3</f>
        <v>6</v>
      </c>
      <c r="AO42" s="1" t="n">
        <f aca="false">(ABS(IF(AH42&lt;0,AH42*Early,AH42*Late))+ABS(IF(AI42&lt;0,AI42*Early,AI42*Late))+ABS(IF(AJ42&lt;0,AJ42*Early,AJ42*Late)))/3</f>
        <v>2</v>
      </c>
      <c r="AP42" s="1" t="n">
        <f aca="false">(ABS(IF(AK42&lt;0,AK42*Early,AK42*Late))+ABS(IF(AL42&lt;0,AL42*Early,AL42*Late))+ABS(IF(AM42&lt;0,AM42*Early,AM42*Late)))/3</f>
        <v>2</v>
      </c>
      <c r="AQ42" s="0" t="n">
        <f aca="false">Y42*Delay+AN42</f>
        <v>6</v>
      </c>
      <c r="AR42" s="0" t="n">
        <f aca="false">Z42*Delay+AO42</f>
        <v>2.5</v>
      </c>
      <c r="AS42" s="0" t="n">
        <f aca="false">AA42*Delay+AP42</f>
        <v>2.5</v>
      </c>
      <c r="AT42" s="0" t="n">
        <f aca="false">IF(AQ42=MIN(AQ42:AQ45),1,0)</f>
        <v>0</v>
      </c>
      <c r="AX42" s="0" t="str">
        <f aca="false">B42&amp;C42&amp;D42</f>
        <v>VOO</v>
      </c>
      <c r="AY42" s="1" t="n">
        <f aca="false">AQ42+AR42+AS42</f>
        <v>11</v>
      </c>
      <c r="AZ42" s="1" t="str">
        <f aca="false">RIGHT(AX42,2)</f>
        <v>OO</v>
      </c>
      <c r="BA42" s="1" t="str">
        <f aca="false">LEFT(AX42,1)&amp;RIGHT(AX42,1)</f>
        <v>VO</v>
      </c>
      <c r="BB42" s="1" t="str">
        <f aca="false">LEFT(AX42,2)</f>
        <v>VO</v>
      </c>
      <c r="BC42" s="1" t="n">
        <f aca="false">VLOOKUP(AZ42,TwoPlayers!$AG$1:$AH$17,2,FALSE())</f>
        <v>5</v>
      </c>
      <c r="BD42" s="1" t="n">
        <f aca="false">VLOOKUP(BA42,TwoPlayers!$AG$1:$AH$17,2,FALSE())</f>
        <v>6</v>
      </c>
      <c r="BE42" s="1" t="n">
        <f aca="false">VLOOKUP(BB42,TwoPlayers!$AG$1:$AH$17,2,FALSE())</f>
        <v>6</v>
      </c>
      <c r="BF42" s="1" t="n">
        <f aca="false">$AY42-BC42</f>
        <v>6</v>
      </c>
      <c r="BG42" s="1" t="n">
        <f aca="false">$AY42-BD42</f>
        <v>5</v>
      </c>
      <c r="BH42" s="1" t="n">
        <f aca="false">$AY42-BE42</f>
        <v>5</v>
      </c>
      <c r="BJ42" s="0" t="n">
        <f aca="false">AQ42+BF42</f>
        <v>12</v>
      </c>
      <c r="BK42" s="0" t="n">
        <f aca="false">AR42+BG42</f>
        <v>7.5</v>
      </c>
      <c r="BL42" s="0" t="n">
        <f aca="false">AS42+BH42</f>
        <v>7.5</v>
      </c>
      <c r="BM42" s="0" t="n">
        <f aca="false">IF(BJ42=MIN(BJ42:BJ46),1,0)</f>
        <v>0</v>
      </c>
    </row>
    <row r="43" customFormat="false" ht="13" hidden="false" customHeight="false" outlineLevel="0" collapsed="false">
      <c r="A43" s="0" t="n">
        <v>27</v>
      </c>
      <c r="B43" s="0" t="s">
        <v>2</v>
      </c>
      <c r="C43" s="0" t="s">
        <v>3</v>
      </c>
      <c r="D43" s="0" t="s">
        <v>3</v>
      </c>
      <c r="E43" s="0" t="n">
        <f aca="false">(IF($B43="V",1,0))+IF($C43="V",1,0)+IF($D43="V",1,0)</f>
        <v>0</v>
      </c>
      <c r="F43" s="0" t="n">
        <f aca="false">(IF($B43="E",1,0))+IF($C43="E",1,0)+IF($D43="E",1,0)</f>
        <v>1</v>
      </c>
      <c r="G43" s="0" t="n">
        <f aca="false">(IF($B43="O",1,0))+IF($C43="O",1,0)+IF($D43="O",1,0)</f>
        <v>2</v>
      </c>
      <c r="H43" s="0" t="n">
        <f aca="false">(IF($B43="L",1,0))+IF($C43="L",1,0)+IF($D43="L",1,0)</f>
        <v>0</v>
      </c>
      <c r="I43" s="0" t="n">
        <f aca="false">(IF(B43="V",1,0))</f>
        <v>0</v>
      </c>
      <c r="J43" s="0" t="n">
        <f aca="false">(IF(B43="E",1,0))</f>
        <v>1</v>
      </c>
      <c r="K43" s="0" t="n">
        <f aca="false">(IF(B43="O",1,0))</f>
        <v>0</v>
      </c>
      <c r="L43" s="0" t="n">
        <f aca="false">(IF(B43="L",1,0))</f>
        <v>0</v>
      </c>
      <c r="M43" s="0" t="n">
        <f aca="false">(IF(C43="V",1,0))</f>
        <v>0</v>
      </c>
      <c r="N43" s="0" t="n">
        <f aca="false">(IF(C43="E",1,0))</f>
        <v>0</v>
      </c>
      <c r="O43" s="0" t="n">
        <f aca="false">(IF(C43="O",1,0))</f>
        <v>1</v>
      </c>
      <c r="P43" s="0" t="n">
        <f aca="false">(IF(C43="L",1,0))</f>
        <v>0</v>
      </c>
      <c r="Q43" s="0" t="n">
        <f aca="false">(IF(D43="V",1,0))</f>
        <v>0</v>
      </c>
      <c r="R43" s="0" t="n">
        <f aca="false">(IF(D43="E",1,0))</f>
        <v>0</v>
      </c>
      <c r="S43" s="0" t="n">
        <f aca="false">(IF(D43="O",1,0))</f>
        <v>1</v>
      </c>
      <c r="T43" s="0" t="n">
        <f aca="false">(IF(D43="L",1,0))</f>
        <v>0</v>
      </c>
      <c r="U43" s="0" t="n">
        <f aca="false">MAX(E43-1,0)</f>
        <v>0</v>
      </c>
      <c r="V43" s="0" t="n">
        <f aca="false">MAX(U43-1+F43,0)</f>
        <v>0</v>
      </c>
      <c r="W43" s="0" t="n">
        <f aca="false">MAX(V43-1+G43,0)</f>
        <v>1</v>
      </c>
      <c r="X43" s="0" t="n">
        <f aca="false">MAX(W43-1+H43,0)</f>
        <v>0</v>
      </c>
      <c r="Y43" s="1" t="n">
        <f aca="false">0.5*(E43*I43+F43*J43+G43*K43+H43*L43-1)+(0+$U43*J43+$V43*K43+$W43*L43)</f>
        <v>0</v>
      </c>
      <c r="Z43" s="1" t="n">
        <f aca="false">0.5*(E43*M43+F43*N43+G43*O43+H43*P43-1)+(0+$U43*N43+$V43*O43+$W43*P43)</f>
        <v>0.5</v>
      </c>
      <c r="AA43" s="1" t="n">
        <f aca="false">0.5*(E43*Q43+F43*R43+G43*S43+H43*T43-1)+(0+$U43*R43+$V43*S43+$W43*T43)</f>
        <v>0.5</v>
      </c>
      <c r="AB43" s="0" t="n">
        <f aca="false">IF(B43="V",-2,0)+IF(B43="E",-1,0)+IF(B43="O",0,0)+IF(B43="L",1,0)+Y43</f>
        <v>-1</v>
      </c>
      <c r="AC43" s="0" t="n">
        <f aca="false">IF(C43="V",-2,0)+IF(C43="E",-1,0)+IF(C43="O",0,0)+IF(C43="L",1,0)+Z43</f>
        <v>0.5</v>
      </c>
      <c r="AD43" s="0" t="n">
        <f aca="false">IF(D43="V",-2,0)+IF(D43="E",-1,0)+IF(D43="O",0,0)+IF(D43="L",1,0)+AA43</f>
        <v>0.5</v>
      </c>
      <c r="AE43" s="1" t="n">
        <f aca="false">IF(B43="V",-2,0)+IF(B43="E",-1,0)+IF(B43="O",0,0)+IF(B43="L",1,0)</f>
        <v>-1</v>
      </c>
      <c r="AF43" s="1" t="n">
        <f aca="false">IF(B43="V",-2,0)+IF(B43="E",-1,0)+IF(B43="O",0,0)+IF(B43="L",1,0)+Y43</f>
        <v>-1</v>
      </c>
      <c r="AG43" s="1" t="n">
        <f aca="false">IF(B43="V",-2,0)+IF(B43="E",-1,0)+IF(B43="O",0,0)+IF(B43="L",1,0)+Y43*2</f>
        <v>-1</v>
      </c>
      <c r="AH43" s="1" t="n">
        <f aca="false">IF(C43="V",-2,0)+IF(C43="E",-1,0)+IF(C43="O",0,0)+IF(C43="L",1,0)</f>
        <v>0</v>
      </c>
      <c r="AI43" s="1" t="n">
        <f aca="false">IF(C43="V",-2,0)+IF(C43="E",-1,0)+IF(C43="O",0,0)+IF(C43="L",1,0)+Z43</f>
        <v>0.5</v>
      </c>
      <c r="AJ43" s="1" t="n">
        <f aca="false">IF(C43="V",-2,0)+IF(C43="E",-1,0)+IF(C43="O",0,0)+IF(C43="L",1,0)+Z43*2</f>
        <v>1</v>
      </c>
      <c r="AK43" s="1" t="n">
        <f aca="false">IF(D43="V",-2,0)+IF(D43="E",-1,0)+IF(D43="O",0,0)+IF(D43="L",1,0)</f>
        <v>0</v>
      </c>
      <c r="AL43" s="1" t="n">
        <f aca="false">IF(D43="V",-2,0)+IF(D43="E",-1,0)+IF(D43="O",0,0)+IF(D43="L",1,0)+AA43</f>
        <v>0.5</v>
      </c>
      <c r="AM43" s="1" t="n">
        <f aca="false">IF(D43="V",-2,0)+IF(D43="E",-1,0)+IF(D43="O",0,0)+IF(D43="L",1,0)+AA43*2</f>
        <v>1</v>
      </c>
      <c r="AN43" s="1" t="n">
        <f aca="false">(ABS(IF(AE43&lt;0,AE43*Early,AE43*Late))+ABS(IF(AF43&lt;0,AF43*Early,AF43*Late))+ABS(IF(AG43&lt;0,AG43*Early,AG43*Late)))/3</f>
        <v>3</v>
      </c>
      <c r="AO43" s="1" t="n">
        <f aca="false">(ABS(IF(AH43&lt;0,AH43*Early,AH43*Late))+ABS(IF(AI43&lt;0,AI43*Early,AI43*Late))+ABS(IF(AJ43&lt;0,AJ43*Early,AJ43*Late)))/3</f>
        <v>2</v>
      </c>
      <c r="AP43" s="1" t="n">
        <f aca="false">(ABS(IF(AK43&lt;0,AK43*Early,AK43*Late))+ABS(IF(AL43&lt;0,AL43*Early,AL43*Late))+ABS(IF(AM43&lt;0,AM43*Early,AM43*Late)))/3</f>
        <v>2</v>
      </c>
      <c r="AQ43" s="0" t="n">
        <f aca="false">Y43*Delay+AN43</f>
        <v>3</v>
      </c>
      <c r="AR43" s="0" t="n">
        <f aca="false">Z43*Delay+AO43</f>
        <v>2.5</v>
      </c>
      <c r="AS43" s="0" t="n">
        <f aca="false">AA43*Delay+AP43</f>
        <v>2.5</v>
      </c>
      <c r="AT43" s="0" t="n">
        <f aca="false">IF(AQ43=MIN(AQ42:AQ45),1,0)</f>
        <v>1</v>
      </c>
      <c r="AX43" s="0" t="str">
        <f aca="false">B43&amp;C43&amp;D43</f>
        <v>EOO</v>
      </c>
      <c r="AY43" s="1" t="n">
        <f aca="false">AQ43+AR43+AS43</f>
        <v>8</v>
      </c>
      <c r="AZ43" s="1" t="str">
        <f aca="false">RIGHT(AX43,2)</f>
        <v>OO</v>
      </c>
      <c r="BA43" s="1" t="str">
        <f aca="false">LEFT(AX43,1)&amp;RIGHT(AX43,1)</f>
        <v>EO</v>
      </c>
      <c r="BB43" s="1" t="str">
        <f aca="false">LEFT(AX43,2)</f>
        <v>EO</v>
      </c>
      <c r="BC43" s="1" t="n">
        <f aca="false">VLOOKUP(AZ43,TwoPlayers!$AG$1:$AH$17,2,FALSE())</f>
        <v>5</v>
      </c>
      <c r="BD43" s="1" t="n">
        <f aca="false">VLOOKUP(BA43,TwoPlayers!$AG$1:$AH$17,2,FALSE())</f>
        <v>3</v>
      </c>
      <c r="BE43" s="1" t="n">
        <f aca="false">VLOOKUP(BB43,TwoPlayers!$AG$1:$AH$17,2,FALSE())</f>
        <v>3</v>
      </c>
      <c r="BF43" s="1" t="n">
        <f aca="false">$AY43-BC43</f>
        <v>3</v>
      </c>
      <c r="BG43" s="1" t="n">
        <f aca="false">$AY43-BD43</f>
        <v>5</v>
      </c>
      <c r="BH43" s="1" t="n">
        <f aca="false">$AY43-BE43</f>
        <v>5</v>
      </c>
      <c r="BJ43" s="0" t="n">
        <f aca="false">AQ43+BF43</f>
        <v>6</v>
      </c>
      <c r="BK43" s="0" t="n">
        <f aca="false">AR43+BG43</f>
        <v>7.5</v>
      </c>
      <c r="BL43" s="0" t="n">
        <f aca="false">AS43+BH43</f>
        <v>7.5</v>
      </c>
      <c r="BM43" s="0" t="n">
        <f aca="false">IF(BJ43=MIN(BJ42:BJ46),1,0)</f>
        <v>1</v>
      </c>
    </row>
    <row r="44" customFormat="false" ht="13" hidden="false" customHeight="false" outlineLevel="0" collapsed="false">
      <c r="A44" s="0" t="n">
        <v>43</v>
      </c>
      <c r="B44" s="0" t="s">
        <v>3</v>
      </c>
      <c r="C44" s="0" t="s">
        <v>3</v>
      </c>
      <c r="D44" s="0" t="s">
        <v>3</v>
      </c>
      <c r="E44" s="0" t="n">
        <f aca="false">(IF($B44="V",1,0))+IF($C44="V",1,0)+IF($D44="V",1,0)</f>
        <v>0</v>
      </c>
      <c r="F44" s="0" t="n">
        <f aca="false">(IF($B44="E",1,0))+IF($C44="E",1,0)+IF($D44="E",1,0)</f>
        <v>0</v>
      </c>
      <c r="G44" s="0" t="n">
        <f aca="false">(IF($B44="O",1,0))+IF($C44="O",1,0)+IF($D44="O",1,0)</f>
        <v>3</v>
      </c>
      <c r="H44" s="0" t="n">
        <f aca="false">(IF($B44="L",1,0))+IF($C44="L",1,0)+IF($D44="L",1,0)</f>
        <v>0</v>
      </c>
      <c r="I44" s="0" t="n">
        <f aca="false">(IF(B44="V",1,0))</f>
        <v>0</v>
      </c>
      <c r="J44" s="0" t="n">
        <f aca="false">(IF(B44="E",1,0))</f>
        <v>0</v>
      </c>
      <c r="K44" s="0" t="n">
        <f aca="false">(IF(B44="O",1,0))</f>
        <v>1</v>
      </c>
      <c r="L44" s="0" t="n">
        <f aca="false">(IF(B44="L",1,0))</f>
        <v>0</v>
      </c>
      <c r="M44" s="0" t="n">
        <f aca="false">(IF(C44="V",1,0))</f>
        <v>0</v>
      </c>
      <c r="N44" s="0" t="n">
        <f aca="false">(IF(C44="E",1,0))</f>
        <v>0</v>
      </c>
      <c r="O44" s="0" t="n">
        <f aca="false">(IF(C44="O",1,0))</f>
        <v>1</v>
      </c>
      <c r="P44" s="0" t="n">
        <f aca="false">(IF(C44="L",1,0))</f>
        <v>0</v>
      </c>
      <c r="Q44" s="0" t="n">
        <f aca="false">(IF(D44="V",1,0))</f>
        <v>0</v>
      </c>
      <c r="R44" s="0" t="n">
        <f aca="false">(IF(D44="E",1,0))</f>
        <v>0</v>
      </c>
      <c r="S44" s="0" t="n">
        <f aca="false">(IF(D44="O",1,0))</f>
        <v>1</v>
      </c>
      <c r="T44" s="0" t="n">
        <f aca="false">(IF(D44="L",1,0))</f>
        <v>0</v>
      </c>
      <c r="U44" s="0" t="n">
        <f aca="false">MAX(E44-1,0)</f>
        <v>0</v>
      </c>
      <c r="V44" s="0" t="n">
        <f aca="false">MAX(U44-1+F44,0)</f>
        <v>0</v>
      </c>
      <c r="W44" s="0" t="n">
        <f aca="false">MAX(V44-1+G44,0)</f>
        <v>2</v>
      </c>
      <c r="X44" s="0" t="n">
        <f aca="false">MAX(W44-1+H44,0)</f>
        <v>1</v>
      </c>
      <c r="Y44" s="1" t="n">
        <f aca="false">0.5*(E44*I44+F44*J44+G44*K44+H44*L44-1)+(0+$U44*J44+$V44*K44+$W44*L44)</f>
        <v>1</v>
      </c>
      <c r="Z44" s="1" t="n">
        <f aca="false">0.5*(E44*M44+F44*N44+G44*O44+H44*P44-1)+(0+$U44*N44+$V44*O44+$W44*P44)</f>
        <v>1</v>
      </c>
      <c r="AA44" s="1" t="n">
        <f aca="false">0.5*(E44*Q44+F44*R44+G44*S44+H44*T44-1)+(0+$U44*R44+$V44*S44+$W44*T44)</f>
        <v>1</v>
      </c>
      <c r="AB44" s="0" t="n">
        <f aca="false">IF(B44="V",-2,0)+IF(B44="E",-1,0)+IF(B44="O",0,0)+IF(B44="L",1,0)+Y44</f>
        <v>1</v>
      </c>
      <c r="AC44" s="0" t="n">
        <f aca="false">IF(C44="V",-2,0)+IF(C44="E",-1,0)+IF(C44="O",0,0)+IF(C44="L",1,0)+Z44</f>
        <v>1</v>
      </c>
      <c r="AD44" s="0" t="n">
        <f aca="false">IF(D44="V",-2,0)+IF(D44="E",-1,0)+IF(D44="O",0,0)+IF(D44="L",1,0)+AA44</f>
        <v>1</v>
      </c>
      <c r="AE44" s="1" t="n">
        <f aca="false">IF(B44="V",-2,0)+IF(B44="E",-1,0)+IF(B44="O",0,0)+IF(B44="L",1,0)</f>
        <v>0</v>
      </c>
      <c r="AF44" s="1" t="n">
        <f aca="false">IF(B44="V",-2,0)+IF(B44="E",-1,0)+IF(B44="O",0,0)+IF(B44="L",1,0)+Y44</f>
        <v>1</v>
      </c>
      <c r="AG44" s="1" t="n">
        <f aca="false">IF(B44="V",-2,0)+IF(B44="E",-1,0)+IF(B44="O",0,0)+IF(B44="L",1,0)+Y44*2</f>
        <v>2</v>
      </c>
      <c r="AH44" s="1" t="n">
        <f aca="false">IF(C44="V",-2,0)+IF(C44="E",-1,0)+IF(C44="O",0,0)+IF(C44="L",1,0)</f>
        <v>0</v>
      </c>
      <c r="AI44" s="1" t="n">
        <f aca="false">IF(C44="V",-2,0)+IF(C44="E",-1,0)+IF(C44="O",0,0)+IF(C44="L",1,0)+Z44</f>
        <v>1</v>
      </c>
      <c r="AJ44" s="1" t="n">
        <f aca="false">IF(C44="V",-2,0)+IF(C44="E",-1,0)+IF(C44="O",0,0)+IF(C44="L",1,0)+Z44*2</f>
        <v>2</v>
      </c>
      <c r="AK44" s="1" t="n">
        <f aca="false">IF(D44="V",-2,0)+IF(D44="E",-1,0)+IF(D44="O",0,0)+IF(D44="L",1,0)</f>
        <v>0</v>
      </c>
      <c r="AL44" s="1" t="n">
        <f aca="false">IF(D44="V",-2,0)+IF(D44="E",-1,0)+IF(D44="O",0,0)+IF(D44="L",1,0)+AA44</f>
        <v>1</v>
      </c>
      <c r="AM44" s="1" t="n">
        <f aca="false">IF(D44="V",-2,0)+IF(D44="E",-1,0)+IF(D44="O",0,0)+IF(D44="L",1,0)+AA44*2</f>
        <v>2</v>
      </c>
      <c r="AN44" s="1" t="n">
        <f aca="false">(ABS(IF(AE44&lt;0,AE44*Early,AE44*Late))+ABS(IF(AF44&lt;0,AF44*Early,AF44*Late))+ABS(IF(AG44&lt;0,AG44*Early,AG44*Late)))/3</f>
        <v>4</v>
      </c>
      <c r="AO44" s="1" t="n">
        <f aca="false">(ABS(IF(AH44&lt;0,AH44*Early,AH44*Late))+ABS(IF(AI44&lt;0,AI44*Early,AI44*Late))+ABS(IF(AJ44&lt;0,AJ44*Early,AJ44*Late)))/3</f>
        <v>4</v>
      </c>
      <c r="AP44" s="1" t="n">
        <f aca="false">(ABS(IF(AK44&lt;0,AK44*Early,AK44*Late))+ABS(IF(AL44&lt;0,AL44*Early,AL44*Late))+ABS(IF(AM44&lt;0,AM44*Early,AM44*Late)))/3</f>
        <v>4</v>
      </c>
      <c r="AQ44" s="0" t="n">
        <f aca="false">Y44*Delay+AN44</f>
        <v>5</v>
      </c>
      <c r="AR44" s="0" t="n">
        <f aca="false">Z44*Delay+AO44</f>
        <v>5</v>
      </c>
      <c r="AS44" s="0" t="n">
        <f aca="false">AA44*Delay+AP44</f>
        <v>5</v>
      </c>
      <c r="AT44" s="0" t="n">
        <f aca="false">IF(AQ44=MIN(AQ42:AQ45),1,0)</f>
        <v>0</v>
      </c>
      <c r="AX44" s="1" t="str">
        <f aca="false">B44&amp;C44&amp;D44</f>
        <v>OOO</v>
      </c>
      <c r="AY44" s="1" t="n">
        <f aca="false">AQ44+AR44+AS44</f>
        <v>15</v>
      </c>
      <c r="AZ44" s="1" t="str">
        <f aca="false">RIGHT(AX44,2)</f>
        <v>OO</v>
      </c>
      <c r="BA44" s="1" t="str">
        <f aca="false">LEFT(AX44,1)&amp;RIGHT(AX44,1)</f>
        <v>OO</v>
      </c>
      <c r="BB44" s="1" t="str">
        <f aca="false">LEFT(AX44,2)</f>
        <v>OO</v>
      </c>
      <c r="BC44" s="1" t="n">
        <f aca="false">VLOOKUP(AZ44,TwoPlayers!$AG$1:$AH$17,2,FALSE())</f>
        <v>5</v>
      </c>
      <c r="BD44" s="1" t="n">
        <f aca="false">VLOOKUP(BA44,TwoPlayers!$AG$1:$AH$17,2,FALSE())</f>
        <v>5</v>
      </c>
      <c r="BE44" s="1" t="n">
        <f aca="false">VLOOKUP(BB44,TwoPlayers!$AG$1:$AH$17,2,FALSE())</f>
        <v>5</v>
      </c>
      <c r="BF44" s="1" t="n">
        <f aca="false">$AY44-BC44</f>
        <v>10</v>
      </c>
      <c r="BG44" s="1" t="n">
        <f aca="false">$AY44-BD44</f>
        <v>10</v>
      </c>
      <c r="BH44" s="1" t="n">
        <f aca="false">$AY44-BE44</f>
        <v>10</v>
      </c>
      <c r="BJ44" s="0" t="n">
        <f aca="false">AQ44+BF44</f>
        <v>15</v>
      </c>
      <c r="BK44" s="0" t="n">
        <f aca="false">AR44+BG44</f>
        <v>15</v>
      </c>
      <c r="BL44" s="0" t="n">
        <f aca="false">AS44+BH44</f>
        <v>15</v>
      </c>
      <c r="BM44" s="0" t="n">
        <f aca="false">IF(BJ44=MIN(BJ42:BJ46),1,0)</f>
        <v>0</v>
      </c>
    </row>
    <row r="45" customFormat="false" ht="13" hidden="false" customHeight="false" outlineLevel="0" collapsed="false">
      <c r="A45" s="0" t="n">
        <v>59</v>
      </c>
      <c r="B45" s="0" t="s">
        <v>4</v>
      </c>
      <c r="C45" s="0" t="s">
        <v>3</v>
      </c>
      <c r="D45" s="0" t="s">
        <v>3</v>
      </c>
      <c r="E45" s="0" t="n">
        <f aca="false">(IF($B45="V",1,0))+IF($C45="V",1,0)+IF($D45="V",1,0)</f>
        <v>0</v>
      </c>
      <c r="F45" s="0" t="n">
        <f aca="false">(IF($B45="E",1,0))+IF($C45="E",1,0)+IF($D45="E",1,0)</f>
        <v>0</v>
      </c>
      <c r="G45" s="0" t="n">
        <f aca="false">(IF($B45="O",1,0))+IF($C45="O",1,0)+IF($D45="O",1,0)</f>
        <v>2</v>
      </c>
      <c r="H45" s="0" t="n">
        <f aca="false">(IF($B45="L",1,0))+IF($C45="L",1,0)+IF($D45="L",1,0)</f>
        <v>1</v>
      </c>
      <c r="I45" s="0" t="n">
        <f aca="false">(IF(B45="V",1,0))</f>
        <v>0</v>
      </c>
      <c r="J45" s="0" t="n">
        <f aca="false">(IF(B45="E",1,0))</f>
        <v>0</v>
      </c>
      <c r="K45" s="0" t="n">
        <f aca="false">(IF(B45="O",1,0))</f>
        <v>0</v>
      </c>
      <c r="L45" s="0" t="n">
        <f aca="false">(IF(B45="L",1,0))</f>
        <v>1</v>
      </c>
      <c r="M45" s="0" t="n">
        <f aca="false">(IF(C45="V",1,0))</f>
        <v>0</v>
      </c>
      <c r="N45" s="0" t="n">
        <f aca="false">(IF(C45="E",1,0))</f>
        <v>0</v>
      </c>
      <c r="O45" s="0" t="n">
        <f aca="false">(IF(C45="O",1,0))</f>
        <v>1</v>
      </c>
      <c r="P45" s="0" t="n">
        <f aca="false">(IF(C45="L",1,0))</f>
        <v>0</v>
      </c>
      <c r="Q45" s="0" t="n">
        <f aca="false">(IF(D45="V",1,0))</f>
        <v>0</v>
      </c>
      <c r="R45" s="0" t="n">
        <f aca="false">(IF(D45="E",1,0))</f>
        <v>0</v>
      </c>
      <c r="S45" s="0" t="n">
        <f aca="false">(IF(D45="O",1,0))</f>
        <v>1</v>
      </c>
      <c r="T45" s="0" t="n">
        <f aca="false">(IF(D45="L",1,0))</f>
        <v>0</v>
      </c>
      <c r="U45" s="0" t="n">
        <f aca="false">MAX(E45-1,0)</f>
        <v>0</v>
      </c>
      <c r="V45" s="0" t="n">
        <f aca="false">MAX(U45-1+F45,0)</f>
        <v>0</v>
      </c>
      <c r="W45" s="0" t="n">
        <f aca="false">MAX(V45-1+G45,0)</f>
        <v>1</v>
      </c>
      <c r="X45" s="0" t="n">
        <f aca="false">MAX(W45-1+H45,0)</f>
        <v>1</v>
      </c>
      <c r="Y45" s="1" t="n">
        <f aca="false">0.5*(E45*I45+F45*J45+G45*K45+H45*L45-1)+(0+$U45*J45+$V45*K45+$W45*L45)</f>
        <v>1</v>
      </c>
      <c r="Z45" s="1" t="n">
        <f aca="false">0.5*(E45*M45+F45*N45+G45*O45+H45*P45-1)+(0+$U45*N45+$V45*O45+$W45*P45)</f>
        <v>0.5</v>
      </c>
      <c r="AA45" s="1" t="n">
        <f aca="false">0.5*(E45*Q45+F45*R45+G45*S45+H45*T45-1)+(0+$U45*R45+$V45*S45+$W45*T45)</f>
        <v>0.5</v>
      </c>
      <c r="AB45" s="0" t="n">
        <f aca="false">IF(B45="V",-2,0)+IF(B45="E",-1,0)+IF(B45="O",0,0)+IF(B45="L",1,0)+Y45</f>
        <v>2</v>
      </c>
      <c r="AC45" s="0" t="n">
        <f aca="false">IF(C45="V",-2,0)+IF(C45="E",-1,0)+IF(C45="O",0,0)+IF(C45="L",1,0)+Z45</f>
        <v>0.5</v>
      </c>
      <c r="AD45" s="0" t="n">
        <f aca="false">IF(D45="V",-2,0)+IF(D45="E",-1,0)+IF(D45="O",0,0)+IF(D45="L",1,0)+AA45</f>
        <v>0.5</v>
      </c>
      <c r="AE45" s="1" t="n">
        <f aca="false">IF(B45="V",-2,0)+IF(B45="E",-1,0)+IF(B45="O",0,0)+IF(B45="L",1,0)</f>
        <v>1</v>
      </c>
      <c r="AF45" s="1" t="n">
        <f aca="false">IF(B45="V",-2,0)+IF(B45="E",-1,0)+IF(B45="O",0,0)+IF(B45="L",1,0)+Y45</f>
        <v>2</v>
      </c>
      <c r="AG45" s="1" t="n">
        <f aca="false">IF(B45="V",-2,0)+IF(B45="E",-1,0)+IF(B45="O",0,0)+IF(B45="L",1,0)+Y45*2</f>
        <v>3</v>
      </c>
      <c r="AH45" s="1" t="n">
        <f aca="false">IF(C45="V",-2,0)+IF(C45="E",-1,0)+IF(C45="O",0,0)+IF(C45="L",1,0)</f>
        <v>0</v>
      </c>
      <c r="AI45" s="1" t="n">
        <f aca="false">IF(C45="V",-2,0)+IF(C45="E",-1,0)+IF(C45="O",0,0)+IF(C45="L",1,0)+Z45</f>
        <v>0.5</v>
      </c>
      <c r="AJ45" s="1" t="n">
        <f aca="false">IF(C45="V",-2,0)+IF(C45="E",-1,0)+IF(C45="O",0,0)+IF(C45="L",1,0)+Z45*2</f>
        <v>1</v>
      </c>
      <c r="AK45" s="1" t="n">
        <f aca="false">IF(D45="V",-2,0)+IF(D45="E",-1,0)+IF(D45="O",0,0)+IF(D45="L",1,0)</f>
        <v>0</v>
      </c>
      <c r="AL45" s="1" t="n">
        <f aca="false">IF(D45="V",-2,0)+IF(D45="E",-1,0)+IF(D45="O",0,0)+IF(D45="L",1,0)+AA45</f>
        <v>0.5</v>
      </c>
      <c r="AM45" s="1" t="n">
        <f aca="false">IF(D45="V",-2,0)+IF(D45="E",-1,0)+IF(D45="O",0,0)+IF(D45="L",1,0)+AA45*2</f>
        <v>1</v>
      </c>
      <c r="AN45" s="1" t="n">
        <f aca="false">(ABS(IF(AE45&lt;0,AE45*Early,AE45*Late))+ABS(IF(AF45&lt;0,AF45*Early,AF45*Late))+ABS(IF(AG45&lt;0,AG45*Early,AG45*Late)))/3</f>
        <v>8</v>
      </c>
      <c r="AO45" s="1" t="n">
        <f aca="false">(ABS(IF(AH45&lt;0,AH45*Early,AH45*Late))+ABS(IF(AI45&lt;0,AI45*Early,AI45*Late))+ABS(IF(AJ45&lt;0,AJ45*Early,AJ45*Late)))/3</f>
        <v>2</v>
      </c>
      <c r="AP45" s="1" t="n">
        <f aca="false">(ABS(IF(AK45&lt;0,AK45*Early,AK45*Late))+ABS(IF(AL45&lt;0,AL45*Early,AL45*Late))+ABS(IF(AM45&lt;0,AM45*Early,AM45*Late)))/3</f>
        <v>2</v>
      </c>
      <c r="AQ45" s="0" t="n">
        <f aca="false">Y45*Delay+AN45</f>
        <v>9</v>
      </c>
      <c r="AR45" s="0" t="n">
        <f aca="false">Z45*Delay+AO45</f>
        <v>2.5</v>
      </c>
      <c r="AS45" s="0" t="n">
        <f aca="false">AA45*Delay+AP45</f>
        <v>2.5</v>
      </c>
      <c r="AT45" s="0" t="n">
        <f aca="false">IF(AQ45=MIN(AQ42:AQ45),1,0)</f>
        <v>0</v>
      </c>
      <c r="AX45" s="0" t="str">
        <f aca="false">B45&amp;C45&amp;D45</f>
        <v>LOO</v>
      </c>
      <c r="AY45" s="1" t="n">
        <f aca="false">AQ45+AR45+AS45</f>
        <v>14</v>
      </c>
      <c r="AZ45" s="1" t="str">
        <f aca="false">RIGHT(AX45,2)</f>
        <v>OO</v>
      </c>
      <c r="BA45" s="1" t="str">
        <f aca="false">LEFT(AX45,1)&amp;RIGHT(AX45,1)</f>
        <v>LO</v>
      </c>
      <c r="BB45" s="1" t="str">
        <f aca="false">LEFT(AX45,2)</f>
        <v>LO</v>
      </c>
      <c r="BC45" s="1" t="n">
        <f aca="false">VLOOKUP(AZ45,TwoPlayers!$AG$1:$AH$17,2,FALSE())</f>
        <v>5</v>
      </c>
      <c r="BD45" s="1" t="n">
        <f aca="false">VLOOKUP(BA45,TwoPlayers!$AG$1:$AH$17,2,FALSE())</f>
        <v>4</v>
      </c>
      <c r="BE45" s="1" t="n">
        <f aca="false">VLOOKUP(BB45,TwoPlayers!$AG$1:$AH$17,2,FALSE())</f>
        <v>4</v>
      </c>
      <c r="BF45" s="1" t="n">
        <f aca="false">$AY45-BC45</f>
        <v>9</v>
      </c>
      <c r="BG45" s="1" t="n">
        <f aca="false">$AY45-BD45</f>
        <v>10</v>
      </c>
      <c r="BH45" s="1" t="n">
        <f aca="false">$AY45-BE45</f>
        <v>10</v>
      </c>
      <c r="BJ45" s="0" t="n">
        <f aca="false">AQ45+BF45</f>
        <v>18</v>
      </c>
      <c r="BK45" s="0" t="n">
        <f aca="false">AR45+BG45</f>
        <v>12.5</v>
      </c>
      <c r="BL45" s="0" t="n">
        <f aca="false">AS45+BH45</f>
        <v>12.5</v>
      </c>
      <c r="BM45" s="0" t="n">
        <f aca="false">IF(BJ45=MIN(BJ42:BJ46),1,0)</f>
        <v>0</v>
      </c>
    </row>
    <row r="46" customFormat="false" ht="13" hidden="false" customHeight="false" outlineLevel="0" collapsed="false">
      <c r="A46" s="0" t="n">
        <v>9</v>
      </c>
      <c r="B46" s="0" t="s">
        <v>1</v>
      </c>
      <c r="C46" s="0" t="s">
        <v>3</v>
      </c>
      <c r="D46" s="0" t="s">
        <v>1</v>
      </c>
      <c r="E46" s="0" t="n">
        <f aca="false">(IF($B46="V",1,0))+IF($C46="V",1,0)+IF($D46="V",1,0)</f>
        <v>2</v>
      </c>
      <c r="F46" s="0" t="n">
        <f aca="false">(IF($B46="E",1,0))+IF($C46="E",1,0)+IF($D46="E",1,0)</f>
        <v>0</v>
      </c>
      <c r="G46" s="0" t="n">
        <f aca="false">(IF($B46="O",1,0))+IF($C46="O",1,0)+IF($D46="O",1,0)</f>
        <v>1</v>
      </c>
      <c r="H46" s="0" t="n">
        <f aca="false">(IF($B46="L",1,0))+IF($C46="L",1,0)+IF($D46="L",1,0)</f>
        <v>0</v>
      </c>
      <c r="I46" s="0" t="n">
        <f aca="false">(IF(B46="V",1,0))</f>
        <v>1</v>
      </c>
      <c r="J46" s="0" t="n">
        <f aca="false">(IF(B46="E",1,0))</f>
        <v>0</v>
      </c>
      <c r="K46" s="0" t="n">
        <f aca="false">(IF(B46="O",1,0))</f>
        <v>0</v>
      </c>
      <c r="L46" s="0" t="n">
        <f aca="false">(IF(B46="L",1,0))</f>
        <v>0</v>
      </c>
      <c r="M46" s="0" t="n">
        <f aca="false">(IF(C46="V",1,0))</f>
        <v>0</v>
      </c>
      <c r="N46" s="0" t="n">
        <f aca="false">(IF(C46="E",1,0))</f>
        <v>0</v>
      </c>
      <c r="O46" s="0" t="n">
        <f aca="false">(IF(C46="O",1,0))</f>
        <v>1</v>
      </c>
      <c r="P46" s="0" t="n">
        <f aca="false">(IF(C46="L",1,0))</f>
        <v>0</v>
      </c>
      <c r="Q46" s="0" t="n">
        <f aca="false">(IF(D46="V",1,0))</f>
        <v>1</v>
      </c>
      <c r="R46" s="0" t="n">
        <f aca="false">(IF(D46="E",1,0))</f>
        <v>0</v>
      </c>
      <c r="S46" s="0" t="n">
        <f aca="false">(IF(D46="O",1,0))</f>
        <v>0</v>
      </c>
      <c r="T46" s="0" t="n">
        <f aca="false">(IF(D46="L",1,0))</f>
        <v>0</v>
      </c>
      <c r="U46" s="0" t="n">
        <f aca="false">MAX(E46-1,0)</f>
        <v>1</v>
      </c>
      <c r="V46" s="0" t="n">
        <f aca="false">MAX(U46-1+F46,0)</f>
        <v>0</v>
      </c>
      <c r="W46" s="0" t="n">
        <f aca="false">MAX(V46-1+G46,0)</f>
        <v>0</v>
      </c>
      <c r="X46" s="0" t="n">
        <f aca="false">MAX(W46-1+H46,0)</f>
        <v>0</v>
      </c>
      <c r="Y46" s="1" t="n">
        <f aca="false">0.5*(E46*I46+F46*J46+G46*K46+H46*L46-1)+(0+$U46*J46+$V46*K46+$W46*L46)</f>
        <v>0.5</v>
      </c>
      <c r="Z46" s="1" t="n">
        <f aca="false">0.5*(E46*M46+F46*N46+G46*O46+H46*P46-1)+(0+$U46*N46+$V46*O46+$W46*P46)</f>
        <v>0</v>
      </c>
      <c r="AA46" s="1" t="n">
        <f aca="false">0.5*(E46*Q46+F46*R46+G46*S46+H46*T46-1)+(0+$U46*R46+$V46*S46+$W46*T46)</f>
        <v>0.5</v>
      </c>
      <c r="AB46" s="0" t="n">
        <f aca="false">IF(B46="V",-2,0)+IF(B46="E",-1,0)+IF(B46="O",0,0)+IF(B46="L",1,0)+Y46</f>
        <v>-1.5</v>
      </c>
      <c r="AC46" s="0" t="n">
        <f aca="false">IF(C46="V",-2,0)+IF(C46="E",-1,0)+IF(C46="O",0,0)+IF(C46="L",1,0)+Z46</f>
        <v>0</v>
      </c>
      <c r="AD46" s="0" t="n">
        <f aca="false">IF(D46="V",-2,0)+IF(D46="E",-1,0)+IF(D46="O",0,0)+IF(D46="L",1,0)+AA46</f>
        <v>-1.5</v>
      </c>
      <c r="AE46" s="1" t="n">
        <f aca="false">IF(B46="V",-2,0)+IF(B46="E",-1,0)+IF(B46="O",0,0)+IF(B46="L",1,0)</f>
        <v>-2</v>
      </c>
      <c r="AF46" s="1" t="n">
        <f aca="false">IF(B46="V",-2,0)+IF(B46="E",-1,0)+IF(B46="O",0,0)+IF(B46="L",1,0)+Y46</f>
        <v>-1.5</v>
      </c>
      <c r="AG46" s="1" t="n">
        <f aca="false">IF(B46="V",-2,0)+IF(B46="E",-1,0)+IF(B46="O",0,0)+IF(B46="L",1,0)+Y46*2</f>
        <v>-1</v>
      </c>
      <c r="AH46" s="1" t="n">
        <f aca="false">IF(C46="V",-2,0)+IF(C46="E",-1,0)+IF(C46="O",0,0)+IF(C46="L",1,0)</f>
        <v>0</v>
      </c>
      <c r="AI46" s="1" t="n">
        <f aca="false">IF(C46="V",-2,0)+IF(C46="E",-1,0)+IF(C46="O",0,0)+IF(C46="L",1,0)+Z46</f>
        <v>0</v>
      </c>
      <c r="AJ46" s="1" t="n">
        <f aca="false">IF(C46="V",-2,0)+IF(C46="E",-1,0)+IF(C46="O",0,0)+IF(C46="L",1,0)+Z46*2</f>
        <v>0</v>
      </c>
      <c r="AK46" s="1" t="n">
        <f aca="false">IF(D46="V",-2,0)+IF(D46="E",-1,0)+IF(D46="O",0,0)+IF(D46="L",1,0)</f>
        <v>-2</v>
      </c>
      <c r="AL46" s="1" t="n">
        <f aca="false">IF(D46="V",-2,0)+IF(D46="E",-1,0)+IF(D46="O",0,0)+IF(D46="L",1,0)+AA46</f>
        <v>-1.5</v>
      </c>
      <c r="AM46" s="1" t="n">
        <f aca="false">IF(D46="V",-2,0)+IF(D46="E",-1,0)+IF(D46="O",0,0)+IF(D46="L",1,0)+AA46*2</f>
        <v>-1</v>
      </c>
      <c r="AN46" s="1" t="n">
        <f aca="false">(ABS(IF(AE46&lt;0,AE46*Early,AE46*Late))+ABS(IF(AF46&lt;0,AF46*Early,AF46*Late))+ABS(IF(AG46&lt;0,AG46*Early,AG46*Late)))/3</f>
        <v>4.5</v>
      </c>
      <c r="AO46" s="1" t="n">
        <f aca="false">(ABS(IF(AH46&lt;0,AH46*Early,AH46*Late))+ABS(IF(AI46&lt;0,AI46*Early,AI46*Late))+ABS(IF(AJ46&lt;0,AJ46*Early,AJ46*Late)))/3</f>
        <v>0</v>
      </c>
      <c r="AP46" s="1" t="n">
        <f aca="false">(ABS(IF(AK46&lt;0,AK46*Early,AK46*Late))+ABS(IF(AL46&lt;0,AL46*Early,AL46*Late))+ABS(IF(AM46&lt;0,AM46*Early,AM46*Late)))/3</f>
        <v>4.5</v>
      </c>
      <c r="AQ46" s="0" t="n">
        <f aca="false">Y46*Delay+AN46</f>
        <v>5</v>
      </c>
      <c r="AR46" s="0" t="n">
        <f aca="false">Z46*Delay+AO46</f>
        <v>0</v>
      </c>
      <c r="AS46" s="0" t="n">
        <f aca="false">AA46*Delay+AP46</f>
        <v>5</v>
      </c>
      <c r="AT46" s="0" t="n">
        <f aca="false">IF(AQ46=MIN(AQ46:AQ49),1,0)</f>
        <v>0</v>
      </c>
      <c r="AX46" s="0" t="str">
        <f aca="false">B46&amp;C46&amp;D46</f>
        <v>VOV</v>
      </c>
      <c r="AY46" s="1" t="n">
        <f aca="false">AQ46+AR46+AS46</f>
        <v>10</v>
      </c>
      <c r="AZ46" s="1" t="str">
        <f aca="false">RIGHT(AX46,2)</f>
        <v>OV</v>
      </c>
      <c r="BA46" s="1" t="str">
        <f aca="false">LEFT(AX46,1)&amp;RIGHT(AX46,1)</f>
        <v>VV</v>
      </c>
      <c r="BB46" s="1" t="str">
        <f aca="false">LEFT(AX46,2)</f>
        <v>VO</v>
      </c>
      <c r="BC46" s="1" t="n">
        <f aca="false">VLOOKUP(AZ46,TwoPlayers!$AG$1:$AH$17,2,FALSE())</f>
        <v>6</v>
      </c>
      <c r="BD46" s="1" t="n">
        <f aca="false">VLOOKUP(BA46,TwoPlayers!$AG$1:$AH$17,2,FALSE())</f>
        <v>10</v>
      </c>
      <c r="BE46" s="1" t="n">
        <f aca="false">VLOOKUP(BB46,TwoPlayers!$AG$1:$AH$17,2,FALSE())</f>
        <v>6</v>
      </c>
      <c r="BF46" s="1" t="n">
        <f aca="false">$AY46-BC46</f>
        <v>4</v>
      </c>
      <c r="BG46" s="1" t="n">
        <f aca="false">$AY46-BD46</f>
        <v>0</v>
      </c>
      <c r="BH46" s="1" t="n">
        <f aca="false">$AY46-BE46</f>
        <v>4</v>
      </c>
      <c r="BJ46" s="0" t="n">
        <f aca="false">AQ46+BF46</f>
        <v>9</v>
      </c>
      <c r="BK46" s="0" t="n">
        <f aca="false">AR46+BG46</f>
        <v>0</v>
      </c>
      <c r="BL46" s="0" t="n">
        <f aca="false">AS46+BH46</f>
        <v>9</v>
      </c>
      <c r="BM46" s="0" t="n">
        <f aca="false">IF(BJ46=MIN(BJ46:BJ50),1,0)</f>
        <v>0</v>
      </c>
    </row>
    <row r="47" customFormat="false" ht="13" hidden="false" customHeight="false" outlineLevel="0" collapsed="false">
      <c r="A47" s="0" t="n">
        <v>25</v>
      </c>
      <c r="B47" s="0" t="s">
        <v>2</v>
      </c>
      <c r="C47" s="0" t="s">
        <v>3</v>
      </c>
      <c r="D47" s="0" t="s">
        <v>1</v>
      </c>
      <c r="E47" s="0" t="n">
        <f aca="false">(IF($B47="V",1,0))+IF($C47="V",1,0)+IF($D47="V",1,0)</f>
        <v>1</v>
      </c>
      <c r="F47" s="0" t="n">
        <f aca="false">(IF($B47="E",1,0))+IF($C47="E",1,0)+IF($D47="E",1,0)</f>
        <v>1</v>
      </c>
      <c r="G47" s="0" t="n">
        <f aca="false">(IF($B47="O",1,0))+IF($C47="O",1,0)+IF($D47="O",1,0)</f>
        <v>1</v>
      </c>
      <c r="H47" s="0" t="n">
        <f aca="false">(IF($B47="L",1,0))+IF($C47="L",1,0)+IF($D47="L",1,0)</f>
        <v>0</v>
      </c>
      <c r="I47" s="0" t="n">
        <f aca="false">(IF(B47="V",1,0))</f>
        <v>0</v>
      </c>
      <c r="J47" s="0" t="n">
        <f aca="false">(IF(B47="E",1,0))</f>
        <v>1</v>
      </c>
      <c r="K47" s="0" t="n">
        <f aca="false">(IF(B47="O",1,0))</f>
        <v>0</v>
      </c>
      <c r="L47" s="0" t="n">
        <f aca="false">(IF(B47="L",1,0))</f>
        <v>0</v>
      </c>
      <c r="M47" s="0" t="n">
        <f aca="false">(IF(C47="V",1,0))</f>
        <v>0</v>
      </c>
      <c r="N47" s="0" t="n">
        <f aca="false">(IF(C47="E",1,0))</f>
        <v>0</v>
      </c>
      <c r="O47" s="0" t="n">
        <f aca="false">(IF(C47="O",1,0))</f>
        <v>1</v>
      </c>
      <c r="P47" s="0" t="n">
        <f aca="false">(IF(C47="L",1,0))</f>
        <v>0</v>
      </c>
      <c r="Q47" s="0" t="n">
        <f aca="false">(IF(D47="V",1,0))</f>
        <v>1</v>
      </c>
      <c r="R47" s="0" t="n">
        <f aca="false">(IF(D47="E",1,0))</f>
        <v>0</v>
      </c>
      <c r="S47" s="0" t="n">
        <f aca="false">(IF(D47="O",1,0))</f>
        <v>0</v>
      </c>
      <c r="T47" s="0" t="n">
        <f aca="false">(IF(D47="L",1,0))</f>
        <v>0</v>
      </c>
      <c r="U47" s="0" t="n">
        <f aca="false">MAX(E47-1,0)</f>
        <v>0</v>
      </c>
      <c r="V47" s="0" t="n">
        <f aca="false">MAX(U47-1+F47,0)</f>
        <v>0</v>
      </c>
      <c r="W47" s="0" t="n">
        <f aca="false">MAX(V47-1+G47,0)</f>
        <v>0</v>
      </c>
      <c r="X47" s="0" t="n">
        <f aca="false">MAX(W47-1+H47,0)</f>
        <v>0</v>
      </c>
      <c r="Y47" s="1" t="n">
        <f aca="false">0.5*(E47*I47+F47*J47+G47*K47+H47*L47-1)+(0+$U47*J47+$V47*K47+$W47*L47)</f>
        <v>0</v>
      </c>
      <c r="Z47" s="1" t="n">
        <f aca="false">0.5*(E47*M47+F47*N47+G47*O47+H47*P47-1)+(0+$U47*N47+$V47*O47+$W47*P47)</f>
        <v>0</v>
      </c>
      <c r="AA47" s="1" t="n">
        <f aca="false">0.5*(E47*Q47+F47*R47+G47*S47+H47*T47-1)+(0+$U47*R47+$V47*S47+$W47*T47)</f>
        <v>0</v>
      </c>
      <c r="AB47" s="0" t="n">
        <f aca="false">IF(B47="V",-2,0)+IF(B47="E",-1,0)+IF(B47="O",0,0)+IF(B47="L",1,0)+Y47</f>
        <v>-1</v>
      </c>
      <c r="AC47" s="0" t="n">
        <f aca="false">IF(C47="V",-2,0)+IF(C47="E",-1,0)+IF(C47="O",0,0)+IF(C47="L",1,0)+Z47</f>
        <v>0</v>
      </c>
      <c r="AD47" s="0" t="n">
        <f aca="false">IF(D47="V",-2,0)+IF(D47="E",-1,0)+IF(D47="O",0,0)+IF(D47="L",1,0)+AA47</f>
        <v>-2</v>
      </c>
      <c r="AE47" s="1" t="n">
        <f aca="false">IF(B47="V",-2,0)+IF(B47="E",-1,0)+IF(B47="O",0,0)+IF(B47="L",1,0)</f>
        <v>-1</v>
      </c>
      <c r="AF47" s="1" t="n">
        <f aca="false">IF(B47="V",-2,0)+IF(B47="E",-1,0)+IF(B47="O",0,0)+IF(B47="L",1,0)+Y47</f>
        <v>-1</v>
      </c>
      <c r="AG47" s="1" t="n">
        <f aca="false">IF(B47="V",-2,0)+IF(B47="E",-1,0)+IF(B47="O",0,0)+IF(B47="L",1,0)+Y47*2</f>
        <v>-1</v>
      </c>
      <c r="AH47" s="1" t="n">
        <f aca="false">IF(C47="V",-2,0)+IF(C47="E",-1,0)+IF(C47="O",0,0)+IF(C47="L",1,0)</f>
        <v>0</v>
      </c>
      <c r="AI47" s="1" t="n">
        <f aca="false">IF(C47="V",-2,0)+IF(C47="E",-1,0)+IF(C47="O",0,0)+IF(C47="L",1,0)+Z47</f>
        <v>0</v>
      </c>
      <c r="AJ47" s="1" t="n">
        <f aca="false">IF(C47="V",-2,0)+IF(C47="E",-1,0)+IF(C47="O",0,0)+IF(C47="L",1,0)+Z47*2</f>
        <v>0</v>
      </c>
      <c r="AK47" s="1" t="n">
        <f aca="false">IF(D47="V",-2,0)+IF(D47="E",-1,0)+IF(D47="O",0,0)+IF(D47="L",1,0)</f>
        <v>-2</v>
      </c>
      <c r="AL47" s="1" t="n">
        <f aca="false">IF(D47="V",-2,0)+IF(D47="E",-1,0)+IF(D47="O",0,0)+IF(D47="L",1,0)+AA47</f>
        <v>-2</v>
      </c>
      <c r="AM47" s="1" t="n">
        <f aca="false">IF(D47="V",-2,0)+IF(D47="E",-1,0)+IF(D47="O",0,0)+IF(D47="L",1,0)+AA47*2</f>
        <v>-2</v>
      </c>
      <c r="AN47" s="1" t="n">
        <f aca="false">(ABS(IF(AE47&lt;0,AE47*Early,AE47*Late))+ABS(IF(AF47&lt;0,AF47*Early,AF47*Late))+ABS(IF(AG47&lt;0,AG47*Early,AG47*Late)))/3</f>
        <v>3</v>
      </c>
      <c r="AO47" s="1" t="n">
        <f aca="false">(ABS(IF(AH47&lt;0,AH47*Early,AH47*Late))+ABS(IF(AI47&lt;0,AI47*Early,AI47*Late))+ABS(IF(AJ47&lt;0,AJ47*Early,AJ47*Late)))/3</f>
        <v>0</v>
      </c>
      <c r="AP47" s="1" t="n">
        <f aca="false">(ABS(IF(AK47&lt;0,AK47*Early,AK47*Late))+ABS(IF(AL47&lt;0,AL47*Early,AL47*Late))+ABS(IF(AM47&lt;0,AM47*Early,AM47*Late)))/3</f>
        <v>6</v>
      </c>
      <c r="AQ47" s="0" t="n">
        <f aca="false">Y47*Delay+AN47</f>
        <v>3</v>
      </c>
      <c r="AR47" s="0" t="n">
        <f aca="false">Z47*Delay+AO47</f>
        <v>0</v>
      </c>
      <c r="AS47" s="0" t="n">
        <f aca="false">AA47*Delay+AP47</f>
        <v>6</v>
      </c>
      <c r="AT47" s="0" t="n">
        <f aca="false">IF(AQ47=MIN(AQ46:AQ49),1,0)</f>
        <v>0</v>
      </c>
      <c r="AX47" s="0" t="str">
        <f aca="false">B47&amp;C47&amp;D47</f>
        <v>EOV</v>
      </c>
      <c r="AY47" s="1" t="n">
        <f aca="false">AQ47+AR47+AS47</f>
        <v>9</v>
      </c>
      <c r="AZ47" s="1" t="str">
        <f aca="false">RIGHT(AX47,2)</f>
        <v>OV</v>
      </c>
      <c r="BA47" s="1" t="str">
        <f aca="false">LEFT(AX47,1)&amp;RIGHT(AX47,1)</f>
        <v>EV</v>
      </c>
      <c r="BB47" s="1" t="str">
        <f aca="false">LEFT(AX47,2)</f>
        <v>EO</v>
      </c>
      <c r="BC47" s="1" t="n">
        <f aca="false">VLOOKUP(AZ47,TwoPlayers!$AG$1:$AH$17,2,FALSE())</f>
        <v>6</v>
      </c>
      <c r="BD47" s="1" t="n">
        <f aca="false">VLOOKUP(BA47,TwoPlayers!$AG$1:$AH$17,2,FALSE())</f>
        <v>9</v>
      </c>
      <c r="BE47" s="1" t="n">
        <f aca="false">VLOOKUP(BB47,TwoPlayers!$AG$1:$AH$17,2,FALSE())</f>
        <v>3</v>
      </c>
      <c r="BF47" s="1" t="n">
        <f aca="false">$AY47-BC47</f>
        <v>3</v>
      </c>
      <c r="BG47" s="1" t="n">
        <f aca="false">$AY47-BD47</f>
        <v>0</v>
      </c>
      <c r="BH47" s="1" t="n">
        <f aca="false">$AY47-BE47</f>
        <v>6</v>
      </c>
      <c r="BJ47" s="0" t="n">
        <f aca="false">AQ47+BF47</f>
        <v>6</v>
      </c>
      <c r="BK47" s="0" t="n">
        <f aca="false">AR47+BG47</f>
        <v>0</v>
      </c>
      <c r="BL47" s="0" t="n">
        <f aca="false">AS47+BH47</f>
        <v>12</v>
      </c>
      <c r="BM47" s="0" t="n">
        <f aca="false">IF(BJ47=MIN(BJ46:BJ50),1,0)</f>
        <v>1</v>
      </c>
    </row>
    <row r="48" customFormat="false" ht="13" hidden="false" customHeight="false" outlineLevel="0" collapsed="false">
      <c r="A48" s="0" t="n">
        <v>41</v>
      </c>
      <c r="B48" s="0" t="s">
        <v>3</v>
      </c>
      <c r="C48" s="0" t="s">
        <v>3</v>
      </c>
      <c r="D48" s="0" t="s">
        <v>1</v>
      </c>
      <c r="E48" s="0" t="n">
        <f aca="false">(IF($B48="V",1,0))+IF($C48="V",1,0)+IF($D48="V",1,0)</f>
        <v>1</v>
      </c>
      <c r="F48" s="0" t="n">
        <f aca="false">(IF($B48="E",1,0))+IF($C48="E",1,0)+IF($D48="E",1,0)</f>
        <v>0</v>
      </c>
      <c r="G48" s="0" t="n">
        <f aca="false">(IF($B48="O",1,0))+IF($C48="O",1,0)+IF($D48="O",1,0)</f>
        <v>2</v>
      </c>
      <c r="H48" s="0" t="n">
        <f aca="false">(IF($B48="L",1,0))+IF($C48="L",1,0)+IF($D48="L",1,0)</f>
        <v>0</v>
      </c>
      <c r="I48" s="0" t="n">
        <f aca="false">(IF(B48="V",1,0))</f>
        <v>0</v>
      </c>
      <c r="J48" s="0" t="n">
        <f aca="false">(IF(B48="E",1,0))</f>
        <v>0</v>
      </c>
      <c r="K48" s="0" t="n">
        <f aca="false">(IF(B48="O",1,0))</f>
        <v>1</v>
      </c>
      <c r="L48" s="0" t="n">
        <f aca="false">(IF(B48="L",1,0))</f>
        <v>0</v>
      </c>
      <c r="M48" s="0" t="n">
        <f aca="false">(IF(C48="V",1,0))</f>
        <v>0</v>
      </c>
      <c r="N48" s="0" t="n">
        <f aca="false">(IF(C48="E",1,0))</f>
        <v>0</v>
      </c>
      <c r="O48" s="0" t="n">
        <f aca="false">(IF(C48="O",1,0))</f>
        <v>1</v>
      </c>
      <c r="P48" s="0" t="n">
        <f aca="false">(IF(C48="L",1,0))</f>
        <v>0</v>
      </c>
      <c r="Q48" s="0" t="n">
        <f aca="false">(IF(D48="V",1,0))</f>
        <v>1</v>
      </c>
      <c r="R48" s="0" t="n">
        <f aca="false">(IF(D48="E",1,0))</f>
        <v>0</v>
      </c>
      <c r="S48" s="0" t="n">
        <f aca="false">(IF(D48="O",1,0))</f>
        <v>0</v>
      </c>
      <c r="T48" s="0" t="n">
        <f aca="false">(IF(D48="L",1,0))</f>
        <v>0</v>
      </c>
      <c r="U48" s="0" t="n">
        <f aca="false">MAX(E48-1,0)</f>
        <v>0</v>
      </c>
      <c r="V48" s="0" t="n">
        <f aca="false">MAX(U48-1+F48,0)</f>
        <v>0</v>
      </c>
      <c r="W48" s="0" t="n">
        <f aca="false">MAX(V48-1+G48,0)</f>
        <v>1</v>
      </c>
      <c r="X48" s="0" t="n">
        <f aca="false">MAX(W48-1+H48,0)</f>
        <v>0</v>
      </c>
      <c r="Y48" s="1" t="n">
        <f aca="false">0.5*(E48*I48+F48*J48+G48*K48+H48*L48-1)+(0+$U48*J48+$V48*K48+$W48*L48)</f>
        <v>0.5</v>
      </c>
      <c r="Z48" s="1" t="n">
        <f aca="false">0.5*(E48*M48+F48*N48+G48*O48+H48*P48-1)+(0+$U48*N48+$V48*O48+$W48*P48)</f>
        <v>0.5</v>
      </c>
      <c r="AA48" s="1" t="n">
        <f aca="false">0.5*(E48*Q48+F48*R48+G48*S48+H48*T48-1)+(0+$U48*R48+$V48*S48+$W48*T48)</f>
        <v>0</v>
      </c>
      <c r="AB48" s="0" t="n">
        <f aca="false">IF(B48="V",-2,0)+IF(B48="E",-1,0)+IF(B48="O",0,0)+IF(B48="L",1,0)+Y48</f>
        <v>0.5</v>
      </c>
      <c r="AC48" s="0" t="n">
        <f aca="false">IF(C48="V",-2,0)+IF(C48="E",-1,0)+IF(C48="O",0,0)+IF(C48="L",1,0)+Z48</f>
        <v>0.5</v>
      </c>
      <c r="AD48" s="0" t="n">
        <f aca="false">IF(D48="V",-2,0)+IF(D48="E",-1,0)+IF(D48="O",0,0)+IF(D48="L",1,0)+AA48</f>
        <v>-2</v>
      </c>
      <c r="AE48" s="1" t="n">
        <f aca="false">IF(B48="V",-2,0)+IF(B48="E",-1,0)+IF(B48="O",0,0)+IF(B48="L",1,0)</f>
        <v>0</v>
      </c>
      <c r="AF48" s="1" t="n">
        <f aca="false">IF(B48="V",-2,0)+IF(B48="E",-1,0)+IF(B48="O",0,0)+IF(B48="L",1,0)+Y48</f>
        <v>0.5</v>
      </c>
      <c r="AG48" s="1" t="n">
        <f aca="false">IF(B48="V",-2,0)+IF(B48="E",-1,0)+IF(B48="O",0,0)+IF(B48="L",1,0)+Y48*2</f>
        <v>1</v>
      </c>
      <c r="AH48" s="1" t="n">
        <f aca="false">IF(C48="V",-2,0)+IF(C48="E",-1,0)+IF(C48="O",0,0)+IF(C48="L",1,0)</f>
        <v>0</v>
      </c>
      <c r="AI48" s="1" t="n">
        <f aca="false">IF(C48="V",-2,0)+IF(C48="E",-1,0)+IF(C48="O",0,0)+IF(C48="L",1,0)+Z48</f>
        <v>0.5</v>
      </c>
      <c r="AJ48" s="1" t="n">
        <f aca="false">IF(C48="V",-2,0)+IF(C48="E",-1,0)+IF(C48="O",0,0)+IF(C48="L",1,0)+Z48*2</f>
        <v>1</v>
      </c>
      <c r="AK48" s="1" t="n">
        <f aca="false">IF(D48="V",-2,0)+IF(D48="E",-1,0)+IF(D48="O",0,0)+IF(D48="L",1,0)</f>
        <v>-2</v>
      </c>
      <c r="AL48" s="1" t="n">
        <f aca="false">IF(D48="V",-2,0)+IF(D48="E",-1,0)+IF(D48="O",0,0)+IF(D48="L",1,0)+AA48</f>
        <v>-2</v>
      </c>
      <c r="AM48" s="1" t="n">
        <f aca="false">IF(D48="V",-2,0)+IF(D48="E",-1,0)+IF(D48="O",0,0)+IF(D48="L",1,0)+AA48*2</f>
        <v>-2</v>
      </c>
      <c r="AN48" s="1" t="n">
        <f aca="false">(ABS(IF(AE48&lt;0,AE48*Early,AE48*Late))+ABS(IF(AF48&lt;0,AF48*Early,AF48*Late))+ABS(IF(AG48&lt;0,AG48*Early,AG48*Late)))/3</f>
        <v>2</v>
      </c>
      <c r="AO48" s="1" t="n">
        <f aca="false">(ABS(IF(AH48&lt;0,AH48*Early,AH48*Late))+ABS(IF(AI48&lt;0,AI48*Early,AI48*Late))+ABS(IF(AJ48&lt;0,AJ48*Early,AJ48*Late)))/3</f>
        <v>2</v>
      </c>
      <c r="AP48" s="1" t="n">
        <f aca="false">(ABS(IF(AK48&lt;0,AK48*Early,AK48*Late))+ABS(IF(AL48&lt;0,AL48*Early,AL48*Late))+ABS(IF(AM48&lt;0,AM48*Early,AM48*Late)))/3</f>
        <v>6</v>
      </c>
      <c r="AQ48" s="0" t="n">
        <f aca="false">Y48*Delay+AN48</f>
        <v>2.5</v>
      </c>
      <c r="AR48" s="0" t="n">
        <f aca="false">Z48*Delay+AO48</f>
        <v>2.5</v>
      </c>
      <c r="AS48" s="0" t="n">
        <f aca="false">AA48*Delay+AP48</f>
        <v>6</v>
      </c>
      <c r="AT48" s="0" t="n">
        <f aca="false">IF(AQ48=MIN(AQ46:AQ49),1,0)</f>
        <v>1</v>
      </c>
      <c r="AX48" s="0" t="str">
        <f aca="false">B48&amp;C48&amp;D48</f>
        <v>OOV</v>
      </c>
      <c r="AY48" s="1" t="n">
        <f aca="false">AQ48+AR48+AS48</f>
        <v>11</v>
      </c>
      <c r="AZ48" s="1" t="str">
        <f aca="false">RIGHT(AX48,2)</f>
        <v>OV</v>
      </c>
      <c r="BA48" s="1" t="str">
        <f aca="false">LEFT(AX48,1)&amp;RIGHT(AX48,1)</f>
        <v>OV</v>
      </c>
      <c r="BB48" s="1" t="str">
        <f aca="false">LEFT(AX48,2)</f>
        <v>OO</v>
      </c>
      <c r="BC48" s="1" t="n">
        <f aca="false">VLOOKUP(AZ48,TwoPlayers!$AG$1:$AH$17,2,FALSE())</f>
        <v>6</v>
      </c>
      <c r="BD48" s="1" t="n">
        <f aca="false">VLOOKUP(BA48,TwoPlayers!$AG$1:$AH$17,2,FALSE())</f>
        <v>6</v>
      </c>
      <c r="BE48" s="1" t="n">
        <f aca="false">VLOOKUP(BB48,TwoPlayers!$AG$1:$AH$17,2,FALSE())</f>
        <v>5</v>
      </c>
      <c r="BF48" s="1" t="n">
        <f aca="false">$AY48-BC48</f>
        <v>5</v>
      </c>
      <c r="BG48" s="1" t="n">
        <f aca="false">$AY48-BD48</f>
        <v>5</v>
      </c>
      <c r="BH48" s="1" t="n">
        <f aca="false">$AY48-BE48</f>
        <v>6</v>
      </c>
      <c r="BJ48" s="0" t="n">
        <f aca="false">AQ48+BF48</f>
        <v>7.5</v>
      </c>
      <c r="BK48" s="0" t="n">
        <f aca="false">AR48+BG48</f>
        <v>7.5</v>
      </c>
      <c r="BL48" s="0" t="n">
        <f aca="false">AS48+BH48</f>
        <v>12</v>
      </c>
      <c r="BM48" s="0" t="n">
        <f aca="false">IF(BJ48=MIN(BJ46:BJ50),1,0)</f>
        <v>0</v>
      </c>
    </row>
    <row r="49" customFormat="false" ht="13" hidden="false" customHeight="false" outlineLevel="0" collapsed="false">
      <c r="A49" s="0" t="n">
        <v>57</v>
      </c>
      <c r="B49" s="0" t="s">
        <v>4</v>
      </c>
      <c r="C49" s="0" t="s">
        <v>3</v>
      </c>
      <c r="D49" s="0" t="s">
        <v>1</v>
      </c>
      <c r="E49" s="0" t="n">
        <f aca="false">(IF($B49="V",1,0))+IF($C49="V",1,0)+IF($D49="V",1,0)</f>
        <v>1</v>
      </c>
      <c r="F49" s="0" t="n">
        <f aca="false">(IF($B49="E",1,0))+IF($C49="E",1,0)+IF($D49="E",1,0)</f>
        <v>0</v>
      </c>
      <c r="G49" s="0" t="n">
        <f aca="false">(IF($B49="O",1,0))+IF($C49="O",1,0)+IF($D49="O",1,0)</f>
        <v>1</v>
      </c>
      <c r="H49" s="0" t="n">
        <f aca="false">(IF($B49="L",1,0))+IF($C49="L",1,0)+IF($D49="L",1,0)</f>
        <v>1</v>
      </c>
      <c r="I49" s="0" t="n">
        <f aca="false">(IF(B49="V",1,0))</f>
        <v>0</v>
      </c>
      <c r="J49" s="0" t="n">
        <f aca="false">(IF(B49="E",1,0))</f>
        <v>0</v>
      </c>
      <c r="K49" s="0" t="n">
        <f aca="false">(IF(B49="O",1,0))</f>
        <v>0</v>
      </c>
      <c r="L49" s="0" t="n">
        <f aca="false">(IF(B49="L",1,0))</f>
        <v>1</v>
      </c>
      <c r="M49" s="0" t="n">
        <f aca="false">(IF(C49="V",1,0))</f>
        <v>0</v>
      </c>
      <c r="N49" s="0" t="n">
        <f aca="false">(IF(C49="E",1,0))</f>
        <v>0</v>
      </c>
      <c r="O49" s="0" t="n">
        <f aca="false">(IF(C49="O",1,0))</f>
        <v>1</v>
      </c>
      <c r="P49" s="0" t="n">
        <f aca="false">(IF(C49="L",1,0))</f>
        <v>0</v>
      </c>
      <c r="Q49" s="0" t="n">
        <f aca="false">(IF(D49="V",1,0))</f>
        <v>1</v>
      </c>
      <c r="R49" s="0" t="n">
        <f aca="false">(IF(D49="E",1,0))</f>
        <v>0</v>
      </c>
      <c r="S49" s="0" t="n">
        <f aca="false">(IF(D49="O",1,0))</f>
        <v>0</v>
      </c>
      <c r="T49" s="0" t="n">
        <f aca="false">(IF(D49="L",1,0))</f>
        <v>0</v>
      </c>
      <c r="U49" s="0" t="n">
        <f aca="false">MAX(E49-1,0)</f>
        <v>0</v>
      </c>
      <c r="V49" s="0" t="n">
        <f aca="false">MAX(U49-1+F49,0)</f>
        <v>0</v>
      </c>
      <c r="W49" s="0" t="n">
        <f aca="false">MAX(V49-1+G49,0)</f>
        <v>0</v>
      </c>
      <c r="X49" s="0" t="n">
        <f aca="false">MAX(W49-1+H49,0)</f>
        <v>0</v>
      </c>
      <c r="Y49" s="1" t="n">
        <f aca="false">0.5*(E49*I49+F49*J49+G49*K49+H49*L49-1)+(0+$U49*J49+$V49*K49+$W49*L49)</f>
        <v>0</v>
      </c>
      <c r="Z49" s="1" t="n">
        <f aca="false">0.5*(E49*M49+F49*N49+G49*O49+H49*P49-1)+(0+$U49*N49+$V49*O49+$W49*P49)</f>
        <v>0</v>
      </c>
      <c r="AA49" s="1" t="n">
        <f aca="false">0.5*(E49*Q49+F49*R49+G49*S49+H49*T49-1)+(0+$U49*R49+$V49*S49+$W49*T49)</f>
        <v>0</v>
      </c>
      <c r="AB49" s="0" t="n">
        <f aca="false">IF(B49="V",-2,0)+IF(B49="E",-1,0)+IF(B49="O",0,0)+IF(B49="L",1,0)+Y49</f>
        <v>1</v>
      </c>
      <c r="AC49" s="0" t="n">
        <f aca="false">IF(C49="V",-2,0)+IF(C49="E",-1,0)+IF(C49="O",0,0)+IF(C49="L",1,0)+Z49</f>
        <v>0</v>
      </c>
      <c r="AD49" s="0" t="n">
        <f aca="false">IF(D49="V",-2,0)+IF(D49="E",-1,0)+IF(D49="O",0,0)+IF(D49="L",1,0)+AA49</f>
        <v>-2</v>
      </c>
      <c r="AE49" s="1" t="n">
        <f aca="false">IF(B49="V",-2,0)+IF(B49="E",-1,0)+IF(B49="O",0,0)+IF(B49="L",1,0)</f>
        <v>1</v>
      </c>
      <c r="AF49" s="1" t="n">
        <f aca="false">IF(B49="V",-2,0)+IF(B49="E",-1,0)+IF(B49="O",0,0)+IF(B49="L",1,0)+Y49</f>
        <v>1</v>
      </c>
      <c r="AG49" s="1" t="n">
        <f aca="false">IF(B49="V",-2,0)+IF(B49="E",-1,0)+IF(B49="O",0,0)+IF(B49="L",1,0)+Y49*2</f>
        <v>1</v>
      </c>
      <c r="AH49" s="1" t="n">
        <f aca="false">IF(C49="V",-2,0)+IF(C49="E",-1,0)+IF(C49="O",0,0)+IF(C49="L",1,0)</f>
        <v>0</v>
      </c>
      <c r="AI49" s="1" t="n">
        <f aca="false">IF(C49="V",-2,0)+IF(C49="E",-1,0)+IF(C49="O",0,0)+IF(C49="L",1,0)+Z49</f>
        <v>0</v>
      </c>
      <c r="AJ49" s="1" t="n">
        <f aca="false">IF(C49="V",-2,0)+IF(C49="E",-1,0)+IF(C49="O",0,0)+IF(C49="L",1,0)+Z49*2</f>
        <v>0</v>
      </c>
      <c r="AK49" s="1" t="n">
        <f aca="false">IF(D49="V",-2,0)+IF(D49="E",-1,0)+IF(D49="O",0,0)+IF(D49="L",1,0)</f>
        <v>-2</v>
      </c>
      <c r="AL49" s="1" t="n">
        <f aca="false">IF(D49="V",-2,0)+IF(D49="E",-1,0)+IF(D49="O",0,0)+IF(D49="L",1,0)+AA49</f>
        <v>-2</v>
      </c>
      <c r="AM49" s="1" t="n">
        <f aca="false">IF(D49="V",-2,0)+IF(D49="E",-1,0)+IF(D49="O",0,0)+IF(D49="L",1,0)+AA49*2</f>
        <v>-2</v>
      </c>
      <c r="AN49" s="1" t="n">
        <f aca="false">(ABS(IF(AE49&lt;0,AE49*Early,AE49*Late))+ABS(IF(AF49&lt;0,AF49*Early,AF49*Late))+ABS(IF(AG49&lt;0,AG49*Early,AG49*Late)))/3</f>
        <v>4</v>
      </c>
      <c r="AO49" s="1" t="n">
        <f aca="false">(ABS(IF(AH49&lt;0,AH49*Early,AH49*Late))+ABS(IF(AI49&lt;0,AI49*Early,AI49*Late))+ABS(IF(AJ49&lt;0,AJ49*Early,AJ49*Late)))/3</f>
        <v>0</v>
      </c>
      <c r="AP49" s="1" t="n">
        <f aca="false">(ABS(IF(AK49&lt;0,AK49*Early,AK49*Late))+ABS(IF(AL49&lt;0,AL49*Early,AL49*Late))+ABS(IF(AM49&lt;0,AM49*Early,AM49*Late)))/3</f>
        <v>6</v>
      </c>
      <c r="AQ49" s="0" t="n">
        <f aca="false">Y49*Delay+AN49</f>
        <v>4</v>
      </c>
      <c r="AR49" s="0" t="n">
        <f aca="false">Z49*Delay+AO49</f>
        <v>0</v>
      </c>
      <c r="AS49" s="0" t="n">
        <f aca="false">AA49*Delay+AP49</f>
        <v>6</v>
      </c>
      <c r="AT49" s="0" t="n">
        <f aca="false">IF(AQ49=MIN(AQ46:AQ49),1,0)</f>
        <v>0</v>
      </c>
      <c r="AX49" s="0" t="str">
        <f aca="false">B49&amp;C49&amp;D49</f>
        <v>LOV</v>
      </c>
      <c r="AY49" s="1" t="n">
        <f aca="false">AQ49+AR49+AS49</f>
        <v>10</v>
      </c>
      <c r="AZ49" s="1" t="str">
        <f aca="false">RIGHT(AX49,2)</f>
        <v>OV</v>
      </c>
      <c r="BA49" s="1" t="str">
        <f aca="false">LEFT(AX49,1)&amp;RIGHT(AX49,1)</f>
        <v>LV</v>
      </c>
      <c r="BB49" s="1" t="str">
        <f aca="false">LEFT(AX49,2)</f>
        <v>LO</v>
      </c>
      <c r="BC49" s="1" t="n">
        <f aca="false">VLOOKUP(AZ49,TwoPlayers!$AG$1:$AH$17,2,FALSE())</f>
        <v>6</v>
      </c>
      <c r="BD49" s="1" t="n">
        <f aca="false">VLOOKUP(BA49,TwoPlayers!$AG$1:$AH$17,2,FALSE())</f>
        <v>10</v>
      </c>
      <c r="BE49" s="1" t="n">
        <f aca="false">VLOOKUP(BB49,TwoPlayers!$AG$1:$AH$17,2,FALSE())</f>
        <v>4</v>
      </c>
      <c r="BF49" s="1" t="n">
        <f aca="false">$AY49-BC49</f>
        <v>4</v>
      </c>
      <c r="BG49" s="1" t="n">
        <f aca="false">$AY49-BD49</f>
        <v>0</v>
      </c>
      <c r="BH49" s="1" t="n">
        <f aca="false">$AY49-BE49</f>
        <v>6</v>
      </c>
      <c r="BJ49" s="0" t="n">
        <f aca="false">AQ49+BF49</f>
        <v>8</v>
      </c>
      <c r="BK49" s="0" t="n">
        <f aca="false">AR49+BG49</f>
        <v>0</v>
      </c>
      <c r="BL49" s="0" t="n">
        <f aca="false">AS49+BH49</f>
        <v>12</v>
      </c>
      <c r="BM49" s="0" t="n">
        <f aca="false">IF(BJ49=MIN(BJ46:BJ50),1,0)</f>
        <v>0</v>
      </c>
    </row>
    <row r="50" customFormat="false" ht="13" hidden="false" customHeight="false" outlineLevel="0" collapsed="false">
      <c r="A50" s="0" t="n">
        <v>2</v>
      </c>
      <c r="B50" s="0" t="s">
        <v>1</v>
      </c>
      <c r="C50" s="0" t="s">
        <v>1</v>
      </c>
      <c r="D50" s="0" t="s">
        <v>2</v>
      </c>
      <c r="E50" s="0" t="n">
        <f aca="false">(IF($B50="V",1,0))+IF($C50="V",1,0)+IF($D50="V",1,0)</f>
        <v>2</v>
      </c>
      <c r="F50" s="0" t="n">
        <f aca="false">(IF($B50="E",1,0))+IF($C50="E",1,0)+IF($D50="E",1,0)</f>
        <v>1</v>
      </c>
      <c r="G50" s="0" t="n">
        <f aca="false">(IF($B50="O",1,0))+IF($C50="O",1,0)+IF($D50="O",1,0)</f>
        <v>0</v>
      </c>
      <c r="H50" s="0" t="n">
        <f aca="false">(IF($B50="L",1,0))+IF($C50="L",1,0)+IF($D50="L",1,0)</f>
        <v>0</v>
      </c>
      <c r="I50" s="0" t="n">
        <f aca="false">(IF(B50="V",1,0))</f>
        <v>1</v>
      </c>
      <c r="J50" s="0" t="n">
        <f aca="false">(IF(B50="E",1,0))</f>
        <v>0</v>
      </c>
      <c r="K50" s="0" t="n">
        <f aca="false">(IF(B50="O",1,0))</f>
        <v>0</v>
      </c>
      <c r="L50" s="0" t="n">
        <f aca="false">(IF(B50="L",1,0))</f>
        <v>0</v>
      </c>
      <c r="M50" s="0" t="n">
        <f aca="false">(IF(C50="V",1,0))</f>
        <v>1</v>
      </c>
      <c r="N50" s="0" t="n">
        <f aca="false">(IF(C50="E",1,0))</f>
        <v>0</v>
      </c>
      <c r="O50" s="0" t="n">
        <f aca="false">(IF(C50="O",1,0))</f>
        <v>0</v>
      </c>
      <c r="P50" s="0" t="n">
        <f aca="false">(IF(C50="L",1,0))</f>
        <v>0</v>
      </c>
      <c r="Q50" s="0" t="n">
        <f aca="false">(IF(D50="V",1,0))</f>
        <v>0</v>
      </c>
      <c r="R50" s="0" t="n">
        <f aca="false">(IF(D50="E",1,0))</f>
        <v>1</v>
      </c>
      <c r="S50" s="0" t="n">
        <f aca="false">(IF(D50="O",1,0))</f>
        <v>0</v>
      </c>
      <c r="T50" s="0" t="n">
        <f aca="false">(IF(D50="L",1,0))</f>
        <v>0</v>
      </c>
      <c r="U50" s="0" t="n">
        <f aca="false">MAX(E50-1,0)</f>
        <v>1</v>
      </c>
      <c r="V50" s="0" t="n">
        <f aca="false">MAX(U50-1+F50,0)</f>
        <v>1</v>
      </c>
      <c r="W50" s="0" t="n">
        <f aca="false">MAX(V50-1+G50,0)</f>
        <v>0</v>
      </c>
      <c r="X50" s="0" t="n">
        <f aca="false">MAX(W50-1+H50,0)</f>
        <v>0</v>
      </c>
      <c r="Y50" s="1" t="n">
        <f aca="false">0.5*(E50*I50+F50*J50+G50*K50+H50*L50-1)+(0+$U50*J50+$V50*K50+$W50*L50)</f>
        <v>0.5</v>
      </c>
      <c r="Z50" s="1" t="n">
        <f aca="false">0.5*(E50*M50+F50*N50+G50*O50+H50*P50-1)+(0+$U50*N50+$V50*O50+$W50*P50)</f>
        <v>0.5</v>
      </c>
      <c r="AA50" s="1" t="n">
        <f aca="false">0.5*(E50*Q50+F50*R50+G50*S50+H50*T50-1)+(0+$U50*R50+$V50*S50+$W50*T50)</f>
        <v>1</v>
      </c>
      <c r="AB50" s="0" t="n">
        <f aca="false">IF(B50="V",-2,0)+IF(B50="E",-1,0)+IF(B50="O",0,0)+IF(B50="L",1,0)+Y50</f>
        <v>-1.5</v>
      </c>
      <c r="AC50" s="0" t="n">
        <f aca="false">IF(C50="V",-2,0)+IF(C50="E",-1,0)+IF(C50="O",0,0)+IF(C50="L",1,0)+Z50</f>
        <v>-1.5</v>
      </c>
      <c r="AD50" s="0" t="n">
        <f aca="false">IF(D50="V",-2,0)+IF(D50="E",-1,0)+IF(D50="O",0,0)+IF(D50="L",1,0)+AA50</f>
        <v>0</v>
      </c>
      <c r="AE50" s="1" t="n">
        <f aca="false">IF(B50="V",-2,0)+IF(B50="E",-1,0)+IF(B50="O",0,0)+IF(B50="L",1,0)</f>
        <v>-2</v>
      </c>
      <c r="AF50" s="1" t="n">
        <f aca="false">IF(B50="V",-2,0)+IF(B50="E",-1,0)+IF(B50="O",0,0)+IF(B50="L",1,0)+Y50</f>
        <v>-1.5</v>
      </c>
      <c r="AG50" s="1" t="n">
        <f aca="false">IF(B50="V",-2,0)+IF(B50="E",-1,0)+IF(B50="O",0,0)+IF(B50="L",1,0)+Y50*2</f>
        <v>-1</v>
      </c>
      <c r="AH50" s="1" t="n">
        <f aca="false">IF(C50="V",-2,0)+IF(C50="E",-1,0)+IF(C50="O",0,0)+IF(C50="L",1,0)</f>
        <v>-2</v>
      </c>
      <c r="AI50" s="1" t="n">
        <f aca="false">IF(C50="V",-2,0)+IF(C50="E",-1,0)+IF(C50="O",0,0)+IF(C50="L",1,0)+Z50</f>
        <v>-1.5</v>
      </c>
      <c r="AJ50" s="1" t="n">
        <f aca="false">IF(C50="V",-2,0)+IF(C50="E",-1,0)+IF(C50="O",0,0)+IF(C50="L",1,0)+Z50*2</f>
        <v>-1</v>
      </c>
      <c r="AK50" s="1" t="n">
        <f aca="false">IF(D50="V",-2,0)+IF(D50="E",-1,0)+IF(D50="O",0,0)+IF(D50="L",1,0)</f>
        <v>-1</v>
      </c>
      <c r="AL50" s="1" t="n">
        <f aca="false">IF(D50="V",-2,0)+IF(D50="E",-1,0)+IF(D50="O",0,0)+IF(D50="L",1,0)+AA50</f>
        <v>0</v>
      </c>
      <c r="AM50" s="1" t="n">
        <f aca="false">IF(D50="V",-2,0)+IF(D50="E",-1,0)+IF(D50="O",0,0)+IF(D50="L",1,0)+AA50*2</f>
        <v>1</v>
      </c>
      <c r="AN50" s="1" t="n">
        <f aca="false">(ABS(IF(AE50&lt;0,AE50*Early,AE50*Late))+ABS(IF(AF50&lt;0,AF50*Early,AF50*Late))+ABS(IF(AG50&lt;0,AG50*Early,AG50*Late)))/3</f>
        <v>4.5</v>
      </c>
      <c r="AO50" s="1" t="n">
        <f aca="false">(ABS(IF(AH50&lt;0,AH50*Early,AH50*Late))+ABS(IF(AI50&lt;0,AI50*Early,AI50*Late))+ABS(IF(AJ50&lt;0,AJ50*Early,AJ50*Late)))/3</f>
        <v>4.5</v>
      </c>
      <c r="AP50" s="1" t="n">
        <f aca="false">(ABS(IF(AK50&lt;0,AK50*Early,AK50*Late))+ABS(IF(AL50&lt;0,AL50*Early,AL50*Late))+ABS(IF(AM50&lt;0,AM50*Early,AM50*Late)))/3</f>
        <v>2.33333333333333</v>
      </c>
      <c r="AQ50" s="0" t="n">
        <f aca="false">Y50*Delay+AN50</f>
        <v>5</v>
      </c>
      <c r="AR50" s="0" t="n">
        <f aca="false">Z50*Delay+AO50</f>
        <v>5</v>
      </c>
      <c r="AS50" s="0" t="n">
        <f aca="false">AA50*Delay+AP50</f>
        <v>3.33333333333333</v>
      </c>
      <c r="AT50" s="0" t="n">
        <f aca="false">IF(AQ50=MIN(AQ50:AQ53),1,0)</f>
        <v>0</v>
      </c>
      <c r="AX50" s="0" t="str">
        <f aca="false">B50&amp;C50&amp;D50</f>
        <v>VVE</v>
      </c>
      <c r="AY50" s="1" t="n">
        <f aca="false">AQ50+AR50+AS50</f>
        <v>13.3333333333333</v>
      </c>
      <c r="AZ50" s="1" t="str">
        <f aca="false">RIGHT(AX50,2)</f>
        <v>VE</v>
      </c>
      <c r="BA50" s="1" t="str">
        <f aca="false">LEFT(AX50,1)&amp;RIGHT(AX50,1)</f>
        <v>VE</v>
      </c>
      <c r="BB50" s="1" t="str">
        <f aca="false">LEFT(AX50,2)</f>
        <v>VV</v>
      </c>
      <c r="BC50" s="1" t="n">
        <f aca="false">VLOOKUP(AZ50,TwoPlayers!$AG$1:$AH$17,2,FALSE())</f>
        <v>9</v>
      </c>
      <c r="BD50" s="1" t="n">
        <f aca="false">VLOOKUP(BA50,TwoPlayers!$AG$1:$AH$17,2,FALSE())</f>
        <v>9</v>
      </c>
      <c r="BE50" s="1" t="n">
        <f aca="false">VLOOKUP(BB50,TwoPlayers!$AG$1:$AH$17,2,FALSE())</f>
        <v>10</v>
      </c>
      <c r="BF50" s="1" t="n">
        <f aca="false">$AY50-BC50</f>
        <v>4.33333333333333</v>
      </c>
      <c r="BG50" s="1" t="n">
        <f aca="false">$AY50-BD50</f>
        <v>4.33333333333333</v>
      </c>
      <c r="BH50" s="1" t="n">
        <f aca="false">$AY50-BE50</f>
        <v>3.33333333333333</v>
      </c>
      <c r="BJ50" s="0" t="n">
        <f aca="false">AQ50+BF50</f>
        <v>9.33333333333333</v>
      </c>
      <c r="BK50" s="0" t="n">
        <f aca="false">AR50+BG50</f>
        <v>9.33333333333333</v>
      </c>
      <c r="BL50" s="0" t="n">
        <f aca="false">AS50+BH50</f>
        <v>6.66666666666667</v>
      </c>
      <c r="BM50" s="0" t="n">
        <f aca="false">IF(BJ50=MIN(BJ50:BJ54),1,0)</f>
        <v>0</v>
      </c>
    </row>
    <row r="51" customFormat="false" ht="13" hidden="false" customHeight="false" outlineLevel="0" collapsed="false">
      <c r="A51" s="0" t="n">
        <v>18</v>
      </c>
      <c r="B51" s="0" t="s">
        <v>2</v>
      </c>
      <c r="C51" s="0" t="s">
        <v>1</v>
      </c>
      <c r="D51" s="0" t="s">
        <v>2</v>
      </c>
      <c r="E51" s="0" t="n">
        <f aca="false">(IF($B51="V",1,0))+IF($C51="V",1,0)+IF($D51="V",1,0)</f>
        <v>1</v>
      </c>
      <c r="F51" s="0" t="n">
        <f aca="false">(IF($B51="E",1,0))+IF($C51="E",1,0)+IF($D51="E",1,0)</f>
        <v>2</v>
      </c>
      <c r="G51" s="0" t="n">
        <f aca="false">(IF($B51="O",1,0))+IF($C51="O",1,0)+IF($D51="O",1,0)</f>
        <v>0</v>
      </c>
      <c r="H51" s="0" t="n">
        <f aca="false">(IF($B51="L",1,0))+IF($C51="L",1,0)+IF($D51="L",1,0)</f>
        <v>0</v>
      </c>
      <c r="I51" s="0" t="n">
        <f aca="false">(IF(B51="V",1,0))</f>
        <v>0</v>
      </c>
      <c r="J51" s="0" t="n">
        <f aca="false">(IF(B51="E",1,0))</f>
        <v>1</v>
      </c>
      <c r="K51" s="0" t="n">
        <f aca="false">(IF(B51="O",1,0))</f>
        <v>0</v>
      </c>
      <c r="L51" s="0" t="n">
        <f aca="false">(IF(B51="L",1,0))</f>
        <v>0</v>
      </c>
      <c r="M51" s="0" t="n">
        <f aca="false">(IF(C51="V",1,0))</f>
        <v>1</v>
      </c>
      <c r="N51" s="0" t="n">
        <f aca="false">(IF(C51="E",1,0))</f>
        <v>0</v>
      </c>
      <c r="O51" s="0" t="n">
        <f aca="false">(IF(C51="O",1,0))</f>
        <v>0</v>
      </c>
      <c r="P51" s="0" t="n">
        <f aca="false">(IF(C51="L",1,0))</f>
        <v>0</v>
      </c>
      <c r="Q51" s="0" t="n">
        <f aca="false">(IF(D51="V",1,0))</f>
        <v>0</v>
      </c>
      <c r="R51" s="0" t="n">
        <f aca="false">(IF(D51="E",1,0))</f>
        <v>1</v>
      </c>
      <c r="S51" s="0" t="n">
        <f aca="false">(IF(D51="O",1,0))</f>
        <v>0</v>
      </c>
      <c r="T51" s="0" t="n">
        <f aca="false">(IF(D51="L",1,0))</f>
        <v>0</v>
      </c>
      <c r="U51" s="0" t="n">
        <f aca="false">MAX(E51-1,0)</f>
        <v>0</v>
      </c>
      <c r="V51" s="0" t="n">
        <f aca="false">MAX(U51-1+F51,0)</f>
        <v>1</v>
      </c>
      <c r="W51" s="0" t="n">
        <f aca="false">MAX(V51-1+G51,0)</f>
        <v>0</v>
      </c>
      <c r="X51" s="0" t="n">
        <f aca="false">MAX(W51-1+H51,0)</f>
        <v>0</v>
      </c>
      <c r="Y51" s="1" t="n">
        <f aca="false">0.5*(E51*I51+F51*J51+G51*K51+H51*L51-1)+(0+$U51*J51+$V51*K51+$W51*L51)</f>
        <v>0.5</v>
      </c>
      <c r="Z51" s="1" t="n">
        <f aca="false">0.5*(E51*M51+F51*N51+G51*O51+H51*P51-1)+(0+$U51*N51+$V51*O51+$W51*P51)</f>
        <v>0</v>
      </c>
      <c r="AA51" s="1" t="n">
        <f aca="false">0.5*(E51*Q51+F51*R51+G51*S51+H51*T51-1)+(0+$U51*R51+$V51*S51+$W51*T51)</f>
        <v>0.5</v>
      </c>
      <c r="AB51" s="0" t="n">
        <f aca="false">IF(B51="V",-2,0)+IF(B51="E",-1,0)+IF(B51="O",0,0)+IF(B51="L",1,0)+Y51</f>
        <v>-0.5</v>
      </c>
      <c r="AC51" s="0" t="n">
        <f aca="false">IF(C51="V",-2,0)+IF(C51="E",-1,0)+IF(C51="O",0,0)+IF(C51="L",1,0)+Z51</f>
        <v>-2</v>
      </c>
      <c r="AD51" s="0" t="n">
        <f aca="false">IF(D51="V",-2,0)+IF(D51="E",-1,0)+IF(D51="O",0,0)+IF(D51="L",1,0)+AA51</f>
        <v>-0.5</v>
      </c>
      <c r="AE51" s="1" t="n">
        <f aca="false">IF(B51="V",-2,0)+IF(B51="E",-1,0)+IF(B51="O",0,0)+IF(B51="L",1,0)</f>
        <v>-1</v>
      </c>
      <c r="AF51" s="1" t="n">
        <f aca="false">IF(B51="V",-2,0)+IF(B51="E",-1,0)+IF(B51="O",0,0)+IF(B51="L",1,0)+Y51</f>
        <v>-0.5</v>
      </c>
      <c r="AG51" s="1" t="n">
        <f aca="false">IF(B51="V",-2,0)+IF(B51="E",-1,0)+IF(B51="O",0,0)+IF(B51="L",1,0)+Y51*2</f>
        <v>0</v>
      </c>
      <c r="AH51" s="1" t="n">
        <f aca="false">IF(C51="V",-2,0)+IF(C51="E",-1,0)+IF(C51="O",0,0)+IF(C51="L",1,0)</f>
        <v>-2</v>
      </c>
      <c r="AI51" s="1" t="n">
        <f aca="false">IF(C51="V",-2,0)+IF(C51="E",-1,0)+IF(C51="O",0,0)+IF(C51="L",1,0)+Z51</f>
        <v>-2</v>
      </c>
      <c r="AJ51" s="1" t="n">
        <f aca="false">IF(C51="V",-2,0)+IF(C51="E",-1,0)+IF(C51="O",0,0)+IF(C51="L",1,0)+Z51*2</f>
        <v>-2</v>
      </c>
      <c r="AK51" s="1" t="n">
        <f aca="false">IF(D51="V",-2,0)+IF(D51="E",-1,0)+IF(D51="O",0,0)+IF(D51="L",1,0)</f>
        <v>-1</v>
      </c>
      <c r="AL51" s="1" t="n">
        <f aca="false">IF(D51="V",-2,0)+IF(D51="E",-1,0)+IF(D51="O",0,0)+IF(D51="L",1,0)+AA51</f>
        <v>-0.5</v>
      </c>
      <c r="AM51" s="1" t="n">
        <f aca="false">IF(D51="V",-2,0)+IF(D51="E",-1,0)+IF(D51="O",0,0)+IF(D51="L",1,0)+AA51*2</f>
        <v>0</v>
      </c>
      <c r="AN51" s="1" t="n">
        <f aca="false">(ABS(IF(AE51&lt;0,AE51*Early,AE51*Late))+ABS(IF(AF51&lt;0,AF51*Early,AF51*Late))+ABS(IF(AG51&lt;0,AG51*Early,AG51*Late)))/3</f>
        <v>1.5</v>
      </c>
      <c r="AO51" s="1" t="n">
        <f aca="false">(ABS(IF(AH51&lt;0,AH51*Early,AH51*Late))+ABS(IF(AI51&lt;0,AI51*Early,AI51*Late))+ABS(IF(AJ51&lt;0,AJ51*Early,AJ51*Late)))/3</f>
        <v>6</v>
      </c>
      <c r="AP51" s="1" t="n">
        <f aca="false">(ABS(IF(AK51&lt;0,AK51*Early,AK51*Late))+ABS(IF(AL51&lt;0,AL51*Early,AL51*Late))+ABS(IF(AM51&lt;0,AM51*Early,AM51*Late)))/3</f>
        <v>1.5</v>
      </c>
      <c r="AQ51" s="0" t="n">
        <f aca="false">Y51*Delay+AN51</f>
        <v>2</v>
      </c>
      <c r="AR51" s="0" t="n">
        <f aca="false">Z51*Delay+AO51</f>
        <v>6</v>
      </c>
      <c r="AS51" s="0" t="n">
        <f aca="false">AA51*Delay+AP51</f>
        <v>2</v>
      </c>
      <c r="AT51" s="0" t="n">
        <f aca="false">IF(AQ51=MIN(AQ50:AQ53),1,0)</f>
        <v>0</v>
      </c>
      <c r="AX51" s="0" t="str">
        <f aca="false">B51&amp;C51&amp;D51</f>
        <v>EVE</v>
      </c>
      <c r="AY51" s="1" t="n">
        <f aca="false">AQ51+AR51+AS51</f>
        <v>10</v>
      </c>
      <c r="AZ51" s="1" t="str">
        <f aca="false">RIGHT(AX51,2)</f>
        <v>VE</v>
      </c>
      <c r="BA51" s="1" t="str">
        <f aca="false">LEFT(AX51,1)&amp;RIGHT(AX51,1)</f>
        <v>EE</v>
      </c>
      <c r="BB51" s="1" t="str">
        <f aca="false">LEFT(AX51,2)</f>
        <v>EV</v>
      </c>
      <c r="BC51" s="1" t="n">
        <f aca="false">VLOOKUP(AZ51,TwoPlayers!$AG$1:$AH$17,2,FALSE())</f>
        <v>9</v>
      </c>
      <c r="BD51" s="1" t="n">
        <f aca="false">VLOOKUP(BA51,TwoPlayers!$AG$1:$AH$17,2,FALSE())</f>
        <v>4</v>
      </c>
      <c r="BE51" s="1" t="n">
        <f aca="false">VLOOKUP(BB51,TwoPlayers!$AG$1:$AH$17,2,FALSE())</f>
        <v>9</v>
      </c>
      <c r="BF51" s="1" t="n">
        <f aca="false">$AY51-BC51</f>
        <v>1</v>
      </c>
      <c r="BG51" s="1" t="n">
        <f aca="false">$AY51-BD51</f>
        <v>6</v>
      </c>
      <c r="BH51" s="1" t="n">
        <f aca="false">$AY51-BE51</f>
        <v>1</v>
      </c>
      <c r="BJ51" s="0" t="n">
        <f aca="false">AQ51+BF51</f>
        <v>3</v>
      </c>
      <c r="BK51" s="0" t="n">
        <f aca="false">AR51+BG51</f>
        <v>12</v>
      </c>
      <c r="BL51" s="0" t="n">
        <f aca="false">AS51+BH51</f>
        <v>3</v>
      </c>
      <c r="BM51" s="0" t="n">
        <f aca="false">IF(BJ51=MIN(BJ50:BJ54),1,0)</f>
        <v>0</v>
      </c>
    </row>
    <row r="52" customFormat="false" ht="13" hidden="false" customHeight="false" outlineLevel="0" collapsed="false">
      <c r="A52" s="0" t="n">
        <v>34</v>
      </c>
      <c r="B52" s="0" t="s">
        <v>3</v>
      </c>
      <c r="C52" s="0" t="s">
        <v>1</v>
      </c>
      <c r="D52" s="0" t="s">
        <v>2</v>
      </c>
      <c r="E52" s="0" t="n">
        <f aca="false">(IF($B52="V",1,0))+IF($C52="V",1,0)+IF($D52="V",1,0)</f>
        <v>1</v>
      </c>
      <c r="F52" s="0" t="n">
        <f aca="false">(IF($B52="E",1,0))+IF($C52="E",1,0)+IF($D52="E",1,0)</f>
        <v>1</v>
      </c>
      <c r="G52" s="0" t="n">
        <f aca="false">(IF($B52="O",1,0))+IF($C52="O",1,0)+IF($D52="O",1,0)</f>
        <v>1</v>
      </c>
      <c r="H52" s="0" t="n">
        <f aca="false">(IF($B52="L",1,0))+IF($C52="L",1,0)+IF($D52="L",1,0)</f>
        <v>0</v>
      </c>
      <c r="I52" s="0" t="n">
        <f aca="false">(IF(B52="V",1,0))</f>
        <v>0</v>
      </c>
      <c r="J52" s="0" t="n">
        <f aca="false">(IF(B52="E",1,0))</f>
        <v>0</v>
      </c>
      <c r="K52" s="0" t="n">
        <f aca="false">(IF(B52="O",1,0))</f>
        <v>1</v>
      </c>
      <c r="L52" s="0" t="n">
        <f aca="false">(IF(B52="L",1,0))</f>
        <v>0</v>
      </c>
      <c r="M52" s="0" t="n">
        <f aca="false">(IF(C52="V",1,0))</f>
        <v>1</v>
      </c>
      <c r="N52" s="0" t="n">
        <f aca="false">(IF(C52="E",1,0))</f>
        <v>0</v>
      </c>
      <c r="O52" s="0" t="n">
        <f aca="false">(IF(C52="O",1,0))</f>
        <v>0</v>
      </c>
      <c r="P52" s="0" t="n">
        <f aca="false">(IF(C52="L",1,0))</f>
        <v>0</v>
      </c>
      <c r="Q52" s="0" t="n">
        <f aca="false">(IF(D52="V",1,0))</f>
        <v>0</v>
      </c>
      <c r="R52" s="0" t="n">
        <f aca="false">(IF(D52="E",1,0))</f>
        <v>1</v>
      </c>
      <c r="S52" s="0" t="n">
        <f aca="false">(IF(D52="O",1,0))</f>
        <v>0</v>
      </c>
      <c r="T52" s="0" t="n">
        <f aca="false">(IF(D52="L",1,0))</f>
        <v>0</v>
      </c>
      <c r="U52" s="0" t="n">
        <f aca="false">MAX(E52-1,0)</f>
        <v>0</v>
      </c>
      <c r="V52" s="0" t="n">
        <f aca="false">MAX(U52-1+F52,0)</f>
        <v>0</v>
      </c>
      <c r="W52" s="0" t="n">
        <f aca="false">MAX(V52-1+G52,0)</f>
        <v>0</v>
      </c>
      <c r="X52" s="0" t="n">
        <f aca="false">MAX(W52-1+H52,0)</f>
        <v>0</v>
      </c>
      <c r="Y52" s="1" t="n">
        <f aca="false">0.5*(E52*I52+F52*J52+G52*K52+H52*L52-1)+(0+$U52*J52+$V52*K52+$W52*L52)</f>
        <v>0</v>
      </c>
      <c r="Z52" s="1" t="n">
        <f aca="false">0.5*(E52*M52+F52*N52+G52*O52+H52*P52-1)+(0+$U52*N52+$V52*O52+$W52*P52)</f>
        <v>0</v>
      </c>
      <c r="AA52" s="1" t="n">
        <f aca="false">0.5*(E52*Q52+F52*R52+G52*S52+H52*T52-1)+(0+$U52*R52+$V52*S52+$W52*T52)</f>
        <v>0</v>
      </c>
      <c r="AB52" s="0" t="n">
        <f aca="false">IF(B52="V",-2,0)+IF(B52="E",-1,0)+IF(B52="O",0,0)+IF(B52="L",1,0)+Y52</f>
        <v>0</v>
      </c>
      <c r="AC52" s="0" t="n">
        <f aca="false">IF(C52="V",-2,0)+IF(C52="E",-1,0)+IF(C52="O",0,0)+IF(C52="L",1,0)+Z52</f>
        <v>-2</v>
      </c>
      <c r="AD52" s="0" t="n">
        <f aca="false">IF(D52="V",-2,0)+IF(D52="E",-1,0)+IF(D52="O",0,0)+IF(D52="L",1,0)+AA52</f>
        <v>-1</v>
      </c>
      <c r="AE52" s="1" t="n">
        <f aca="false">IF(B52="V",-2,0)+IF(B52="E",-1,0)+IF(B52="O",0,0)+IF(B52="L",1,0)</f>
        <v>0</v>
      </c>
      <c r="AF52" s="1" t="n">
        <f aca="false">IF(B52="V",-2,0)+IF(B52="E",-1,0)+IF(B52="O",0,0)+IF(B52="L",1,0)+Y52</f>
        <v>0</v>
      </c>
      <c r="AG52" s="1" t="n">
        <f aca="false">IF(B52="V",-2,0)+IF(B52="E",-1,0)+IF(B52="O",0,0)+IF(B52="L",1,0)+Y52*2</f>
        <v>0</v>
      </c>
      <c r="AH52" s="1" t="n">
        <f aca="false">IF(C52="V",-2,0)+IF(C52="E",-1,0)+IF(C52="O",0,0)+IF(C52="L",1,0)</f>
        <v>-2</v>
      </c>
      <c r="AI52" s="1" t="n">
        <f aca="false">IF(C52="V",-2,0)+IF(C52="E",-1,0)+IF(C52="O",0,0)+IF(C52="L",1,0)+Z52</f>
        <v>-2</v>
      </c>
      <c r="AJ52" s="1" t="n">
        <f aca="false">IF(C52="V",-2,0)+IF(C52="E",-1,0)+IF(C52="O",0,0)+IF(C52="L",1,0)+Z52*2</f>
        <v>-2</v>
      </c>
      <c r="AK52" s="1" t="n">
        <f aca="false">IF(D52="V",-2,0)+IF(D52="E",-1,0)+IF(D52="O",0,0)+IF(D52="L",1,0)</f>
        <v>-1</v>
      </c>
      <c r="AL52" s="1" t="n">
        <f aca="false">IF(D52="V",-2,0)+IF(D52="E",-1,0)+IF(D52="O",0,0)+IF(D52="L",1,0)+AA52</f>
        <v>-1</v>
      </c>
      <c r="AM52" s="1" t="n">
        <f aca="false">IF(D52="V",-2,0)+IF(D52="E",-1,0)+IF(D52="O",0,0)+IF(D52="L",1,0)+AA52*2</f>
        <v>-1</v>
      </c>
      <c r="AN52" s="1" t="n">
        <f aca="false">(ABS(IF(AE52&lt;0,AE52*Early,AE52*Late))+ABS(IF(AF52&lt;0,AF52*Early,AF52*Late))+ABS(IF(AG52&lt;0,AG52*Early,AG52*Late)))/3</f>
        <v>0</v>
      </c>
      <c r="AO52" s="1" t="n">
        <f aca="false">(ABS(IF(AH52&lt;0,AH52*Early,AH52*Late))+ABS(IF(AI52&lt;0,AI52*Early,AI52*Late))+ABS(IF(AJ52&lt;0,AJ52*Early,AJ52*Late)))/3</f>
        <v>6</v>
      </c>
      <c r="AP52" s="1" t="n">
        <f aca="false">(ABS(IF(AK52&lt;0,AK52*Early,AK52*Late))+ABS(IF(AL52&lt;0,AL52*Early,AL52*Late))+ABS(IF(AM52&lt;0,AM52*Early,AM52*Late)))/3</f>
        <v>3</v>
      </c>
      <c r="AQ52" s="0" t="n">
        <f aca="false">Y52*Delay+AN52</f>
        <v>0</v>
      </c>
      <c r="AR52" s="0" t="n">
        <f aca="false">Z52*Delay+AO52</f>
        <v>6</v>
      </c>
      <c r="AS52" s="0" t="n">
        <f aca="false">AA52*Delay+AP52</f>
        <v>3</v>
      </c>
      <c r="AT52" s="0" t="n">
        <f aca="false">IF(AQ52=MIN(AQ50:AQ53),1,0)</f>
        <v>1</v>
      </c>
      <c r="AX52" s="0" t="str">
        <f aca="false">B52&amp;C52&amp;D52</f>
        <v>OVE</v>
      </c>
      <c r="AY52" s="1" t="n">
        <f aca="false">AQ52+AR52+AS52</f>
        <v>9</v>
      </c>
      <c r="AZ52" s="1" t="str">
        <f aca="false">RIGHT(AX52,2)</f>
        <v>VE</v>
      </c>
      <c r="BA52" s="1" t="str">
        <f aca="false">LEFT(AX52,1)&amp;RIGHT(AX52,1)</f>
        <v>OE</v>
      </c>
      <c r="BB52" s="1" t="str">
        <f aca="false">LEFT(AX52,2)</f>
        <v>OV</v>
      </c>
      <c r="BC52" s="1" t="n">
        <f aca="false">VLOOKUP(AZ52,TwoPlayers!$AG$1:$AH$17,2,FALSE())</f>
        <v>9</v>
      </c>
      <c r="BD52" s="1" t="n">
        <f aca="false">VLOOKUP(BA52,TwoPlayers!$AG$1:$AH$17,2,FALSE())</f>
        <v>3</v>
      </c>
      <c r="BE52" s="1" t="n">
        <f aca="false">VLOOKUP(BB52,TwoPlayers!$AG$1:$AH$17,2,FALSE())</f>
        <v>6</v>
      </c>
      <c r="BF52" s="1" t="n">
        <f aca="false">$AY52-BC52</f>
        <v>0</v>
      </c>
      <c r="BG52" s="1" t="n">
        <f aca="false">$AY52-BD52</f>
        <v>6</v>
      </c>
      <c r="BH52" s="1" t="n">
        <f aca="false">$AY52-BE52</f>
        <v>3</v>
      </c>
      <c r="BJ52" s="0" t="n">
        <f aca="false">AQ52+BF52</f>
        <v>0</v>
      </c>
      <c r="BK52" s="0" t="n">
        <f aca="false">AR52+BG52</f>
        <v>12</v>
      </c>
      <c r="BL52" s="0" t="n">
        <f aca="false">AS52+BH52</f>
        <v>6</v>
      </c>
      <c r="BM52" s="0" t="n">
        <f aca="false">IF(BJ52=MIN(BJ50:BJ54),1,0)</f>
        <v>1</v>
      </c>
    </row>
    <row r="53" customFormat="false" ht="13" hidden="false" customHeight="false" outlineLevel="0" collapsed="false">
      <c r="A53" s="0" t="n">
        <v>50</v>
      </c>
      <c r="B53" s="0" t="s">
        <v>4</v>
      </c>
      <c r="C53" s="0" t="s">
        <v>1</v>
      </c>
      <c r="D53" s="0" t="s">
        <v>2</v>
      </c>
      <c r="E53" s="0" t="n">
        <f aca="false">(IF($B53="V",1,0))+IF($C53="V",1,0)+IF($D53="V",1,0)</f>
        <v>1</v>
      </c>
      <c r="F53" s="0" t="n">
        <f aca="false">(IF($B53="E",1,0))+IF($C53="E",1,0)+IF($D53="E",1,0)</f>
        <v>1</v>
      </c>
      <c r="G53" s="0" t="n">
        <f aca="false">(IF($B53="O",1,0))+IF($C53="O",1,0)+IF($D53="O",1,0)</f>
        <v>0</v>
      </c>
      <c r="H53" s="0" t="n">
        <f aca="false">(IF($B53="L",1,0))+IF($C53="L",1,0)+IF($D53="L",1,0)</f>
        <v>1</v>
      </c>
      <c r="I53" s="0" t="n">
        <f aca="false">(IF(B53="V",1,0))</f>
        <v>0</v>
      </c>
      <c r="J53" s="0" t="n">
        <f aca="false">(IF(B53="E",1,0))</f>
        <v>0</v>
      </c>
      <c r="K53" s="0" t="n">
        <f aca="false">(IF(B53="O",1,0))</f>
        <v>0</v>
      </c>
      <c r="L53" s="0" t="n">
        <f aca="false">(IF(B53="L",1,0))</f>
        <v>1</v>
      </c>
      <c r="M53" s="0" t="n">
        <f aca="false">(IF(C53="V",1,0))</f>
        <v>1</v>
      </c>
      <c r="N53" s="0" t="n">
        <f aca="false">(IF(C53="E",1,0))</f>
        <v>0</v>
      </c>
      <c r="O53" s="0" t="n">
        <f aca="false">(IF(C53="O",1,0))</f>
        <v>0</v>
      </c>
      <c r="P53" s="0" t="n">
        <f aca="false">(IF(C53="L",1,0))</f>
        <v>0</v>
      </c>
      <c r="Q53" s="0" t="n">
        <f aca="false">(IF(D53="V",1,0))</f>
        <v>0</v>
      </c>
      <c r="R53" s="0" t="n">
        <f aca="false">(IF(D53="E",1,0))</f>
        <v>1</v>
      </c>
      <c r="S53" s="0" t="n">
        <f aca="false">(IF(D53="O",1,0))</f>
        <v>0</v>
      </c>
      <c r="T53" s="0" t="n">
        <f aca="false">(IF(D53="L",1,0))</f>
        <v>0</v>
      </c>
      <c r="U53" s="0" t="n">
        <f aca="false">MAX(E53-1,0)</f>
        <v>0</v>
      </c>
      <c r="V53" s="0" t="n">
        <f aca="false">MAX(U53-1+F53,0)</f>
        <v>0</v>
      </c>
      <c r="W53" s="0" t="n">
        <f aca="false">MAX(V53-1+G53,0)</f>
        <v>0</v>
      </c>
      <c r="X53" s="0" t="n">
        <f aca="false">MAX(W53-1+H53,0)</f>
        <v>0</v>
      </c>
      <c r="Y53" s="1" t="n">
        <f aca="false">0.5*(E53*I53+F53*J53+G53*K53+H53*L53-1)+(0+$U53*J53+$V53*K53+$W53*L53)</f>
        <v>0</v>
      </c>
      <c r="Z53" s="1" t="n">
        <f aca="false">0.5*(E53*M53+F53*N53+G53*O53+H53*P53-1)+(0+$U53*N53+$V53*O53+$W53*P53)</f>
        <v>0</v>
      </c>
      <c r="AA53" s="1" t="n">
        <f aca="false">0.5*(E53*Q53+F53*R53+G53*S53+H53*T53-1)+(0+$U53*R53+$V53*S53+$W53*T53)</f>
        <v>0</v>
      </c>
      <c r="AB53" s="0" t="n">
        <f aca="false">IF(B53="V",-2,0)+IF(B53="E",-1,0)+IF(B53="O",0,0)+IF(B53="L",1,0)+Y53</f>
        <v>1</v>
      </c>
      <c r="AC53" s="0" t="n">
        <f aca="false">IF(C53="V",-2,0)+IF(C53="E",-1,0)+IF(C53="O",0,0)+IF(C53="L",1,0)+Z53</f>
        <v>-2</v>
      </c>
      <c r="AD53" s="0" t="n">
        <f aca="false">IF(D53="V",-2,0)+IF(D53="E",-1,0)+IF(D53="O",0,0)+IF(D53="L",1,0)+AA53</f>
        <v>-1</v>
      </c>
      <c r="AE53" s="1" t="n">
        <f aca="false">IF(B53="V",-2,0)+IF(B53="E",-1,0)+IF(B53="O",0,0)+IF(B53="L",1,0)</f>
        <v>1</v>
      </c>
      <c r="AF53" s="1" t="n">
        <f aca="false">IF(B53="V",-2,0)+IF(B53="E",-1,0)+IF(B53="O",0,0)+IF(B53="L",1,0)+Y53</f>
        <v>1</v>
      </c>
      <c r="AG53" s="1" t="n">
        <f aca="false">IF(B53="V",-2,0)+IF(B53="E",-1,0)+IF(B53="O",0,0)+IF(B53="L",1,0)+Y53*2</f>
        <v>1</v>
      </c>
      <c r="AH53" s="1" t="n">
        <f aca="false">IF(C53="V",-2,0)+IF(C53="E",-1,0)+IF(C53="O",0,0)+IF(C53="L",1,0)</f>
        <v>-2</v>
      </c>
      <c r="AI53" s="1" t="n">
        <f aca="false">IF(C53="V",-2,0)+IF(C53="E",-1,0)+IF(C53="O",0,0)+IF(C53="L",1,0)+Z53</f>
        <v>-2</v>
      </c>
      <c r="AJ53" s="1" t="n">
        <f aca="false">IF(C53="V",-2,0)+IF(C53="E",-1,0)+IF(C53="O",0,0)+IF(C53="L",1,0)+Z53*2</f>
        <v>-2</v>
      </c>
      <c r="AK53" s="1" t="n">
        <f aca="false">IF(D53="V",-2,0)+IF(D53="E",-1,0)+IF(D53="O",0,0)+IF(D53="L",1,0)</f>
        <v>-1</v>
      </c>
      <c r="AL53" s="1" t="n">
        <f aca="false">IF(D53="V",-2,0)+IF(D53="E",-1,0)+IF(D53="O",0,0)+IF(D53="L",1,0)+AA53</f>
        <v>-1</v>
      </c>
      <c r="AM53" s="1" t="n">
        <f aca="false">IF(D53="V",-2,0)+IF(D53="E",-1,0)+IF(D53="O",0,0)+IF(D53="L",1,0)+AA53*2</f>
        <v>-1</v>
      </c>
      <c r="AN53" s="1" t="n">
        <f aca="false">(ABS(IF(AE53&lt;0,AE53*Early,AE53*Late))+ABS(IF(AF53&lt;0,AF53*Early,AF53*Late))+ABS(IF(AG53&lt;0,AG53*Early,AG53*Late)))/3</f>
        <v>4</v>
      </c>
      <c r="AO53" s="1" t="n">
        <f aca="false">(ABS(IF(AH53&lt;0,AH53*Early,AH53*Late))+ABS(IF(AI53&lt;0,AI53*Early,AI53*Late))+ABS(IF(AJ53&lt;0,AJ53*Early,AJ53*Late)))/3</f>
        <v>6</v>
      </c>
      <c r="AP53" s="1" t="n">
        <f aca="false">(ABS(IF(AK53&lt;0,AK53*Early,AK53*Late))+ABS(IF(AL53&lt;0,AL53*Early,AL53*Late))+ABS(IF(AM53&lt;0,AM53*Early,AM53*Late)))/3</f>
        <v>3</v>
      </c>
      <c r="AQ53" s="0" t="n">
        <f aca="false">Y53*Delay+AN53</f>
        <v>4</v>
      </c>
      <c r="AR53" s="0" t="n">
        <f aca="false">Z53*Delay+AO53</f>
        <v>6</v>
      </c>
      <c r="AS53" s="0" t="n">
        <f aca="false">AA53*Delay+AP53</f>
        <v>3</v>
      </c>
      <c r="AT53" s="0" t="n">
        <f aca="false">IF(AQ53=MIN(AQ50:AQ53),1,0)</f>
        <v>0</v>
      </c>
      <c r="AX53" s="0" t="str">
        <f aca="false">B53&amp;C53&amp;D53</f>
        <v>LVE</v>
      </c>
      <c r="AY53" s="1" t="n">
        <f aca="false">AQ53+AR53+AS53</f>
        <v>13</v>
      </c>
      <c r="AZ53" s="1" t="str">
        <f aca="false">RIGHT(AX53,2)</f>
        <v>VE</v>
      </c>
      <c r="BA53" s="1" t="str">
        <f aca="false">LEFT(AX53,1)&amp;RIGHT(AX53,1)</f>
        <v>LE</v>
      </c>
      <c r="BB53" s="1" t="str">
        <f aca="false">LEFT(AX53,2)</f>
        <v>LV</v>
      </c>
      <c r="BC53" s="1" t="n">
        <f aca="false">VLOOKUP(AZ53,TwoPlayers!$AG$1:$AH$17,2,FALSE())</f>
        <v>9</v>
      </c>
      <c r="BD53" s="1" t="n">
        <f aca="false">VLOOKUP(BA53,TwoPlayers!$AG$1:$AH$17,2,FALSE())</f>
        <v>7</v>
      </c>
      <c r="BE53" s="1" t="n">
        <f aca="false">VLOOKUP(BB53,TwoPlayers!$AG$1:$AH$17,2,FALSE())</f>
        <v>10</v>
      </c>
      <c r="BF53" s="1" t="n">
        <f aca="false">$AY53-BC53</f>
        <v>4</v>
      </c>
      <c r="BG53" s="1" t="n">
        <f aca="false">$AY53-BD53</f>
        <v>6</v>
      </c>
      <c r="BH53" s="1" t="n">
        <f aca="false">$AY53-BE53</f>
        <v>3</v>
      </c>
      <c r="BJ53" s="0" t="n">
        <f aca="false">AQ53+BF53</f>
        <v>8</v>
      </c>
      <c r="BK53" s="0" t="n">
        <f aca="false">AR53+BG53</f>
        <v>12</v>
      </c>
      <c r="BL53" s="0" t="n">
        <f aca="false">AS53+BH53</f>
        <v>6</v>
      </c>
      <c r="BM53" s="0" t="n">
        <f aca="false">IF(BJ53=MIN(BJ50:BJ54),1,0)</f>
        <v>0</v>
      </c>
    </row>
    <row r="54" customFormat="false" ht="13" hidden="false" customHeight="false" outlineLevel="0" collapsed="false">
      <c r="A54" s="0" t="n">
        <v>4</v>
      </c>
      <c r="B54" s="0" t="s">
        <v>1</v>
      </c>
      <c r="C54" s="0" t="s">
        <v>1</v>
      </c>
      <c r="D54" s="0" t="s">
        <v>4</v>
      </c>
      <c r="E54" s="0" t="n">
        <f aca="false">(IF($B54="V",1,0))+IF($C54="V",1,0)+IF($D54="V",1,0)</f>
        <v>2</v>
      </c>
      <c r="F54" s="0" t="n">
        <f aca="false">(IF($B54="E",1,0))+IF($C54="E",1,0)+IF($D54="E",1,0)</f>
        <v>0</v>
      </c>
      <c r="G54" s="0" t="n">
        <f aca="false">(IF($B54="O",1,0))+IF($C54="O",1,0)+IF($D54="O",1,0)</f>
        <v>0</v>
      </c>
      <c r="H54" s="0" t="n">
        <f aca="false">(IF($B54="L",1,0))+IF($C54="L",1,0)+IF($D54="L",1,0)</f>
        <v>1</v>
      </c>
      <c r="I54" s="0" t="n">
        <f aca="false">(IF(B54="V",1,0))</f>
        <v>1</v>
      </c>
      <c r="J54" s="0" t="n">
        <f aca="false">(IF(B54="E",1,0))</f>
        <v>0</v>
      </c>
      <c r="K54" s="0" t="n">
        <f aca="false">(IF(B54="O",1,0))</f>
        <v>0</v>
      </c>
      <c r="L54" s="0" t="n">
        <f aca="false">(IF(B54="L",1,0))</f>
        <v>0</v>
      </c>
      <c r="M54" s="0" t="n">
        <f aca="false">(IF(C54="V",1,0))</f>
        <v>1</v>
      </c>
      <c r="N54" s="0" t="n">
        <f aca="false">(IF(C54="E",1,0))</f>
        <v>0</v>
      </c>
      <c r="O54" s="0" t="n">
        <f aca="false">(IF(C54="O",1,0))</f>
        <v>0</v>
      </c>
      <c r="P54" s="0" t="n">
        <f aca="false">(IF(C54="L",1,0))</f>
        <v>0</v>
      </c>
      <c r="Q54" s="0" t="n">
        <f aca="false">(IF(D54="V",1,0))</f>
        <v>0</v>
      </c>
      <c r="R54" s="0" t="n">
        <f aca="false">(IF(D54="E",1,0))</f>
        <v>0</v>
      </c>
      <c r="S54" s="0" t="n">
        <f aca="false">(IF(D54="O",1,0))</f>
        <v>0</v>
      </c>
      <c r="T54" s="0" t="n">
        <f aca="false">(IF(D54="L",1,0))</f>
        <v>1</v>
      </c>
      <c r="U54" s="0" t="n">
        <f aca="false">MAX(E54-1,0)</f>
        <v>1</v>
      </c>
      <c r="V54" s="0" t="n">
        <f aca="false">MAX(U54-1+F54,0)</f>
        <v>0</v>
      </c>
      <c r="W54" s="0" t="n">
        <f aca="false">MAX(V54-1+G54,0)</f>
        <v>0</v>
      </c>
      <c r="X54" s="0" t="n">
        <f aca="false">MAX(W54-1+H54,0)</f>
        <v>0</v>
      </c>
      <c r="Y54" s="1" t="n">
        <f aca="false">0.5*(E54*I54+F54*J54+G54*K54+H54*L54-1)+(0+$U54*J54+$V54*K54+$W54*L54)</f>
        <v>0.5</v>
      </c>
      <c r="Z54" s="1" t="n">
        <f aca="false">0.5*(E54*M54+F54*N54+G54*O54+H54*P54-1)+(0+$U54*N54+$V54*O54+$W54*P54)</f>
        <v>0.5</v>
      </c>
      <c r="AA54" s="1" t="n">
        <f aca="false">0.5*(E54*Q54+F54*R54+G54*S54+H54*T54-1)+(0+$U54*R54+$V54*S54+$W54*T54)</f>
        <v>0</v>
      </c>
      <c r="AB54" s="0" t="n">
        <f aca="false">IF(B54="V",-2,0)+IF(B54="E",-1,0)+IF(B54="O",0,0)+IF(B54="L",1,0)+Y54</f>
        <v>-1.5</v>
      </c>
      <c r="AC54" s="0" t="n">
        <f aca="false">IF(C54="V",-2,0)+IF(C54="E",-1,0)+IF(C54="O",0,0)+IF(C54="L",1,0)+Z54</f>
        <v>-1.5</v>
      </c>
      <c r="AD54" s="0" t="n">
        <f aca="false">IF(D54="V",-2,0)+IF(D54="E",-1,0)+IF(D54="O",0,0)+IF(D54="L",1,0)+AA54</f>
        <v>1</v>
      </c>
      <c r="AE54" s="1" t="n">
        <f aca="false">IF(B54="V",-2,0)+IF(B54="E",-1,0)+IF(B54="O",0,0)+IF(B54="L",1,0)</f>
        <v>-2</v>
      </c>
      <c r="AF54" s="1" t="n">
        <f aca="false">IF(B54="V",-2,0)+IF(B54="E",-1,0)+IF(B54="O",0,0)+IF(B54="L",1,0)+Y54</f>
        <v>-1.5</v>
      </c>
      <c r="AG54" s="1" t="n">
        <f aca="false">IF(B54="V",-2,0)+IF(B54="E",-1,0)+IF(B54="O",0,0)+IF(B54="L",1,0)+Y54*2</f>
        <v>-1</v>
      </c>
      <c r="AH54" s="1" t="n">
        <f aca="false">IF(C54="V",-2,0)+IF(C54="E",-1,0)+IF(C54="O",0,0)+IF(C54="L",1,0)</f>
        <v>-2</v>
      </c>
      <c r="AI54" s="1" t="n">
        <f aca="false">IF(C54="V",-2,0)+IF(C54="E",-1,0)+IF(C54="O",0,0)+IF(C54="L",1,0)+Z54</f>
        <v>-1.5</v>
      </c>
      <c r="AJ54" s="1" t="n">
        <f aca="false">IF(C54="V",-2,0)+IF(C54="E",-1,0)+IF(C54="O",0,0)+IF(C54="L",1,0)+Z54*2</f>
        <v>-1</v>
      </c>
      <c r="AK54" s="1" t="n">
        <f aca="false">IF(D54="V",-2,0)+IF(D54="E",-1,0)+IF(D54="O",0,0)+IF(D54="L",1,0)</f>
        <v>1</v>
      </c>
      <c r="AL54" s="1" t="n">
        <f aca="false">IF(D54="V",-2,0)+IF(D54="E",-1,0)+IF(D54="O",0,0)+IF(D54="L",1,0)+AA54</f>
        <v>1</v>
      </c>
      <c r="AM54" s="1" t="n">
        <f aca="false">IF(D54="V",-2,0)+IF(D54="E",-1,0)+IF(D54="O",0,0)+IF(D54="L",1,0)+AA54*2</f>
        <v>1</v>
      </c>
      <c r="AN54" s="1" t="n">
        <f aca="false">(ABS(IF(AE54&lt;0,AE54*Early,AE54*Late))+ABS(IF(AF54&lt;0,AF54*Early,AF54*Late))+ABS(IF(AG54&lt;0,AG54*Early,AG54*Late)))/3</f>
        <v>4.5</v>
      </c>
      <c r="AO54" s="1" t="n">
        <f aca="false">(ABS(IF(AH54&lt;0,AH54*Early,AH54*Late))+ABS(IF(AI54&lt;0,AI54*Early,AI54*Late))+ABS(IF(AJ54&lt;0,AJ54*Early,AJ54*Late)))/3</f>
        <v>4.5</v>
      </c>
      <c r="AP54" s="1" t="n">
        <f aca="false">(ABS(IF(AK54&lt;0,AK54*Early,AK54*Late))+ABS(IF(AL54&lt;0,AL54*Early,AL54*Late))+ABS(IF(AM54&lt;0,AM54*Early,AM54*Late)))/3</f>
        <v>4</v>
      </c>
      <c r="AQ54" s="0" t="n">
        <f aca="false">Y54*Delay+AN54</f>
        <v>5</v>
      </c>
      <c r="AR54" s="0" t="n">
        <f aca="false">Z54*Delay+AO54</f>
        <v>5</v>
      </c>
      <c r="AS54" s="0" t="n">
        <f aca="false">AA54*Delay+AP54</f>
        <v>4</v>
      </c>
      <c r="AT54" s="0" t="n">
        <f aca="false">IF(AQ54=MIN(AQ54:AQ57),1,0)</f>
        <v>0</v>
      </c>
      <c r="AX54" s="0" t="str">
        <f aca="false">B54&amp;C54&amp;D54</f>
        <v>VVL</v>
      </c>
      <c r="AY54" s="1" t="n">
        <f aca="false">AQ54+AR54+AS54</f>
        <v>14</v>
      </c>
      <c r="AZ54" s="1" t="str">
        <f aca="false">RIGHT(AX54,2)</f>
        <v>VL</v>
      </c>
      <c r="BA54" s="1" t="str">
        <f aca="false">LEFT(AX54,1)&amp;RIGHT(AX54,1)</f>
        <v>VL</v>
      </c>
      <c r="BB54" s="1" t="str">
        <f aca="false">LEFT(AX54,2)</f>
        <v>VV</v>
      </c>
      <c r="BC54" s="1" t="n">
        <f aca="false">VLOOKUP(AZ54,TwoPlayers!$AG$1:$AH$17,2,FALSE())</f>
        <v>10</v>
      </c>
      <c r="BD54" s="1" t="n">
        <f aca="false">VLOOKUP(BA54,TwoPlayers!$AG$1:$AH$17,2,FALSE())</f>
        <v>10</v>
      </c>
      <c r="BE54" s="1" t="n">
        <f aca="false">VLOOKUP(BB54,TwoPlayers!$AG$1:$AH$17,2,FALSE())</f>
        <v>10</v>
      </c>
      <c r="BF54" s="1" t="n">
        <f aca="false">$AY54-BC54</f>
        <v>4</v>
      </c>
      <c r="BG54" s="1" t="n">
        <f aca="false">$AY54-BD54</f>
        <v>4</v>
      </c>
      <c r="BH54" s="1" t="n">
        <f aca="false">$AY54-BE54</f>
        <v>4</v>
      </c>
      <c r="BJ54" s="0" t="n">
        <f aca="false">AQ54+BF54</f>
        <v>9</v>
      </c>
      <c r="BK54" s="0" t="n">
        <f aca="false">AR54+BG54</f>
        <v>9</v>
      </c>
      <c r="BL54" s="0" t="n">
        <f aca="false">AS54+BH54</f>
        <v>8</v>
      </c>
      <c r="BM54" s="0" t="n">
        <f aca="false">IF(BJ54=MIN(BJ54:BJ58),1,0)</f>
        <v>0</v>
      </c>
    </row>
    <row r="55" customFormat="false" ht="13" hidden="false" customHeight="false" outlineLevel="0" collapsed="false">
      <c r="A55" s="0" t="n">
        <v>20</v>
      </c>
      <c r="B55" s="0" t="s">
        <v>2</v>
      </c>
      <c r="C55" s="0" t="s">
        <v>1</v>
      </c>
      <c r="D55" s="0" t="s">
        <v>4</v>
      </c>
      <c r="E55" s="0" t="n">
        <f aca="false">(IF($B55="V",1,0))+IF($C55="V",1,0)+IF($D55="V",1,0)</f>
        <v>1</v>
      </c>
      <c r="F55" s="0" t="n">
        <f aca="false">(IF($B55="E",1,0))+IF($C55="E",1,0)+IF($D55="E",1,0)</f>
        <v>1</v>
      </c>
      <c r="G55" s="0" t="n">
        <f aca="false">(IF($B55="O",1,0))+IF($C55="O",1,0)+IF($D55="O",1,0)</f>
        <v>0</v>
      </c>
      <c r="H55" s="0" t="n">
        <f aca="false">(IF($B55="L",1,0))+IF($C55="L",1,0)+IF($D55="L",1,0)</f>
        <v>1</v>
      </c>
      <c r="I55" s="0" t="n">
        <f aca="false">(IF(B55="V",1,0))</f>
        <v>0</v>
      </c>
      <c r="J55" s="0" t="n">
        <f aca="false">(IF(B55="E",1,0))</f>
        <v>1</v>
      </c>
      <c r="K55" s="0" t="n">
        <f aca="false">(IF(B55="O",1,0))</f>
        <v>0</v>
      </c>
      <c r="L55" s="0" t="n">
        <f aca="false">(IF(B55="L",1,0))</f>
        <v>0</v>
      </c>
      <c r="M55" s="0" t="n">
        <f aca="false">(IF(C55="V",1,0))</f>
        <v>1</v>
      </c>
      <c r="N55" s="0" t="n">
        <f aca="false">(IF(C55="E",1,0))</f>
        <v>0</v>
      </c>
      <c r="O55" s="0" t="n">
        <f aca="false">(IF(C55="O",1,0))</f>
        <v>0</v>
      </c>
      <c r="P55" s="0" t="n">
        <f aca="false">(IF(C55="L",1,0))</f>
        <v>0</v>
      </c>
      <c r="Q55" s="0" t="n">
        <f aca="false">(IF(D55="V",1,0))</f>
        <v>0</v>
      </c>
      <c r="R55" s="0" t="n">
        <f aca="false">(IF(D55="E",1,0))</f>
        <v>0</v>
      </c>
      <c r="S55" s="0" t="n">
        <f aca="false">(IF(D55="O",1,0))</f>
        <v>0</v>
      </c>
      <c r="T55" s="0" t="n">
        <f aca="false">(IF(D55="L",1,0))</f>
        <v>1</v>
      </c>
      <c r="U55" s="0" t="n">
        <f aca="false">MAX(E55-1,0)</f>
        <v>0</v>
      </c>
      <c r="V55" s="0" t="n">
        <f aca="false">MAX(U55-1+F55,0)</f>
        <v>0</v>
      </c>
      <c r="W55" s="0" t="n">
        <f aca="false">MAX(V55-1+G55,0)</f>
        <v>0</v>
      </c>
      <c r="X55" s="0" t="n">
        <f aca="false">MAX(W55-1+H55,0)</f>
        <v>0</v>
      </c>
      <c r="Y55" s="1" t="n">
        <f aca="false">0.5*(E55*I55+F55*J55+G55*K55+H55*L55-1)+(0+$U55*J55+$V55*K55+$W55*L55)</f>
        <v>0</v>
      </c>
      <c r="Z55" s="1" t="n">
        <f aca="false">0.5*(E55*M55+F55*N55+G55*O55+H55*P55-1)+(0+$U55*N55+$V55*O55+$W55*P55)</f>
        <v>0</v>
      </c>
      <c r="AA55" s="1" t="n">
        <f aca="false">0.5*(E55*Q55+F55*R55+G55*S55+H55*T55-1)+(0+$U55*R55+$V55*S55+$W55*T55)</f>
        <v>0</v>
      </c>
      <c r="AB55" s="0" t="n">
        <f aca="false">IF(B55="V",-2,0)+IF(B55="E",-1,0)+IF(B55="O",0,0)+IF(B55="L",1,0)+Y55</f>
        <v>-1</v>
      </c>
      <c r="AC55" s="0" t="n">
        <f aca="false">IF(C55="V",-2,0)+IF(C55="E",-1,0)+IF(C55="O",0,0)+IF(C55="L",1,0)+Z55</f>
        <v>-2</v>
      </c>
      <c r="AD55" s="0" t="n">
        <f aca="false">IF(D55="V",-2,0)+IF(D55="E",-1,0)+IF(D55="O",0,0)+IF(D55="L",1,0)+AA55</f>
        <v>1</v>
      </c>
      <c r="AE55" s="1" t="n">
        <f aca="false">IF(B55="V",-2,0)+IF(B55="E",-1,0)+IF(B55="O",0,0)+IF(B55="L",1,0)</f>
        <v>-1</v>
      </c>
      <c r="AF55" s="1" t="n">
        <f aca="false">IF(B55="V",-2,0)+IF(B55="E",-1,0)+IF(B55="O",0,0)+IF(B55="L",1,0)+Y55</f>
        <v>-1</v>
      </c>
      <c r="AG55" s="1" t="n">
        <f aca="false">IF(B55="V",-2,0)+IF(B55="E",-1,0)+IF(B55="O",0,0)+IF(B55="L",1,0)+Y55*2</f>
        <v>-1</v>
      </c>
      <c r="AH55" s="1" t="n">
        <f aca="false">IF(C55="V",-2,0)+IF(C55="E",-1,0)+IF(C55="O",0,0)+IF(C55="L",1,0)</f>
        <v>-2</v>
      </c>
      <c r="AI55" s="1" t="n">
        <f aca="false">IF(C55="V",-2,0)+IF(C55="E",-1,0)+IF(C55="O",0,0)+IF(C55="L",1,0)+Z55</f>
        <v>-2</v>
      </c>
      <c r="AJ55" s="1" t="n">
        <f aca="false">IF(C55="V",-2,0)+IF(C55="E",-1,0)+IF(C55="O",0,0)+IF(C55="L",1,0)+Z55*2</f>
        <v>-2</v>
      </c>
      <c r="AK55" s="1" t="n">
        <f aca="false">IF(D55="V",-2,0)+IF(D55="E",-1,0)+IF(D55="O",0,0)+IF(D55="L",1,0)</f>
        <v>1</v>
      </c>
      <c r="AL55" s="1" t="n">
        <f aca="false">IF(D55="V",-2,0)+IF(D55="E",-1,0)+IF(D55="O",0,0)+IF(D55="L",1,0)+AA55</f>
        <v>1</v>
      </c>
      <c r="AM55" s="1" t="n">
        <f aca="false">IF(D55="V",-2,0)+IF(D55="E",-1,0)+IF(D55="O",0,0)+IF(D55="L",1,0)+AA55*2</f>
        <v>1</v>
      </c>
      <c r="AN55" s="1" t="n">
        <f aca="false">(ABS(IF(AE55&lt;0,AE55*Early,AE55*Late))+ABS(IF(AF55&lt;0,AF55*Early,AF55*Late))+ABS(IF(AG55&lt;0,AG55*Early,AG55*Late)))/3</f>
        <v>3</v>
      </c>
      <c r="AO55" s="1" t="n">
        <f aca="false">(ABS(IF(AH55&lt;0,AH55*Early,AH55*Late))+ABS(IF(AI55&lt;0,AI55*Early,AI55*Late))+ABS(IF(AJ55&lt;0,AJ55*Early,AJ55*Late)))/3</f>
        <v>6</v>
      </c>
      <c r="AP55" s="1" t="n">
        <f aca="false">(ABS(IF(AK55&lt;0,AK55*Early,AK55*Late))+ABS(IF(AL55&lt;0,AL55*Early,AL55*Late))+ABS(IF(AM55&lt;0,AM55*Early,AM55*Late)))/3</f>
        <v>4</v>
      </c>
      <c r="AQ55" s="0" t="n">
        <f aca="false">Y55*Delay+AN55</f>
        <v>3</v>
      </c>
      <c r="AR55" s="0" t="n">
        <f aca="false">Z55*Delay+AO55</f>
        <v>6</v>
      </c>
      <c r="AS55" s="0" t="n">
        <f aca="false">AA55*Delay+AP55</f>
        <v>4</v>
      </c>
      <c r="AT55" s="0" t="n">
        <f aca="false">IF(AQ55=MIN(AQ54:AQ57),1,0)</f>
        <v>0</v>
      </c>
      <c r="AX55" s="0" t="str">
        <f aca="false">B55&amp;C55&amp;D55</f>
        <v>EVL</v>
      </c>
      <c r="AY55" s="1" t="n">
        <f aca="false">AQ55+AR55+AS55</f>
        <v>13</v>
      </c>
      <c r="AZ55" s="1" t="str">
        <f aca="false">RIGHT(AX55,2)</f>
        <v>VL</v>
      </c>
      <c r="BA55" s="1" t="str">
        <f aca="false">LEFT(AX55,1)&amp;RIGHT(AX55,1)</f>
        <v>EL</v>
      </c>
      <c r="BB55" s="1" t="str">
        <f aca="false">LEFT(AX55,2)</f>
        <v>EV</v>
      </c>
      <c r="BC55" s="1" t="n">
        <f aca="false">VLOOKUP(AZ55,TwoPlayers!$AG$1:$AH$17,2,FALSE())</f>
        <v>10</v>
      </c>
      <c r="BD55" s="1" t="n">
        <f aca="false">VLOOKUP(BA55,TwoPlayers!$AG$1:$AH$17,2,FALSE())</f>
        <v>7</v>
      </c>
      <c r="BE55" s="1" t="n">
        <f aca="false">VLOOKUP(BB55,TwoPlayers!$AG$1:$AH$17,2,FALSE())</f>
        <v>9</v>
      </c>
      <c r="BF55" s="1" t="n">
        <f aca="false">$AY55-BC55</f>
        <v>3</v>
      </c>
      <c r="BG55" s="1" t="n">
        <f aca="false">$AY55-BD55</f>
        <v>6</v>
      </c>
      <c r="BH55" s="1" t="n">
        <f aca="false">$AY55-BE55</f>
        <v>4</v>
      </c>
      <c r="BJ55" s="0" t="n">
        <f aca="false">AQ55+BF55</f>
        <v>6</v>
      </c>
      <c r="BK55" s="0" t="n">
        <f aca="false">AR55+BG55</f>
        <v>12</v>
      </c>
      <c r="BL55" s="0" t="n">
        <f aca="false">AS55+BH55</f>
        <v>8</v>
      </c>
      <c r="BM55" s="0" t="n">
        <f aca="false">IF(BJ55=MIN(BJ54:BJ58),1,0)</f>
        <v>0</v>
      </c>
    </row>
    <row r="56" customFormat="false" ht="13" hidden="false" customHeight="false" outlineLevel="0" collapsed="false">
      <c r="A56" s="0" t="n">
        <v>36</v>
      </c>
      <c r="B56" s="0" t="s">
        <v>3</v>
      </c>
      <c r="C56" s="0" t="s">
        <v>1</v>
      </c>
      <c r="D56" s="0" t="s">
        <v>4</v>
      </c>
      <c r="E56" s="0" t="n">
        <f aca="false">(IF($B56="V",1,0))+IF($C56="V",1,0)+IF($D56="V",1,0)</f>
        <v>1</v>
      </c>
      <c r="F56" s="0" t="n">
        <f aca="false">(IF($B56="E",1,0))+IF($C56="E",1,0)+IF($D56="E",1,0)</f>
        <v>0</v>
      </c>
      <c r="G56" s="0" t="n">
        <f aca="false">(IF($B56="O",1,0))+IF($C56="O",1,0)+IF($D56="O",1,0)</f>
        <v>1</v>
      </c>
      <c r="H56" s="0" t="n">
        <f aca="false">(IF($B56="L",1,0))+IF($C56="L",1,0)+IF($D56="L",1,0)</f>
        <v>1</v>
      </c>
      <c r="I56" s="0" t="n">
        <f aca="false">(IF(B56="V",1,0))</f>
        <v>0</v>
      </c>
      <c r="J56" s="0" t="n">
        <f aca="false">(IF(B56="E",1,0))</f>
        <v>0</v>
      </c>
      <c r="K56" s="0" t="n">
        <f aca="false">(IF(B56="O",1,0))</f>
        <v>1</v>
      </c>
      <c r="L56" s="0" t="n">
        <f aca="false">(IF(B56="L",1,0))</f>
        <v>0</v>
      </c>
      <c r="M56" s="0" t="n">
        <f aca="false">(IF(C56="V",1,0))</f>
        <v>1</v>
      </c>
      <c r="N56" s="0" t="n">
        <f aca="false">(IF(C56="E",1,0))</f>
        <v>0</v>
      </c>
      <c r="O56" s="0" t="n">
        <f aca="false">(IF(C56="O",1,0))</f>
        <v>0</v>
      </c>
      <c r="P56" s="0" t="n">
        <f aca="false">(IF(C56="L",1,0))</f>
        <v>0</v>
      </c>
      <c r="Q56" s="0" t="n">
        <f aca="false">(IF(D56="V",1,0))</f>
        <v>0</v>
      </c>
      <c r="R56" s="0" t="n">
        <f aca="false">(IF(D56="E",1,0))</f>
        <v>0</v>
      </c>
      <c r="S56" s="0" t="n">
        <f aca="false">(IF(D56="O",1,0))</f>
        <v>0</v>
      </c>
      <c r="T56" s="0" t="n">
        <f aca="false">(IF(D56="L",1,0))</f>
        <v>1</v>
      </c>
      <c r="U56" s="0" t="n">
        <f aca="false">MAX(E56-1,0)</f>
        <v>0</v>
      </c>
      <c r="V56" s="0" t="n">
        <f aca="false">MAX(U56-1+F56,0)</f>
        <v>0</v>
      </c>
      <c r="W56" s="0" t="n">
        <f aca="false">MAX(V56-1+G56,0)</f>
        <v>0</v>
      </c>
      <c r="X56" s="0" t="n">
        <f aca="false">MAX(W56-1+H56,0)</f>
        <v>0</v>
      </c>
      <c r="Y56" s="1" t="n">
        <f aca="false">0.5*(E56*I56+F56*J56+G56*K56+H56*L56-1)+(0+$U56*J56+$V56*K56+$W56*L56)</f>
        <v>0</v>
      </c>
      <c r="Z56" s="1" t="n">
        <f aca="false">0.5*(E56*M56+F56*N56+G56*O56+H56*P56-1)+(0+$U56*N56+$V56*O56+$W56*P56)</f>
        <v>0</v>
      </c>
      <c r="AA56" s="1" t="n">
        <f aca="false">0.5*(E56*Q56+F56*R56+G56*S56+H56*T56-1)+(0+$U56*R56+$V56*S56+$W56*T56)</f>
        <v>0</v>
      </c>
      <c r="AB56" s="0" t="n">
        <f aca="false">IF(B56="V",-2,0)+IF(B56="E",-1,0)+IF(B56="O",0,0)+IF(B56="L",1,0)+Y56</f>
        <v>0</v>
      </c>
      <c r="AC56" s="0" t="n">
        <f aca="false">IF(C56="V",-2,0)+IF(C56="E",-1,0)+IF(C56="O",0,0)+IF(C56="L",1,0)+Z56</f>
        <v>-2</v>
      </c>
      <c r="AD56" s="0" t="n">
        <f aca="false">IF(D56="V",-2,0)+IF(D56="E",-1,0)+IF(D56="O",0,0)+IF(D56="L",1,0)+AA56</f>
        <v>1</v>
      </c>
      <c r="AE56" s="1" t="n">
        <f aca="false">IF(B56="V",-2,0)+IF(B56="E",-1,0)+IF(B56="O",0,0)+IF(B56="L",1,0)</f>
        <v>0</v>
      </c>
      <c r="AF56" s="1" t="n">
        <f aca="false">IF(B56="V",-2,0)+IF(B56="E",-1,0)+IF(B56="O",0,0)+IF(B56="L",1,0)+Y56</f>
        <v>0</v>
      </c>
      <c r="AG56" s="1" t="n">
        <f aca="false">IF(B56="V",-2,0)+IF(B56="E",-1,0)+IF(B56="O",0,0)+IF(B56="L",1,0)+Y56*2</f>
        <v>0</v>
      </c>
      <c r="AH56" s="1" t="n">
        <f aca="false">IF(C56="V",-2,0)+IF(C56="E",-1,0)+IF(C56="O",0,0)+IF(C56="L",1,0)</f>
        <v>-2</v>
      </c>
      <c r="AI56" s="1" t="n">
        <f aca="false">IF(C56="V",-2,0)+IF(C56="E",-1,0)+IF(C56="O",0,0)+IF(C56="L",1,0)+Z56</f>
        <v>-2</v>
      </c>
      <c r="AJ56" s="1" t="n">
        <f aca="false">IF(C56="V",-2,0)+IF(C56="E",-1,0)+IF(C56="O",0,0)+IF(C56="L",1,0)+Z56*2</f>
        <v>-2</v>
      </c>
      <c r="AK56" s="1" t="n">
        <f aca="false">IF(D56="V",-2,0)+IF(D56="E",-1,0)+IF(D56="O",0,0)+IF(D56="L",1,0)</f>
        <v>1</v>
      </c>
      <c r="AL56" s="1" t="n">
        <f aca="false">IF(D56="V",-2,0)+IF(D56="E",-1,0)+IF(D56="O",0,0)+IF(D56="L",1,0)+AA56</f>
        <v>1</v>
      </c>
      <c r="AM56" s="1" t="n">
        <f aca="false">IF(D56="V",-2,0)+IF(D56="E",-1,0)+IF(D56="O",0,0)+IF(D56="L",1,0)+AA56*2</f>
        <v>1</v>
      </c>
      <c r="AN56" s="1" t="n">
        <f aca="false">(ABS(IF(AE56&lt;0,AE56*Early,AE56*Late))+ABS(IF(AF56&lt;0,AF56*Early,AF56*Late))+ABS(IF(AG56&lt;0,AG56*Early,AG56*Late)))/3</f>
        <v>0</v>
      </c>
      <c r="AO56" s="1" t="n">
        <f aca="false">(ABS(IF(AH56&lt;0,AH56*Early,AH56*Late))+ABS(IF(AI56&lt;0,AI56*Early,AI56*Late))+ABS(IF(AJ56&lt;0,AJ56*Early,AJ56*Late)))/3</f>
        <v>6</v>
      </c>
      <c r="AP56" s="1" t="n">
        <f aca="false">(ABS(IF(AK56&lt;0,AK56*Early,AK56*Late))+ABS(IF(AL56&lt;0,AL56*Early,AL56*Late))+ABS(IF(AM56&lt;0,AM56*Early,AM56*Late)))/3</f>
        <v>4</v>
      </c>
      <c r="AQ56" s="0" t="n">
        <f aca="false">Y56*Delay+AN56</f>
        <v>0</v>
      </c>
      <c r="AR56" s="0" t="n">
        <f aca="false">Z56*Delay+AO56</f>
        <v>6</v>
      </c>
      <c r="AS56" s="0" t="n">
        <f aca="false">AA56*Delay+AP56</f>
        <v>4</v>
      </c>
      <c r="AT56" s="0" t="n">
        <f aca="false">IF(AQ56=MIN(AQ54:AQ57),1,0)</f>
        <v>1</v>
      </c>
      <c r="AX56" s="0" t="str">
        <f aca="false">B56&amp;C56&amp;D56</f>
        <v>OVL</v>
      </c>
      <c r="AY56" s="1" t="n">
        <f aca="false">AQ56+AR56+AS56</f>
        <v>10</v>
      </c>
      <c r="AZ56" s="1" t="str">
        <f aca="false">RIGHT(AX56,2)</f>
        <v>VL</v>
      </c>
      <c r="BA56" s="1" t="str">
        <f aca="false">LEFT(AX56,1)&amp;RIGHT(AX56,1)</f>
        <v>OL</v>
      </c>
      <c r="BB56" s="1" t="str">
        <f aca="false">LEFT(AX56,2)</f>
        <v>OV</v>
      </c>
      <c r="BC56" s="1" t="n">
        <f aca="false">VLOOKUP(AZ56,TwoPlayers!$AG$1:$AH$17,2,FALSE())</f>
        <v>10</v>
      </c>
      <c r="BD56" s="1" t="n">
        <f aca="false">VLOOKUP(BA56,TwoPlayers!$AG$1:$AH$17,2,FALSE())</f>
        <v>4</v>
      </c>
      <c r="BE56" s="1" t="n">
        <f aca="false">VLOOKUP(BB56,TwoPlayers!$AG$1:$AH$17,2,FALSE())</f>
        <v>6</v>
      </c>
      <c r="BF56" s="1" t="n">
        <f aca="false">$AY56-BC56</f>
        <v>0</v>
      </c>
      <c r="BG56" s="1" t="n">
        <f aca="false">$AY56-BD56</f>
        <v>6</v>
      </c>
      <c r="BH56" s="1" t="n">
        <f aca="false">$AY56-BE56</f>
        <v>4</v>
      </c>
      <c r="BJ56" s="0" t="n">
        <f aca="false">AQ56+BF56</f>
        <v>0</v>
      </c>
      <c r="BK56" s="0" t="n">
        <f aca="false">AR56+BG56</f>
        <v>12</v>
      </c>
      <c r="BL56" s="0" t="n">
        <f aca="false">AS56+BH56</f>
        <v>8</v>
      </c>
      <c r="BM56" s="0" t="n">
        <f aca="false">IF(BJ56=MIN(BJ54:BJ58),1,0)</f>
        <v>1</v>
      </c>
    </row>
    <row r="57" customFormat="false" ht="13" hidden="false" customHeight="false" outlineLevel="0" collapsed="false">
      <c r="A57" s="0" t="n">
        <v>52</v>
      </c>
      <c r="B57" s="0" t="s">
        <v>4</v>
      </c>
      <c r="C57" s="0" t="s">
        <v>1</v>
      </c>
      <c r="D57" s="0" t="s">
        <v>4</v>
      </c>
      <c r="E57" s="0" t="n">
        <f aca="false">(IF($B57="V",1,0))+IF($C57="V",1,0)+IF($D57="V",1,0)</f>
        <v>1</v>
      </c>
      <c r="F57" s="0" t="n">
        <f aca="false">(IF($B57="E",1,0))+IF($C57="E",1,0)+IF($D57="E",1,0)</f>
        <v>0</v>
      </c>
      <c r="G57" s="0" t="n">
        <f aca="false">(IF($B57="O",1,0))+IF($C57="O",1,0)+IF($D57="O",1,0)</f>
        <v>0</v>
      </c>
      <c r="H57" s="0" t="n">
        <f aca="false">(IF($B57="L",1,0))+IF($C57="L",1,0)+IF($D57="L",1,0)</f>
        <v>2</v>
      </c>
      <c r="I57" s="0" t="n">
        <f aca="false">(IF(B57="V",1,0))</f>
        <v>0</v>
      </c>
      <c r="J57" s="0" t="n">
        <f aca="false">(IF(B57="E",1,0))</f>
        <v>0</v>
      </c>
      <c r="K57" s="0" t="n">
        <f aca="false">(IF(B57="O",1,0))</f>
        <v>0</v>
      </c>
      <c r="L57" s="0" t="n">
        <f aca="false">(IF(B57="L",1,0))</f>
        <v>1</v>
      </c>
      <c r="M57" s="0" t="n">
        <f aca="false">(IF(C57="V",1,0))</f>
        <v>1</v>
      </c>
      <c r="N57" s="0" t="n">
        <f aca="false">(IF(C57="E",1,0))</f>
        <v>0</v>
      </c>
      <c r="O57" s="0" t="n">
        <f aca="false">(IF(C57="O",1,0))</f>
        <v>0</v>
      </c>
      <c r="P57" s="0" t="n">
        <f aca="false">(IF(C57="L",1,0))</f>
        <v>0</v>
      </c>
      <c r="Q57" s="0" t="n">
        <f aca="false">(IF(D57="V",1,0))</f>
        <v>0</v>
      </c>
      <c r="R57" s="0" t="n">
        <f aca="false">(IF(D57="E",1,0))</f>
        <v>0</v>
      </c>
      <c r="S57" s="0" t="n">
        <f aca="false">(IF(D57="O",1,0))</f>
        <v>0</v>
      </c>
      <c r="T57" s="0" t="n">
        <f aca="false">(IF(D57="L",1,0))</f>
        <v>1</v>
      </c>
      <c r="U57" s="0" t="n">
        <f aca="false">MAX(E57-1,0)</f>
        <v>0</v>
      </c>
      <c r="V57" s="0" t="n">
        <f aca="false">MAX(U57-1+F57,0)</f>
        <v>0</v>
      </c>
      <c r="W57" s="0" t="n">
        <f aca="false">MAX(V57-1+G57,0)</f>
        <v>0</v>
      </c>
      <c r="X57" s="0" t="n">
        <f aca="false">MAX(W57-1+H57,0)</f>
        <v>1</v>
      </c>
      <c r="Y57" s="1" t="n">
        <f aca="false">0.5*(E57*I57+F57*J57+G57*K57+H57*L57-1)+(0+$U57*J57+$V57*K57+$W57*L57)</f>
        <v>0.5</v>
      </c>
      <c r="Z57" s="1" t="n">
        <f aca="false">0.5*(E57*M57+F57*N57+G57*O57+H57*P57-1)+(0+$U57*N57+$V57*O57+$W57*P57)</f>
        <v>0</v>
      </c>
      <c r="AA57" s="1" t="n">
        <f aca="false">0.5*(E57*Q57+F57*R57+G57*S57+H57*T57-1)+(0+$U57*R57+$V57*S57+$W57*T57)</f>
        <v>0.5</v>
      </c>
      <c r="AB57" s="0" t="n">
        <f aca="false">IF(B57="V",-2,0)+IF(B57="E",-1,0)+IF(B57="O",0,0)+IF(B57="L",1,0)+Y57</f>
        <v>1.5</v>
      </c>
      <c r="AC57" s="0" t="n">
        <f aca="false">IF(C57="V",-2,0)+IF(C57="E",-1,0)+IF(C57="O",0,0)+IF(C57="L",1,0)+Z57</f>
        <v>-2</v>
      </c>
      <c r="AD57" s="0" t="n">
        <f aca="false">IF(D57="V",-2,0)+IF(D57="E",-1,0)+IF(D57="O",0,0)+IF(D57="L",1,0)+AA57</f>
        <v>1.5</v>
      </c>
      <c r="AE57" s="1" t="n">
        <f aca="false">IF(B57="V",-2,0)+IF(B57="E",-1,0)+IF(B57="O",0,0)+IF(B57="L",1,0)</f>
        <v>1</v>
      </c>
      <c r="AF57" s="1" t="n">
        <f aca="false">IF(B57="V",-2,0)+IF(B57="E",-1,0)+IF(B57="O",0,0)+IF(B57="L",1,0)+Y57</f>
        <v>1.5</v>
      </c>
      <c r="AG57" s="1" t="n">
        <f aca="false">IF(B57="V",-2,0)+IF(B57="E",-1,0)+IF(B57="O",0,0)+IF(B57="L",1,0)+Y57*2</f>
        <v>2</v>
      </c>
      <c r="AH57" s="1" t="n">
        <f aca="false">IF(C57="V",-2,0)+IF(C57="E",-1,0)+IF(C57="O",0,0)+IF(C57="L",1,0)</f>
        <v>-2</v>
      </c>
      <c r="AI57" s="1" t="n">
        <f aca="false">IF(C57="V",-2,0)+IF(C57="E",-1,0)+IF(C57="O",0,0)+IF(C57="L",1,0)+Z57</f>
        <v>-2</v>
      </c>
      <c r="AJ57" s="1" t="n">
        <f aca="false">IF(C57="V",-2,0)+IF(C57="E",-1,0)+IF(C57="O",0,0)+IF(C57="L",1,0)+Z57*2</f>
        <v>-2</v>
      </c>
      <c r="AK57" s="1" t="n">
        <f aca="false">IF(D57="V",-2,0)+IF(D57="E",-1,0)+IF(D57="O",0,0)+IF(D57="L",1,0)</f>
        <v>1</v>
      </c>
      <c r="AL57" s="1" t="n">
        <f aca="false">IF(D57="V",-2,0)+IF(D57="E",-1,0)+IF(D57="O",0,0)+IF(D57="L",1,0)+AA57</f>
        <v>1.5</v>
      </c>
      <c r="AM57" s="1" t="n">
        <f aca="false">IF(D57="V",-2,0)+IF(D57="E",-1,0)+IF(D57="O",0,0)+IF(D57="L",1,0)+AA57*2</f>
        <v>2</v>
      </c>
      <c r="AN57" s="1" t="n">
        <f aca="false">(ABS(IF(AE57&lt;0,AE57*Early,AE57*Late))+ABS(IF(AF57&lt;0,AF57*Early,AF57*Late))+ABS(IF(AG57&lt;0,AG57*Early,AG57*Late)))/3</f>
        <v>6</v>
      </c>
      <c r="AO57" s="1" t="n">
        <f aca="false">(ABS(IF(AH57&lt;0,AH57*Early,AH57*Late))+ABS(IF(AI57&lt;0,AI57*Early,AI57*Late))+ABS(IF(AJ57&lt;0,AJ57*Early,AJ57*Late)))/3</f>
        <v>6</v>
      </c>
      <c r="AP57" s="1" t="n">
        <f aca="false">(ABS(IF(AK57&lt;0,AK57*Early,AK57*Late))+ABS(IF(AL57&lt;0,AL57*Early,AL57*Late))+ABS(IF(AM57&lt;0,AM57*Early,AM57*Late)))/3</f>
        <v>6</v>
      </c>
      <c r="AQ57" s="0" t="n">
        <f aca="false">Y57*Delay+AN57</f>
        <v>6.5</v>
      </c>
      <c r="AR57" s="0" t="n">
        <f aca="false">Z57*Delay+AO57</f>
        <v>6</v>
      </c>
      <c r="AS57" s="0" t="n">
        <f aca="false">AA57*Delay+AP57</f>
        <v>6.5</v>
      </c>
      <c r="AT57" s="0" t="n">
        <f aca="false">IF(AQ57=MIN(AQ54:AQ57),1,0)</f>
        <v>0</v>
      </c>
      <c r="AX57" s="0" t="str">
        <f aca="false">B57&amp;C57&amp;D57</f>
        <v>LVL</v>
      </c>
      <c r="AY57" s="1" t="n">
        <f aca="false">AQ57+AR57+AS57</f>
        <v>19</v>
      </c>
      <c r="AZ57" s="1" t="str">
        <f aca="false">RIGHT(AX57,2)</f>
        <v>VL</v>
      </c>
      <c r="BA57" s="1" t="str">
        <f aca="false">LEFT(AX57,1)&amp;RIGHT(AX57,1)</f>
        <v>LL</v>
      </c>
      <c r="BB57" s="1" t="str">
        <f aca="false">LEFT(AX57,2)</f>
        <v>LV</v>
      </c>
      <c r="BC57" s="1" t="n">
        <f aca="false">VLOOKUP(AZ57,TwoPlayers!$AG$1:$AH$17,2,FALSE())</f>
        <v>10</v>
      </c>
      <c r="BD57" s="1" t="n">
        <f aca="false">VLOOKUP(BA57,TwoPlayers!$AG$1:$AH$17,2,FALSE())</f>
        <v>13</v>
      </c>
      <c r="BE57" s="1" t="n">
        <f aca="false">VLOOKUP(BB57,TwoPlayers!$AG$1:$AH$17,2,FALSE())</f>
        <v>10</v>
      </c>
      <c r="BF57" s="1" t="n">
        <f aca="false">$AY57-BC57</f>
        <v>9</v>
      </c>
      <c r="BG57" s="1" t="n">
        <f aca="false">$AY57-BD57</f>
        <v>6</v>
      </c>
      <c r="BH57" s="1" t="n">
        <f aca="false">$AY57-BE57</f>
        <v>9</v>
      </c>
      <c r="BJ57" s="0" t="n">
        <f aca="false">AQ57+BF57</f>
        <v>15.5</v>
      </c>
      <c r="BK57" s="0" t="n">
        <f aca="false">AR57+BG57</f>
        <v>12</v>
      </c>
      <c r="BL57" s="0" t="n">
        <f aca="false">AS57+BH57</f>
        <v>15.5</v>
      </c>
      <c r="BM57" s="0" t="n">
        <f aca="false">IF(BJ57=MIN(BJ54:BJ58),1,0)</f>
        <v>0</v>
      </c>
    </row>
    <row r="58" customFormat="false" ht="13" hidden="false" customHeight="false" outlineLevel="0" collapsed="false">
      <c r="A58" s="0" t="n">
        <v>3</v>
      </c>
      <c r="B58" s="0" t="s">
        <v>1</v>
      </c>
      <c r="C58" s="0" t="s">
        <v>1</v>
      </c>
      <c r="D58" s="0" t="s">
        <v>3</v>
      </c>
      <c r="E58" s="0" t="n">
        <f aca="false">(IF($B58="V",1,0))+IF($C58="V",1,0)+IF($D58="V",1,0)</f>
        <v>2</v>
      </c>
      <c r="F58" s="0" t="n">
        <f aca="false">(IF($B58="E",1,0))+IF($C58="E",1,0)+IF($D58="E",1,0)</f>
        <v>0</v>
      </c>
      <c r="G58" s="0" t="n">
        <f aca="false">(IF($B58="O",1,0))+IF($C58="O",1,0)+IF($D58="O",1,0)</f>
        <v>1</v>
      </c>
      <c r="H58" s="0" t="n">
        <f aca="false">(IF($B58="L",1,0))+IF($C58="L",1,0)+IF($D58="L",1,0)</f>
        <v>0</v>
      </c>
      <c r="I58" s="0" t="n">
        <f aca="false">(IF(B58="V",1,0))</f>
        <v>1</v>
      </c>
      <c r="J58" s="0" t="n">
        <f aca="false">(IF(B58="E",1,0))</f>
        <v>0</v>
      </c>
      <c r="K58" s="0" t="n">
        <f aca="false">(IF(B58="O",1,0))</f>
        <v>0</v>
      </c>
      <c r="L58" s="0" t="n">
        <f aca="false">(IF(B58="L",1,0))</f>
        <v>0</v>
      </c>
      <c r="M58" s="0" t="n">
        <f aca="false">(IF(C58="V",1,0))</f>
        <v>1</v>
      </c>
      <c r="N58" s="0" t="n">
        <f aca="false">(IF(C58="E",1,0))</f>
        <v>0</v>
      </c>
      <c r="O58" s="0" t="n">
        <f aca="false">(IF(C58="O",1,0))</f>
        <v>0</v>
      </c>
      <c r="P58" s="0" t="n">
        <f aca="false">(IF(C58="L",1,0))</f>
        <v>0</v>
      </c>
      <c r="Q58" s="0" t="n">
        <f aca="false">(IF(D58="V",1,0))</f>
        <v>0</v>
      </c>
      <c r="R58" s="0" t="n">
        <f aca="false">(IF(D58="E",1,0))</f>
        <v>0</v>
      </c>
      <c r="S58" s="0" t="n">
        <f aca="false">(IF(D58="O",1,0))</f>
        <v>1</v>
      </c>
      <c r="T58" s="0" t="n">
        <f aca="false">(IF(D58="L",1,0))</f>
        <v>0</v>
      </c>
      <c r="U58" s="0" t="n">
        <f aca="false">MAX(E58-1,0)</f>
        <v>1</v>
      </c>
      <c r="V58" s="0" t="n">
        <f aca="false">MAX(U58-1+F58,0)</f>
        <v>0</v>
      </c>
      <c r="W58" s="0" t="n">
        <f aca="false">MAX(V58-1+G58,0)</f>
        <v>0</v>
      </c>
      <c r="X58" s="0" t="n">
        <f aca="false">MAX(W58-1+H58,0)</f>
        <v>0</v>
      </c>
      <c r="Y58" s="1" t="n">
        <f aca="false">0.5*(E58*I58+F58*J58+G58*K58+H58*L58-1)+(0+$U58*J58+$V58*K58+$W58*L58)</f>
        <v>0.5</v>
      </c>
      <c r="Z58" s="1" t="n">
        <f aca="false">0.5*(E58*M58+F58*N58+G58*O58+H58*P58-1)+(0+$U58*N58+$V58*O58+$W58*P58)</f>
        <v>0.5</v>
      </c>
      <c r="AA58" s="1" t="n">
        <f aca="false">0.5*(E58*Q58+F58*R58+G58*S58+H58*T58-1)+(0+$U58*R58+$V58*S58+$W58*T58)</f>
        <v>0</v>
      </c>
      <c r="AB58" s="0" t="n">
        <f aca="false">IF(B58="V",-2,0)+IF(B58="E",-1,0)+IF(B58="O",0,0)+IF(B58="L",1,0)+Y58</f>
        <v>-1.5</v>
      </c>
      <c r="AC58" s="0" t="n">
        <f aca="false">IF(C58="V",-2,0)+IF(C58="E",-1,0)+IF(C58="O",0,0)+IF(C58="L",1,0)+Z58</f>
        <v>-1.5</v>
      </c>
      <c r="AD58" s="0" t="n">
        <f aca="false">IF(D58="V",-2,0)+IF(D58="E",-1,0)+IF(D58="O",0,0)+IF(D58="L",1,0)+AA58</f>
        <v>0</v>
      </c>
      <c r="AE58" s="1" t="n">
        <f aca="false">IF(B58="V",-2,0)+IF(B58="E",-1,0)+IF(B58="O",0,0)+IF(B58="L",1,0)</f>
        <v>-2</v>
      </c>
      <c r="AF58" s="1" t="n">
        <f aca="false">IF(B58="V",-2,0)+IF(B58="E",-1,0)+IF(B58="O",0,0)+IF(B58="L",1,0)+Y58</f>
        <v>-1.5</v>
      </c>
      <c r="AG58" s="1" t="n">
        <f aca="false">IF(B58="V",-2,0)+IF(B58="E",-1,0)+IF(B58="O",0,0)+IF(B58="L",1,0)+Y58*2</f>
        <v>-1</v>
      </c>
      <c r="AH58" s="1" t="n">
        <f aca="false">IF(C58="V",-2,0)+IF(C58="E",-1,0)+IF(C58="O",0,0)+IF(C58="L",1,0)</f>
        <v>-2</v>
      </c>
      <c r="AI58" s="1" t="n">
        <f aca="false">IF(C58="V",-2,0)+IF(C58="E",-1,0)+IF(C58="O",0,0)+IF(C58="L",1,0)+Z58</f>
        <v>-1.5</v>
      </c>
      <c r="AJ58" s="1" t="n">
        <f aca="false">IF(C58="V",-2,0)+IF(C58="E",-1,0)+IF(C58="O",0,0)+IF(C58="L",1,0)+Z58*2</f>
        <v>-1</v>
      </c>
      <c r="AK58" s="1" t="n">
        <f aca="false">IF(D58="V",-2,0)+IF(D58="E",-1,0)+IF(D58="O",0,0)+IF(D58="L",1,0)</f>
        <v>0</v>
      </c>
      <c r="AL58" s="1" t="n">
        <f aca="false">IF(D58="V",-2,0)+IF(D58="E",-1,0)+IF(D58="O",0,0)+IF(D58="L",1,0)+AA58</f>
        <v>0</v>
      </c>
      <c r="AM58" s="1" t="n">
        <f aca="false">IF(D58="V",-2,0)+IF(D58="E",-1,0)+IF(D58="O",0,0)+IF(D58="L",1,0)+AA58*2</f>
        <v>0</v>
      </c>
      <c r="AN58" s="1" t="n">
        <f aca="false">(ABS(IF(AE58&lt;0,AE58*Early,AE58*Late))+ABS(IF(AF58&lt;0,AF58*Early,AF58*Late))+ABS(IF(AG58&lt;0,AG58*Early,AG58*Late)))/3</f>
        <v>4.5</v>
      </c>
      <c r="AO58" s="1" t="n">
        <f aca="false">(ABS(IF(AH58&lt;0,AH58*Early,AH58*Late))+ABS(IF(AI58&lt;0,AI58*Early,AI58*Late))+ABS(IF(AJ58&lt;0,AJ58*Early,AJ58*Late)))/3</f>
        <v>4.5</v>
      </c>
      <c r="AP58" s="1" t="n">
        <f aca="false">(ABS(IF(AK58&lt;0,AK58*Early,AK58*Late))+ABS(IF(AL58&lt;0,AL58*Early,AL58*Late))+ABS(IF(AM58&lt;0,AM58*Early,AM58*Late)))/3</f>
        <v>0</v>
      </c>
      <c r="AQ58" s="0" t="n">
        <f aca="false">Y58*Delay+AN58</f>
        <v>5</v>
      </c>
      <c r="AR58" s="0" t="n">
        <f aca="false">Z58*Delay+AO58</f>
        <v>5</v>
      </c>
      <c r="AS58" s="0" t="n">
        <f aca="false">AA58*Delay+AP58</f>
        <v>0</v>
      </c>
      <c r="AT58" s="0" t="n">
        <f aca="false">IF(AQ58=MIN(AQ58:AQ61),1,0)</f>
        <v>0</v>
      </c>
      <c r="AX58" s="0" t="str">
        <f aca="false">B58&amp;C58&amp;D58</f>
        <v>VVO</v>
      </c>
      <c r="AY58" s="1" t="n">
        <f aca="false">AQ58+AR58+AS58</f>
        <v>10</v>
      </c>
      <c r="AZ58" s="1" t="str">
        <f aca="false">RIGHT(AX58,2)</f>
        <v>VO</v>
      </c>
      <c r="BA58" s="1" t="str">
        <f aca="false">LEFT(AX58,1)&amp;RIGHT(AX58,1)</f>
        <v>VO</v>
      </c>
      <c r="BB58" s="1" t="str">
        <f aca="false">LEFT(AX58,2)</f>
        <v>VV</v>
      </c>
      <c r="BC58" s="1" t="n">
        <f aca="false">VLOOKUP(AZ58,TwoPlayers!$AG$1:$AH$17,2,FALSE())</f>
        <v>6</v>
      </c>
      <c r="BD58" s="1" t="n">
        <f aca="false">VLOOKUP(BA58,TwoPlayers!$AG$1:$AH$17,2,FALSE())</f>
        <v>6</v>
      </c>
      <c r="BE58" s="1" t="n">
        <f aca="false">VLOOKUP(BB58,TwoPlayers!$AG$1:$AH$17,2,FALSE())</f>
        <v>10</v>
      </c>
      <c r="BF58" s="1" t="n">
        <f aca="false">$AY58-BC58</f>
        <v>4</v>
      </c>
      <c r="BG58" s="1" t="n">
        <f aca="false">$AY58-BD58</f>
        <v>4</v>
      </c>
      <c r="BH58" s="1" t="n">
        <f aca="false">$AY58-BE58</f>
        <v>0</v>
      </c>
      <c r="BJ58" s="0" t="n">
        <f aca="false">AQ58+BF58</f>
        <v>9</v>
      </c>
      <c r="BK58" s="0" t="n">
        <f aca="false">AR58+BG58</f>
        <v>9</v>
      </c>
      <c r="BL58" s="0" t="n">
        <f aca="false">AS58+BH58</f>
        <v>0</v>
      </c>
      <c r="BM58" s="0" t="n">
        <f aca="false">IF(BJ58=MIN(BJ58:BJ62),1,0)</f>
        <v>0</v>
      </c>
    </row>
    <row r="59" customFormat="false" ht="13" hidden="false" customHeight="false" outlineLevel="0" collapsed="false">
      <c r="A59" s="0" t="n">
        <v>19</v>
      </c>
      <c r="B59" s="0" t="s">
        <v>2</v>
      </c>
      <c r="C59" s="0" t="s">
        <v>1</v>
      </c>
      <c r="D59" s="0" t="s">
        <v>3</v>
      </c>
      <c r="E59" s="0" t="n">
        <f aca="false">(IF($B59="V",1,0))+IF($C59="V",1,0)+IF($D59="V",1,0)</f>
        <v>1</v>
      </c>
      <c r="F59" s="0" t="n">
        <f aca="false">(IF($B59="E",1,0))+IF($C59="E",1,0)+IF($D59="E",1,0)</f>
        <v>1</v>
      </c>
      <c r="G59" s="0" t="n">
        <f aca="false">(IF($B59="O",1,0))+IF($C59="O",1,0)+IF($D59="O",1,0)</f>
        <v>1</v>
      </c>
      <c r="H59" s="0" t="n">
        <f aca="false">(IF($B59="L",1,0))+IF($C59="L",1,0)+IF($D59="L",1,0)</f>
        <v>0</v>
      </c>
      <c r="I59" s="0" t="n">
        <f aca="false">(IF(B59="V",1,0))</f>
        <v>0</v>
      </c>
      <c r="J59" s="0" t="n">
        <f aca="false">(IF(B59="E",1,0))</f>
        <v>1</v>
      </c>
      <c r="K59" s="0" t="n">
        <f aca="false">(IF(B59="O",1,0))</f>
        <v>0</v>
      </c>
      <c r="L59" s="0" t="n">
        <f aca="false">(IF(B59="L",1,0))</f>
        <v>0</v>
      </c>
      <c r="M59" s="0" t="n">
        <f aca="false">(IF(C59="V",1,0))</f>
        <v>1</v>
      </c>
      <c r="N59" s="0" t="n">
        <f aca="false">(IF(C59="E",1,0))</f>
        <v>0</v>
      </c>
      <c r="O59" s="0" t="n">
        <f aca="false">(IF(C59="O",1,0))</f>
        <v>0</v>
      </c>
      <c r="P59" s="0" t="n">
        <f aca="false">(IF(C59="L",1,0))</f>
        <v>0</v>
      </c>
      <c r="Q59" s="0" t="n">
        <f aca="false">(IF(D59="V",1,0))</f>
        <v>0</v>
      </c>
      <c r="R59" s="0" t="n">
        <f aca="false">(IF(D59="E",1,0))</f>
        <v>0</v>
      </c>
      <c r="S59" s="0" t="n">
        <f aca="false">(IF(D59="O",1,0))</f>
        <v>1</v>
      </c>
      <c r="T59" s="0" t="n">
        <f aca="false">(IF(D59="L",1,0))</f>
        <v>0</v>
      </c>
      <c r="U59" s="0" t="n">
        <f aca="false">MAX(E59-1,0)</f>
        <v>0</v>
      </c>
      <c r="V59" s="0" t="n">
        <f aca="false">MAX(U59-1+F59,0)</f>
        <v>0</v>
      </c>
      <c r="W59" s="0" t="n">
        <f aca="false">MAX(V59-1+G59,0)</f>
        <v>0</v>
      </c>
      <c r="X59" s="0" t="n">
        <f aca="false">MAX(W59-1+H59,0)</f>
        <v>0</v>
      </c>
      <c r="Y59" s="1" t="n">
        <f aca="false">0.5*(E59*I59+F59*J59+G59*K59+H59*L59-1)+(0+$U59*J59+$V59*K59+$W59*L59)</f>
        <v>0</v>
      </c>
      <c r="Z59" s="1" t="n">
        <f aca="false">0.5*(E59*M59+F59*N59+G59*O59+H59*P59-1)+(0+$U59*N59+$V59*O59+$W59*P59)</f>
        <v>0</v>
      </c>
      <c r="AA59" s="1" t="n">
        <f aca="false">0.5*(E59*Q59+F59*R59+G59*S59+H59*T59-1)+(0+$U59*R59+$V59*S59+$W59*T59)</f>
        <v>0</v>
      </c>
      <c r="AB59" s="0" t="n">
        <f aca="false">IF(B59="V",-2,0)+IF(B59="E",-1,0)+IF(B59="O",0,0)+IF(B59="L",1,0)+Y59</f>
        <v>-1</v>
      </c>
      <c r="AC59" s="0" t="n">
        <f aca="false">IF(C59="V",-2,0)+IF(C59="E",-1,0)+IF(C59="O",0,0)+IF(C59="L",1,0)+Z59</f>
        <v>-2</v>
      </c>
      <c r="AD59" s="0" t="n">
        <f aca="false">IF(D59="V",-2,0)+IF(D59="E",-1,0)+IF(D59="O",0,0)+IF(D59="L",1,0)+AA59</f>
        <v>0</v>
      </c>
      <c r="AE59" s="1" t="n">
        <f aca="false">IF(B59="V",-2,0)+IF(B59="E",-1,0)+IF(B59="O",0,0)+IF(B59="L",1,0)</f>
        <v>-1</v>
      </c>
      <c r="AF59" s="1" t="n">
        <f aca="false">IF(B59="V",-2,0)+IF(B59="E",-1,0)+IF(B59="O",0,0)+IF(B59="L",1,0)+Y59</f>
        <v>-1</v>
      </c>
      <c r="AG59" s="1" t="n">
        <f aca="false">IF(B59="V",-2,0)+IF(B59="E",-1,0)+IF(B59="O",0,0)+IF(B59="L",1,0)+Y59*2</f>
        <v>-1</v>
      </c>
      <c r="AH59" s="1" t="n">
        <f aca="false">IF(C59="V",-2,0)+IF(C59="E",-1,0)+IF(C59="O",0,0)+IF(C59="L",1,0)</f>
        <v>-2</v>
      </c>
      <c r="AI59" s="1" t="n">
        <f aca="false">IF(C59="V",-2,0)+IF(C59="E",-1,0)+IF(C59="O",0,0)+IF(C59="L",1,0)+Z59</f>
        <v>-2</v>
      </c>
      <c r="AJ59" s="1" t="n">
        <f aca="false">IF(C59="V",-2,0)+IF(C59="E",-1,0)+IF(C59="O",0,0)+IF(C59="L",1,0)+Z59*2</f>
        <v>-2</v>
      </c>
      <c r="AK59" s="1" t="n">
        <f aca="false">IF(D59="V",-2,0)+IF(D59="E",-1,0)+IF(D59="O",0,0)+IF(D59="L",1,0)</f>
        <v>0</v>
      </c>
      <c r="AL59" s="1" t="n">
        <f aca="false">IF(D59="V",-2,0)+IF(D59="E",-1,0)+IF(D59="O",0,0)+IF(D59="L",1,0)+AA59</f>
        <v>0</v>
      </c>
      <c r="AM59" s="1" t="n">
        <f aca="false">IF(D59="V",-2,0)+IF(D59="E",-1,0)+IF(D59="O",0,0)+IF(D59="L",1,0)+AA59*2</f>
        <v>0</v>
      </c>
      <c r="AN59" s="1" t="n">
        <f aca="false">(ABS(IF(AE59&lt;0,AE59*Early,AE59*Late))+ABS(IF(AF59&lt;0,AF59*Early,AF59*Late))+ABS(IF(AG59&lt;0,AG59*Early,AG59*Late)))/3</f>
        <v>3</v>
      </c>
      <c r="AO59" s="1" t="n">
        <f aca="false">(ABS(IF(AH59&lt;0,AH59*Early,AH59*Late))+ABS(IF(AI59&lt;0,AI59*Early,AI59*Late))+ABS(IF(AJ59&lt;0,AJ59*Early,AJ59*Late)))/3</f>
        <v>6</v>
      </c>
      <c r="AP59" s="1" t="n">
        <f aca="false">(ABS(IF(AK59&lt;0,AK59*Early,AK59*Late))+ABS(IF(AL59&lt;0,AL59*Early,AL59*Late))+ABS(IF(AM59&lt;0,AM59*Early,AM59*Late)))/3</f>
        <v>0</v>
      </c>
      <c r="AQ59" s="0" t="n">
        <f aca="false">Y59*Delay+AN59</f>
        <v>3</v>
      </c>
      <c r="AR59" s="0" t="n">
        <f aca="false">Z59*Delay+AO59</f>
        <v>6</v>
      </c>
      <c r="AS59" s="0" t="n">
        <f aca="false">AA59*Delay+AP59</f>
        <v>0</v>
      </c>
      <c r="AT59" s="0" t="n">
        <f aca="false">IF(AQ59=MIN(AQ58:AQ61),1,0)</f>
        <v>0</v>
      </c>
      <c r="AX59" s="0" t="str">
        <f aca="false">B59&amp;C59&amp;D59</f>
        <v>EVO</v>
      </c>
      <c r="AY59" s="1" t="n">
        <f aca="false">AQ59+AR59+AS59</f>
        <v>9</v>
      </c>
      <c r="AZ59" s="1" t="str">
        <f aca="false">RIGHT(AX59,2)</f>
        <v>VO</v>
      </c>
      <c r="BA59" s="1" t="str">
        <f aca="false">LEFT(AX59,1)&amp;RIGHT(AX59,1)</f>
        <v>EO</v>
      </c>
      <c r="BB59" s="1" t="str">
        <f aca="false">LEFT(AX59,2)</f>
        <v>EV</v>
      </c>
      <c r="BC59" s="1" t="n">
        <f aca="false">VLOOKUP(AZ59,TwoPlayers!$AG$1:$AH$17,2,FALSE())</f>
        <v>6</v>
      </c>
      <c r="BD59" s="1" t="n">
        <f aca="false">VLOOKUP(BA59,TwoPlayers!$AG$1:$AH$17,2,FALSE())</f>
        <v>3</v>
      </c>
      <c r="BE59" s="1" t="n">
        <f aca="false">VLOOKUP(BB59,TwoPlayers!$AG$1:$AH$17,2,FALSE())</f>
        <v>9</v>
      </c>
      <c r="BF59" s="1" t="n">
        <f aca="false">$AY59-BC59</f>
        <v>3</v>
      </c>
      <c r="BG59" s="1" t="n">
        <f aca="false">$AY59-BD59</f>
        <v>6</v>
      </c>
      <c r="BH59" s="1" t="n">
        <f aca="false">$AY59-BE59</f>
        <v>0</v>
      </c>
      <c r="BJ59" s="0" t="n">
        <f aca="false">AQ59+BF59</f>
        <v>6</v>
      </c>
      <c r="BK59" s="0" t="n">
        <f aca="false">AR59+BG59</f>
        <v>12</v>
      </c>
      <c r="BL59" s="0" t="n">
        <f aca="false">AS59+BH59</f>
        <v>0</v>
      </c>
      <c r="BM59" s="0" t="n">
        <f aca="false">IF(BJ59=MIN(BJ58:BJ62),1,0)</f>
        <v>1</v>
      </c>
    </row>
    <row r="60" customFormat="false" ht="13" hidden="false" customHeight="false" outlineLevel="0" collapsed="false">
      <c r="A60" s="0" t="n">
        <v>35</v>
      </c>
      <c r="B60" s="0" t="s">
        <v>3</v>
      </c>
      <c r="C60" s="0" t="s">
        <v>1</v>
      </c>
      <c r="D60" s="0" t="s">
        <v>3</v>
      </c>
      <c r="E60" s="0" t="n">
        <f aca="false">(IF($B60="V",1,0))+IF($C60="V",1,0)+IF($D60="V",1,0)</f>
        <v>1</v>
      </c>
      <c r="F60" s="0" t="n">
        <f aca="false">(IF($B60="E",1,0))+IF($C60="E",1,0)+IF($D60="E",1,0)</f>
        <v>0</v>
      </c>
      <c r="G60" s="0" t="n">
        <f aca="false">(IF($B60="O",1,0))+IF($C60="O",1,0)+IF($D60="O",1,0)</f>
        <v>2</v>
      </c>
      <c r="H60" s="0" t="n">
        <f aca="false">(IF($B60="L",1,0))+IF($C60="L",1,0)+IF($D60="L",1,0)</f>
        <v>0</v>
      </c>
      <c r="I60" s="0" t="n">
        <f aca="false">(IF(B60="V",1,0))</f>
        <v>0</v>
      </c>
      <c r="J60" s="0" t="n">
        <f aca="false">(IF(B60="E",1,0))</f>
        <v>0</v>
      </c>
      <c r="K60" s="0" t="n">
        <f aca="false">(IF(B60="O",1,0))</f>
        <v>1</v>
      </c>
      <c r="L60" s="0" t="n">
        <f aca="false">(IF(B60="L",1,0))</f>
        <v>0</v>
      </c>
      <c r="M60" s="0" t="n">
        <f aca="false">(IF(C60="V",1,0))</f>
        <v>1</v>
      </c>
      <c r="N60" s="0" t="n">
        <f aca="false">(IF(C60="E",1,0))</f>
        <v>0</v>
      </c>
      <c r="O60" s="0" t="n">
        <f aca="false">(IF(C60="O",1,0))</f>
        <v>0</v>
      </c>
      <c r="P60" s="0" t="n">
        <f aca="false">(IF(C60="L",1,0))</f>
        <v>0</v>
      </c>
      <c r="Q60" s="0" t="n">
        <f aca="false">(IF(D60="V",1,0))</f>
        <v>0</v>
      </c>
      <c r="R60" s="0" t="n">
        <f aca="false">(IF(D60="E",1,0))</f>
        <v>0</v>
      </c>
      <c r="S60" s="0" t="n">
        <f aca="false">(IF(D60="O",1,0))</f>
        <v>1</v>
      </c>
      <c r="T60" s="0" t="n">
        <f aca="false">(IF(D60="L",1,0))</f>
        <v>0</v>
      </c>
      <c r="U60" s="0" t="n">
        <f aca="false">MAX(E60-1,0)</f>
        <v>0</v>
      </c>
      <c r="V60" s="0" t="n">
        <f aca="false">MAX(U60-1+F60,0)</f>
        <v>0</v>
      </c>
      <c r="W60" s="0" t="n">
        <f aca="false">MAX(V60-1+G60,0)</f>
        <v>1</v>
      </c>
      <c r="X60" s="0" t="n">
        <f aca="false">MAX(W60-1+H60,0)</f>
        <v>0</v>
      </c>
      <c r="Y60" s="1" t="n">
        <f aca="false">0.5*(E60*I60+F60*J60+G60*K60+H60*L60-1)+(0+$U60*J60+$V60*K60+$W60*L60)</f>
        <v>0.5</v>
      </c>
      <c r="Z60" s="1" t="n">
        <f aca="false">0.5*(E60*M60+F60*N60+G60*O60+H60*P60-1)+(0+$U60*N60+$V60*O60+$W60*P60)</f>
        <v>0</v>
      </c>
      <c r="AA60" s="1" t="n">
        <f aca="false">0.5*(E60*Q60+F60*R60+G60*S60+H60*T60-1)+(0+$U60*R60+$V60*S60+$W60*T60)</f>
        <v>0.5</v>
      </c>
      <c r="AB60" s="0" t="n">
        <f aca="false">IF(B60="V",-2,0)+IF(B60="E",-1,0)+IF(B60="O",0,0)+IF(B60="L",1,0)+Y60</f>
        <v>0.5</v>
      </c>
      <c r="AC60" s="0" t="n">
        <f aca="false">IF(C60="V",-2,0)+IF(C60="E",-1,0)+IF(C60="O",0,0)+IF(C60="L",1,0)+Z60</f>
        <v>-2</v>
      </c>
      <c r="AD60" s="0" t="n">
        <f aca="false">IF(D60="V",-2,0)+IF(D60="E",-1,0)+IF(D60="O",0,0)+IF(D60="L",1,0)+AA60</f>
        <v>0.5</v>
      </c>
      <c r="AE60" s="1" t="n">
        <f aca="false">IF(B60="V",-2,0)+IF(B60="E",-1,0)+IF(B60="O",0,0)+IF(B60="L",1,0)</f>
        <v>0</v>
      </c>
      <c r="AF60" s="1" t="n">
        <f aca="false">IF(B60="V",-2,0)+IF(B60="E",-1,0)+IF(B60="O",0,0)+IF(B60="L",1,0)+Y60</f>
        <v>0.5</v>
      </c>
      <c r="AG60" s="1" t="n">
        <f aca="false">IF(B60="V",-2,0)+IF(B60="E",-1,0)+IF(B60="O",0,0)+IF(B60="L",1,0)+Y60*2</f>
        <v>1</v>
      </c>
      <c r="AH60" s="1" t="n">
        <f aca="false">IF(C60="V",-2,0)+IF(C60="E",-1,0)+IF(C60="O",0,0)+IF(C60="L",1,0)</f>
        <v>-2</v>
      </c>
      <c r="AI60" s="1" t="n">
        <f aca="false">IF(C60="V",-2,0)+IF(C60="E",-1,0)+IF(C60="O",0,0)+IF(C60="L",1,0)+Z60</f>
        <v>-2</v>
      </c>
      <c r="AJ60" s="1" t="n">
        <f aca="false">IF(C60="V",-2,0)+IF(C60="E",-1,0)+IF(C60="O",0,0)+IF(C60="L",1,0)+Z60*2</f>
        <v>-2</v>
      </c>
      <c r="AK60" s="1" t="n">
        <f aca="false">IF(D60="V",-2,0)+IF(D60="E",-1,0)+IF(D60="O",0,0)+IF(D60="L",1,0)</f>
        <v>0</v>
      </c>
      <c r="AL60" s="1" t="n">
        <f aca="false">IF(D60="V",-2,0)+IF(D60="E",-1,0)+IF(D60="O",0,0)+IF(D60="L",1,0)+AA60</f>
        <v>0.5</v>
      </c>
      <c r="AM60" s="1" t="n">
        <f aca="false">IF(D60="V",-2,0)+IF(D60="E",-1,0)+IF(D60="O",0,0)+IF(D60="L",1,0)+AA60*2</f>
        <v>1</v>
      </c>
      <c r="AN60" s="1" t="n">
        <f aca="false">(ABS(IF(AE60&lt;0,AE60*Early,AE60*Late))+ABS(IF(AF60&lt;0,AF60*Early,AF60*Late))+ABS(IF(AG60&lt;0,AG60*Early,AG60*Late)))/3</f>
        <v>2</v>
      </c>
      <c r="AO60" s="1" t="n">
        <f aca="false">(ABS(IF(AH60&lt;0,AH60*Early,AH60*Late))+ABS(IF(AI60&lt;0,AI60*Early,AI60*Late))+ABS(IF(AJ60&lt;0,AJ60*Early,AJ60*Late)))/3</f>
        <v>6</v>
      </c>
      <c r="AP60" s="1" t="n">
        <f aca="false">(ABS(IF(AK60&lt;0,AK60*Early,AK60*Late))+ABS(IF(AL60&lt;0,AL60*Early,AL60*Late))+ABS(IF(AM60&lt;0,AM60*Early,AM60*Late)))/3</f>
        <v>2</v>
      </c>
      <c r="AQ60" s="0" t="n">
        <f aca="false">Y60*Delay+AN60</f>
        <v>2.5</v>
      </c>
      <c r="AR60" s="0" t="n">
        <f aca="false">Z60*Delay+AO60</f>
        <v>6</v>
      </c>
      <c r="AS60" s="0" t="n">
        <f aca="false">AA60*Delay+AP60</f>
        <v>2.5</v>
      </c>
      <c r="AT60" s="0" t="n">
        <f aca="false">IF(AQ60=MIN(AQ58:AQ61),1,0)</f>
        <v>1</v>
      </c>
      <c r="AX60" s="0" t="str">
        <f aca="false">B60&amp;C60&amp;D60</f>
        <v>OVO</v>
      </c>
      <c r="AY60" s="1" t="n">
        <f aca="false">AQ60+AR60+AS60</f>
        <v>11</v>
      </c>
      <c r="AZ60" s="1" t="str">
        <f aca="false">RIGHT(AX60,2)</f>
        <v>VO</v>
      </c>
      <c r="BA60" s="1" t="str">
        <f aca="false">LEFT(AX60,1)&amp;RIGHT(AX60,1)</f>
        <v>OO</v>
      </c>
      <c r="BB60" s="1" t="str">
        <f aca="false">LEFT(AX60,2)</f>
        <v>OV</v>
      </c>
      <c r="BC60" s="1" t="n">
        <f aca="false">VLOOKUP(AZ60,TwoPlayers!$AG$1:$AH$17,2,FALSE())</f>
        <v>6</v>
      </c>
      <c r="BD60" s="1" t="n">
        <f aca="false">VLOOKUP(BA60,TwoPlayers!$AG$1:$AH$17,2,FALSE())</f>
        <v>5</v>
      </c>
      <c r="BE60" s="1" t="n">
        <f aca="false">VLOOKUP(BB60,TwoPlayers!$AG$1:$AH$17,2,FALSE())</f>
        <v>6</v>
      </c>
      <c r="BF60" s="1" t="n">
        <f aca="false">$AY60-BC60</f>
        <v>5</v>
      </c>
      <c r="BG60" s="1" t="n">
        <f aca="false">$AY60-BD60</f>
        <v>6</v>
      </c>
      <c r="BH60" s="1" t="n">
        <f aca="false">$AY60-BE60</f>
        <v>5</v>
      </c>
      <c r="BJ60" s="0" t="n">
        <f aca="false">AQ60+BF60</f>
        <v>7.5</v>
      </c>
      <c r="BK60" s="0" t="n">
        <f aca="false">AR60+BG60</f>
        <v>12</v>
      </c>
      <c r="BL60" s="0" t="n">
        <f aca="false">AS60+BH60</f>
        <v>7.5</v>
      </c>
      <c r="BM60" s="0" t="n">
        <f aca="false">IF(BJ60=MIN(BJ58:BJ62),1,0)</f>
        <v>0</v>
      </c>
    </row>
    <row r="61" customFormat="false" ht="13" hidden="false" customHeight="false" outlineLevel="0" collapsed="false">
      <c r="A61" s="0" t="n">
        <v>51</v>
      </c>
      <c r="B61" s="0" t="s">
        <v>4</v>
      </c>
      <c r="C61" s="0" t="s">
        <v>1</v>
      </c>
      <c r="D61" s="0" t="s">
        <v>3</v>
      </c>
      <c r="E61" s="0" t="n">
        <f aca="false">(IF($B61="V",1,0))+IF($C61="V",1,0)+IF($D61="V",1,0)</f>
        <v>1</v>
      </c>
      <c r="F61" s="0" t="n">
        <f aca="false">(IF($B61="E",1,0))+IF($C61="E",1,0)+IF($D61="E",1,0)</f>
        <v>0</v>
      </c>
      <c r="G61" s="0" t="n">
        <f aca="false">(IF($B61="O",1,0))+IF($C61="O",1,0)+IF($D61="O",1,0)</f>
        <v>1</v>
      </c>
      <c r="H61" s="0" t="n">
        <f aca="false">(IF($B61="L",1,0))+IF($C61="L",1,0)+IF($D61="L",1,0)</f>
        <v>1</v>
      </c>
      <c r="I61" s="0" t="n">
        <f aca="false">(IF(B61="V",1,0))</f>
        <v>0</v>
      </c>
      <c r="J61" s="0" t="n">
        <f aca="false">(IF(B61="E",1,0))</f>
        <v>0</v>
      </c>
      <c r="K61" s="0" t="n">
        <f aca="false">(IF(B61="O",1,0))</f>
        <v>0</v>
      </c>
      <c r="L61" s="0" t="n">
        <f aca="false">(IF(B61="L",1,0))</f>
        <v>1</v>
      </c>
      <c r="M61" s="0" t="n">
        <f aca="false">(IF(C61="V",1,0))</f>
        <v>1</v>
      </c>
      <c r="N61" s="0" t="n">
        <f aca="false">(IF(C61="E",1,0))</f>
        <v>0</v>
      </c>
      <c r="O61" s="0" t="n">
        <f aca="false">(IF(C61="O",1,0))</f>
        <v>0</v>
      </c>
      <c r="P61" s="0" t="n">
        <f aca="false">(IF(C61="L",1,0))</f>
        <v>0</v>
      </c>
      <c r="Q61" s="0" t="n">
        <f aca="false">(IF(D61="V",1,0))</f>
        <v>0</v>
      </c>
      <c r="R61" s="0" t="n">
        <f aca="false">(IF(D61="E",1,0))</f>
        <v>0</v>
      </c>
      <c r="S61" s="0" t="n">
        <f aca="false">(IF(D61="O",1,0))</f>
        <v>1</v>
      </c>
      <c r="T61" s="0" t="n">
        <f aca="false">(IF(D61="L",1,0))</f>
        <v>0</v>
      </c>
      <c r="U61" s="0" t="n">
        <f aca="false">MAX(E61-1,0)</f>
        <v>0</v>
      </c>
      <c r="V61" s="0" t="n">
        <f aca="false">MAX(U61-1+F61,0)</f>
        <v>0</v>
      </c>
      <c r="W61" s="0" t="n">
        <f aca="false">MAX(V61-1+G61,0)</f>
        <v>0</v>
      </c>
      <c r="X61" s="0" t="n">
        <f aca="false">MAX(W61-1+H61,0)</f>
        <v>0</v>
      </c>
      <c r="Y61" s="1" t="n">
        <f aca="false">0.5*(E61*I61+F61*J61+G61*K61+H61*L61-1)+(0+$U61*J61+$V61*K61+$W61*L61)</f>
        <v>0</v>
      </c>
      <c r="Z61" s="1" t="n">
        <f aca="false">0.5*(E61*M61+F61*N61+G61*O61+H61*P61-1)+(0+$U61*N61+$V61*O61+$W61*P61)</f>
        <v>0</v>
      </c>
      <c r="AA61" s="1" t="n">
        <f aca="false">0.5*(E61*Q61+F61*R61+G61*S61+H61*T61-1)+(0+$U61*R61+$V61*S61+$W61*T61)</f>
        <v>0</v>
      </c>
      <c r="AB61" s="0" t="n">
        <f aca="false">IF(B61="V",-2,0)+IF(B61="E",-1,0)+IF(B61="O",0,0)+IF(B61="L",1,0)+Y61</f>
        <v>1</v>
      </c>
      <c r="AC61" s="0" t="n">
        <f aca="false">IF(C61="V",-2,0)+IF(C61="E",-1,0)+IF(C61="O",0,0)+IF(C61="L",1,0)+Z61</f>
        <v>-2</v>
      </c>
      <c r="AD61" s="0" t="n">
        <f aca="false">IF(D61="V",-2,0)+IF(D61="E",-1,0)+IF(D61="O",0,0)+IF(D61="L",1,0)+AA61</f>
        <v>0</v>
      </c>
      <c r="AE61" s="1" t="n">
        <f aca="false">IF(B61="V",-2,0)+IF(B61="E",-1,0)+IF(B61="O",0,0)+IF(B61="L",1,0)</f>
        <v>1</v>
      </c>
      <c r="AF61" s="1" t="n">
        <f aca="false">IF(B61="V",-2,0)+IF(B61="E",-1,0)+IF(B61="O",0,0)+IF(B61="L",1,0)+Y61</f>
        <v>1</v>
      </c>
      <c r="AG61" s="1" t="n">
        <f aca="false">IF(B61="V",-2,0)+IF(B61="E",-1,0)+IF(B61="O",0,0)+IF(B61="L",1,0)+Y61*2</f>
        <v>1</v>
      </c>
      <c r="AH61" s="1" t="n">
        <f aca="false">IF(C61="V",-2,0)+IF(C61="E",-1,0)+IF(C61="O",0,0)+IF(C61="L",1,0)</f>
        <v>-2</v>
      </c>
      <c r="AI61" s="1" t="n">
        <f aca="false">IF(C61="V",-2,0)+IF(C61="E",-1,0)+IF(C61="O",0,0)+IF(C61="L",1,0)+Z61</f>
        <v>-2</v>
      </c>
      <c r="AJ61" s="1" t="n">
        <f aca="false">IF(C61="V",-2,0)+IF(C61="E",-1,0)+IF(C61="O",0,0)+IF(C61="L",1,0)+Z61*2</f>
        <v>-2</v>
      </c>
      <c r="AK61" s="1" t="n">
        <f aca="false">IF(D61="V",-2,0)+IF(D61="E",-1,0)+IF(D61="O",0,0)+IF(D61="L",1,0)</f>
        <v>0</v>
      </c>
      <c r="AL61" s="1" t="n">
        <f aca="false">IF(D61="V",-2,0)+IF(D61="E",-1,0)+IF(D61="O",0,0)+IF(D61="L",1,0)+AA61</f>
        <v>0</v>
      </c>
      <c r="AM61" s="1" t="n">
        <f aca="false">IF(D61="V",-2,0)+IF(D61="E",-1,0)+IF(D61="O",0,0)+IF(D61="L",1,0)+AA61*2</f>
        <v>0</v>
      </c>
      <c r="AN61" s="1" t="n">
        <f aca="false">(ABS(IF(AE61&lt;0,AE61*Early,AE61*Late))+ABS(IF(AF61&lt;0,AF61*Early,AF61*Late))+ABS(IF(AG61&lt;0,AG61*Early,AG61*Late)))/3</f>
        <v>4</v>
      </c>
      <c r="AO61" s="1" t="n">
        <f aca="false">(ABS(IF(AH61&lt;0,AH61*Early,AH61*Late))+ABS(IF(AI61&lt;0,AI61*Early,AI61*Late))+ABS(IF(AJ61&lt;0,AJ61*Early,AJ61*Late)))/3</f>
        <v>6</v>
      </c>
      <c r="AP61" s="1" t="n">
        <f aca="false">(ABS(IF(AK61&lt;0,AK61*Early,AK61*Late))+ABS(IF(AL61&lt;0,AL61*Early,AL61*Late))+ABS(IF(AM61&lt;0,AM61*Early,AM61*Late)))/3</f>
        <v>0</v>
      </c>
      <c r="AQ61" s="0" t="n">
        <f aca="false">Y61*Delay+AN61</f>
        <v>4</v>
      </c>
      <c r="AR61" s="0" t="n">
        <f aca="false">Z61*Delay+AO61</f>
        <v>6</v>
      </c>
      <c r="AS61" s="0" t="n">
        <f aca="false">AA61*Delay+AP61</f>
        <v>0</v>
      </c>
      <c r="AT61" s="0" t="n">
        <f aca="false">IF(AQ61=MIN(AQ58:AQ61),1,0)</f>
        <v>0</v>
      </c>
      <c r="AX61" s="0" t="str">
        <f aca="false">B61&amp;C61&amp;D61</f>
        <v>LVO</v>
      </c>
      <c r="AY61" s="1" t="n">
        <f aca="false">AQ61+AR61+AS61</f>
        <v>10</v>
      </c>
      <c r="AZ61" s="1" t="str">
        <f aca="false">RIGHT(AX61,2)</f>
        <v>VO</v>
      </c>
      <c r="BA61" s="1" t="str">
        <f aca="false">LEFT(AX61,1)&amp;RIGHT(AX61,1)</f>
        <v>LO</v>
      </c>
      <c r="BB61" s="1" t="str">
        <f aca="false">LEFT(AX61,2)</f>
        <v>LV</v>
      </c>
      <c r="BC61" s="1" t="n">
        <f aca="false">VLOOKUP(AZ61,TwoPlayers!$AG$1:$AH$17,2,FALSE())</f>
        <v>6</v>
      </c>
      <c r="BD61" s="1" t="n">
        <f aca="false">VLOOKUP(BA61,TwoPlayers!$AG$1:$AH$17,2,FALSE())</f>
        <v>4</v>
      </c>
      <c r="BE61" s="1" t="n">
        <f aca="false">VLOOKUP(BB61,TwoPlayers!$AG$1:$AH$17,2,FALSE())</f>
        <v>10</v>
      </c>
      <c r="BF61" s="1" t="n">
        <f aca="false">$AY61-BC61</f>
        <v>4</v>
      </c>
      <c r="BG61" s="1" t="n">
        <f aca="false">$AY61-BD61</f>
        <v>6</v>
      </c>
      <c r="BH61" s="1" t="n">
        <f aca="false">$AY61-BE61</f>
        <v>0</v>
      </c>
      <c r="BJ61" s="0" t="n">
        <f aca="false">AQ61+BF61</f>
        <v>8</v>
      </c>
      <c r="BK61" s="0" t="n">
        <f aca="false">AR61+BG61</f>
        <v>12</v>
      </c>
      <c r="BL61" s="0" t="n">
        <f aca="false">AS61+BH61</f>
        <v>0</v>
      </c>
      <c r="BM61" s="0" t="n">
        <f aca="false">IF(BJ61=MIN(BJ58:BJ62),1,0)</f>
        <v>0</v>
      </c>
    </row>
    <row r="62" customFormat="false" ht="13" hidden="false" customHeight="false" outlineLevel="0" collapsed="false">
      <c r="A62" s="0" t="n">
        <v>1</v>
      </c>
      <c r="B62" s="0" t="s">
        <v>1</v>
      </c>
      <c r="C62" s="0" t="s">
        <v>1</v>
      </c>
      <c r="D62" s="0" t="s">
        <v>1</v>
      </c>
      <c r="E62" s="0" t="n">
        <f aca="false">(IF($B62="V",1,0))+IF($C62="V",1,0)+IF($D62="V",1,0)</f>
        <v>3</v>
      </c>
      <c r="F62" s="0" t="n">
        <f aca="false">(IF($B62="E",1,0))+IF($C62="E",1,0)+IF($D62="E",1,0)</f>
        <v>0</v>
      </c>
      <c r="G62" s="0" t="n">
        <f aca="false">(IF($B62="O",1,0))+IF($C62="O",1,0)+IF($D62="O",1,0)</f>
        <v>0</v>
      </c>
      <c r="H62" s="0" t="n">
        <f aca="false">(IF($B62="L",1,0))+IF($C62="L",1,0)+IF($D62="L",1,0)</f>
        <v>0</v>
      </c>
      <c r="I62" s="0" t="n">
        <f aca="false">(IF(B62="V",1,0))</f>
        <v>1</v>
      </c>
      <c r="J62" s="0" t="n">
        <f aca="false">(IF(B62="E",1,0))</f>
        <v>0</v>
      </c>
      <c r="K62" s="0" t="n">
        <f aca="false">(IF(B62="O",1,0))</f>
        <v>0</v>
      </c>
      <c r="L62" s="0" t="n">
        <f aca="false">(IF(B62="L",1,0))</f>
        <v>0</v>
      </c>
      <c r="M62" s="0" t="n">
        <f aca="false">(IF(C62="V",1,0))</f>
        <v>1</v>
      </c>
      <c r="N62" s="0" t="n">
        <f aca="false">(IF(C62="E",1,0))</f>
        <v>0</v>
      </c>
      <c r="O62" s="0" t="n">
        <f aca="false">(IF(C62="O",1,0))</f>
        <v>0</v>
      </c>
      <c r="P62" s="0" t="n">
        <f aca="false">(IF(C62="L",1,0))</f>
        <v>0</v>
      </c>
      <c r="Q62" s="0" t="n">
        <f aca="false">(IF(D62="V",1,0))</f>
        <v>1</v>
      </c>
      <c r="R62" s="0" t="n">
        <f aca="false">(IF(D62="E",1,0))</f>
        <v>0</v>
      </c>
      <c r="S62" s="0" t="n">
        <f aca="false">(IF(D62="O",1,0))</f>
        <v>0</v>
      </c>
      <c r="T62" s="0" t="n">
        <f aca="false">(IF(D62="L",1,0))</f>
        <v>0</v>
      </c>
      <c r="U62" s="0" t="n">
        <f aca="false">MAX(E62-1,0)</f>
        <v>2</v>
      </c>
      <c r="V62" s="0" t="n">
        <f aca="false">MAX(U62-1+F62,0)</f>
        <v>1</v>
      </c>
      <c r="W62" s="0" t="n">
        <f aca="false">MAX(V62-1+G62,0)</f>
        <v>0</v>
      </c>
      <c r="X62" s="0" t="n">
        <f aca="false">MAX(W62-1+H62,0)</f>
        <v>0</v>
      </c>
      <c r="Y62" s="1" t="n">
        <f aca="false">0.5*(E62*I62+F62*J62+G62*K62+H62*L62-1)+(0+$U62*J62+$V62*K62+$W62*L62)</f>
        <v>1</v>
      </c>
      <c r="Z62" s="1" t="n">
        <f aca="false">0.5*(E62*M62+F62*N62+G62*O62+H62*P62-1)+(0+$U62*N62+$V62*O62+$W62*P62)</f>
        <v>1</v>
      </c>
      <c r="AA62" s="1" t="n">
        <f aca="false">0.5*(E62*Q62+F62*R62+G62*S62+H62*T62-1)+(0+$U62*R62+$V62*S62+$W62*T62)</f>
        <v>1</v>
      </c>
      <c r="AB62" s="0" t="n">
        <f aca="false">IF(B62="V",-2,0)+IF(B62="E",-1,0)+IF(B62="O",0,0)+IF(B62="L",1,0)+Y62</f>
        <v>-1</v>
      </c>
      <c r="AC62" s="0" t="n">
        <f aca="false">IF(C62="V",-2,0)+IF(C62="E",-1,0)+IF(C62="O",0,0)+IF(C62="L",1,0)+Z62</f>
        <v>-1</v>
      </c>
      <c r="AD62" s="0" t="n">
        <f aca="false">IF(D62="V",-2,0)+IF(D62="E",-1,0)+IF(D62="O",0,0)+IF(D62="L",1,0)+AA62</f>
        <v>-1</v>
      </c>
      <c r="AE62" s="1" t="n">
        <f aca="false">IF(B62="V",-2,0)+IF(B62="E",-1,0)+IF(B62="O",0,0)+IF(B62="L",1,0)</f>
        <v>-2</v>
      </c>
      <c r="AF62" s="1" t="n">
        <f aca="false">IF(B62="V",-2,0)+IF(B62="E",-1,0)+IF(B62="O",0,0)+IF(B62="L",1,0)+Y62</f>
        <v>-1</v>
      </c>
      <c r="AG62" s="1" t="n">
        <f aca="false">IF(B62="V",-2,0)+IF(B62="E",-1,0)+IF(B62="O",0,0)+IF(B62="L",1,0)+Y62*2</f>
        <v>0</v>
      </c>
      <c r="AH62" s="1" t="n">
        <f aca="false">IF(C62="V",-2,0)+IF(C62="E",-1,0)+IF(C62="O",0,0)+IF(C62="L",1,0)</f>
        <v>-2</v>
      </c>
      <c r="AI62" s="1" t="n">
        <f aca="false">IF(C62="V",-2,0)+IF(C62="E",-1,0)+IF(C62="O",0,0)+IF(C62="L",1,0)+Z62</f>
        <v>-1</v>
      </c>
      <c r="AJ62" s="1" t="n">
        <f aca="false">IF(C62="V",-2,0)+IF(C62="E",-1,0)+IF(C62="O",0,0)+IF(C62="L",1,0)+Z62*2</f>
        <v>0</v>
      </c>
      <c r="AK62" s="1" t="n">
        <f aca="false">IF(D62="V",-2,0)+IF(D62="E",-1,0)+IF(D62="O",0,0)+IF(D62="L",1,0)</f>
        <v>-2</v>
      </c>
      <c r="AL62" s="1" t="n">
        <f aca="false">IF(D62="V",-2,0)+IF(D62="E",-1,0)+IF(D62="O",0,0)+IF(D62="L",1,0)+AA62</f>
        <v>-1</v>
      </c>
      <c r="AM62" s="1" t="n">
        <f aca="false">IF(D62="V",-2,0)+IF(D62="E",-1,0)+IF(D62="O",0,0)+IF(D62="L",1,0)+AA62*2</f>
        <v>0</v>
      </c>
      <c r="AN62" s="1" t="n">
        <f aca="false">(ABS(IF(AE62&lt;0,AE62*Early,AE62*Late))+ABS(IF(AF62&lt;0,AF62*Early,AF62*Late))+ABS(IF(AG62&lt;0,AG62*Early,AG62*Late)))/3</f>
        <v>3</v>
      </c>
      <c r="AO62" s="1" t="n">
        <f aca="false">(ABS(IF(AH62&lt;0,AH62*Early,AH62*Late))+ABS(IF(AI62&lt;0,AI62*Early,AI62*Late))+ABS(IF(AJ62&lt;0,AJ62*Early,AJ62*Late)))/3</f>
        <v>3</v>
      </c>
      <c r="AP62" s="1" t="n">
        <f aca="false">(ABS(IF(AK62&lt;0,AK62*Early,AK62*Late))+ABS(IF(AL62&lt;0,AL62*Early,AL62*Late))+ABS(IF(AM62&lt;0,AM62*Early,AM62*Late)))/3</f>
        <v>3</v>
      </c>
      <c r="AQ62" s="0" t="n">
        <f aca="false">Y62*Delay+AN62</f>
        <v>4</v>
      </c>
      <c r="AR62" s="0" t="n">
        <f aca="false">Z62*Delay+AO62</f>
        <v>4</v>
      </c>
      <c r="AS62" s="0" t="n">
        <f aca="false">AA62*Delay+AP62</f>
        <v>4</v>
      </c>
      <c r="AT62" s="0" t="n">
        <f aca="false">IF(AQ62=MIN(AQ62:AQ65),1,0)</f>
        <v>0</v>
      </c>
      <c r="AX62" s="0" t="str">
        <f aca="false">B62&amp;C62&amp;D62</f>
        <v>VVV</v>
      </c>
      <c r="AY62" s="1" t="n">
        <f aca="false">AQ62+AR62+AS62</f>
        <v>12</v>
      </c>
      <c r="AZ62" s="1" t="str">
        <f aca="false">RIGHT(AX62,2)</f>
        <v>VV</v>
      </c>
      <c r="BA62" s="1" t="str">
        <f aca="false">LEFT(AX62,1)&amp;RIGHT(AX62,1)</f>
        <v>VV</v>
      </c>
      <c r="BB62" s="1" t="str">
        <f aca="false">LEFT(AX62,2)</f>
        <v>VV</v>
      </c>
      <c r="BC62" s="1" t="n">
        <f aca="false">VLOOKUP(AZ62,TwoPlayers!$AG$1:$AH$17,2,FALSE())</f>
        <v>10</v>
      </c>
      <c r="BD62" s="1" t="n">
        <f aca="false">VLOOKUP(BA62,TwoPlayers!$AG$1:$AH$17,2,FALSE())</f>
        <v>10</v>
      </c>
      <c r="BE62" s="1" t="n">
        <f aca="false">VLOOKUP(BB62,TwoPlayers!$AG$1:$AH$17,2,FALSE())</f>
        <v>10</v>
      </c>
      <c r="BF62" s="1" t="n">
        <f aca="false">$AY62-BC62</f>
        <v>2</v>
      </c>
      <c r="BG62" s="1" t="n">
        <f aca="false">$AY62-BD62</f>
        <v>2</v>
      </c>
      <c r="BH62" s="1" t="n">
        <f aca="false">$AY62-BE62</f>
        <v>2</v>
      </c>
      <c r="BJ62" s="0" t="n">
        <f aca="false">AQ62+BF62</f>
        <v>6</v>
      </c>
      <c r="BK62" s="0" t="n">
        <f aca="false">AR62+BG62</f>
        <v>6</v>
      </c>
      <c r="BL62" s="0" t="n">
        <f aca="false">AS62+BH62</f>
        <v>6</v>
      </c>
      <c r="BM62" s="0" t="n">
        <f aca="false">IF(BJ62=MIN(BJ62:BJ66),1,0)</f>
        <v>0</v>
      </c>
    </row>
    <row r="63" customFormat="false" ht="13" hidden="false" customHeight="false" outlineLevel="0" collapsed="false">
      <c r="A63" s="0" t="n">
        <v>17</v>
      </c>
      <c r="B63" s="0" t="s">
        <v>2</v>
      </c>
      <c r="C63" s="0" t="s">
        <v>1</v>
      </c>
      <c r="D63" s="0" t="s">
        <v>1</v>
      </c>
      <c r="E63" s="0" t="n">
        <f aca="false">(IF($B63="V",1,0))+IF($C63="V",1,0)+IF($D63="V",1,0)</f>
        <v>2</v>
      </c>
      <c r="F63" s="0" t="n">
        <f aca="false">(IF($B63="E",1,0))+IF($C63="E",1,0)+IF($D63="E",1,0)</f>
        <v>1</v>
      </c>
      <c r="G63" s="0" t="n">
        <f aca="false">(IF($B63="O",1,0))+IF($C63="O",1,0)+IF($D63="O",1,0)</f>
        <v>0</v>
      </c>
      <c r="H63" s="0" t="n">
        <f aca="false">(IF($B63="L",1,0))+IF($C63="L",1,0)+IF($D63="L",1,0)</f>
        <v>0</v>
      </c>
      <c r="I63" s="0" t="n">
        <f aca="false">(IF(B63="V",1,0))</f>
        <v>0</v>
      </c>
      <c r="J63" s="0" t="n">
        <f aca="false">(IF(B63="E",1,0))</f>
        <v>1</v>
      </c>
      <c r="K63" s="0" t="n">
        <f aca="false">(IF(B63="O",1,0))</f>
        <v>0</v>
      </c>
      <c r="L63" s="0" t="n">
        <f aca="false">(IF(B63="L",1,0))</f>
        <v>0</v>
      </c>
      <c r="M63" s="0" t="n">
        <f aca="false">(IF(C63="V",1,0))</f>
        <v>1</v>
      </c>
      <c r="N63" s="0" t="n">
        <f aca="false">(IF(C63="E",1,0))</f>
        <v>0</v>
      </c>
      <c r="O63" s="0" t="n">
        <f aca="false">(IF(C63="O",1,0))</f>
        <v>0</v>
      </c>
      <c r="P63" s="0" t="n">
        <f aca="false">(IF(C63="L",1,0))</f>
        <v>0</v>
      </c>
      <c r="Q63" s="0" t="n">
        <f aca="false">(IF(D63="V",1,0))</f>
        <v>1</v>
      </c>
      <c r="R63" s="0" t="n">
        <f aca="false">(IF(D63="E",1,0))</f>
        <v>0</v>
      </c>
      <c r="S63" s="0" t="n">
        <f aca="false">(IF(D63="O",1,0))</f>
        <v>0</v>
      </c>
      <c r="T63" s="0" t="n">
        <f aca="false">(IF(D63="L",1,0))</f>
        <v>0</v>
      </c>
      <c r="U63" s="0" t="n">
        <f aca="false">MAX(E63-1,0)</f>
        <v>1</v>
      </c>
      <c r="V63" s="0" t="n">
        <f aca="false">MAX(U63-1+F63,0)</f>
        <v>1</v>
      </c>
      <c r="W63" s="0" t="n">
        <f aca="false">MAX(V63-1+G63,0)</f>
        <v>0</v>
      </c>
      <c r="X63" s="0" t="n">
        <f aca="false">MAX(W63-1+H63,0)</f>
        <v>0</v>
      </c>
      <c r="Y63" s="1" t="n">
        <f aca="false">0.5*(E63*I63+F63*J63+G63*K63+H63*L63-1)+(0+$U63*J63+$V63*K63+$W63*L63)</f>
        <v>1</v>
      </c>
      <c r="Z63" s="1" t="n">
        <f aca="false">0.5*(E63*M63+F63*N63+G63*O63+H63*P63-1)+(0+$U63*N63+$V63*O63+$W63*P63)</f>
        <v>0.5</v>
      </c>
      <c r="AA63" s="1" t="n">
        <f aca="false">0.5*(E63*Q63+F63*R63+G63*S63+H63*T63-1)+(0+$U63*R63+$V63*S63+$W63*T63)</f>
        <v>0.5</v>
      </c>
      <c r="AB63" s="0" t="n">
        <f aca="false">IF(B63="V",-2,0)+IF(B63="E",-1,0)+IF(B63="O",0,0)+IF(B63="L",1,0)+Y63</f>
        <v>0</v>
      </c>
      <c r="AC63" s="0" t="n">
        <f aca="false">IF(C63="V",-2,0)+IF(C63="E",-1,0)+IF(C63="O",0,0)+IF(C63="L",1,0)+Z63</f>
        <v>-1.5</v>
      </c>
      <c r="AD63" s="0" t="n">
        <f aca="false">IF(D63="V",-2,0)+IF(D63="E",-1,0)+IF(D63="O",0,0)+IF(D63="L",1,0)+AA63</f>
        <v>-1.5</v>
      </c>
      <c r="AE63" s="1" t="n">
        <f aca="false">IF(B63="V",-2,0)+IF(B63="E",-1,0)+IF(B63="O",0,0)+IF(B63="L",1,0)</f>
        <v>-1</v>
      </c>
      <c r="AF63" s="1" t="n">
        <f aca="false">IF(B63="V",-2,0)+IF(B63="E",-1,0)+IF(B63="O",0,0)+IF(B63="L",1,0)+Y63</f>
        <v>0</v>
      </c>
      <c r="AG63" s="1" t="n">
        <f aca="false">IF(B63="V",-2,0)+IF(B63="E",-1,0)+IF(B63="O",0,0)+IF(B63="L",1,0)+Y63*2</f>
        <v>1</v>
      </c>
      <c r="AH63" s="1" t="n">
        <f aca="false">IF(C63="V",-2,0)+IF(C63="E",-1,0)+IF(C63="O",0,0)+IF(C63="L",1,0)</f>
        <v>-2</v>
      </c>
      <c r="AI63" s="1" t="n">
        <f aca="false">IF(C63="V",-2,0)+IF(C63="E",-1,0)+IF(C63="O",0,0)+IF(C63="L",1,0)+Z63</f>
        <v>-1.5</v>
      </c>
      <c r="AJ63" s="1" t="n">
        <f aca="false">IF(C63="V",-2,0)+IF(C63="E",-1,0)+IF(C63="O",0,0)+IF(C63="L",1,0)+Z63*2</f>
        <v>-1</v>
      </c>
      <c r="AK63" s="1" t="n">
        <f aca="false">IF(D63="V",-2,0)+IF(D63="E",-1,0)+IF(D63="O",0,0)+IF(D63="L",1,0)</f>
        <v>-2</v>
      </c>
      <c r="AL63" s="1" t="n">
        <f aca="false">IF(D63="V",-2,0)+IF(D63="E",-1,0)+IF(D63="O",0,0)+IF(D63="L",1,0)+AA63</f>
        <v>-1.5</v>
      </c>
      <c r="AM63" s="1" t="n">
        <f aca="false">IF(D63="V",-2,0)+IF(D63="E",-1,0)+IF(D63="O",0,0)+IF(D63="L",1,0)+AA63*2</f>
        <v>-1</v>
      </c>
      <c r="AN63" s="1" t="n">
        <f aca="false">(ABS(IF(AE63&lt;0,AE63*Early,AE63*Late))+ABS(IF(AF63&lt;0,AF63*Early,AF63*Late))+ABS(IF(AG63&lt;0,AG63*Early,AG63*Late)))/3</f>
        <v>2.33333333333333</v>
      </c>
      <c r="AO63" s="1" t="n">
        <f aca="false">(ABS(IF(AH63&lt;0,AH63*Early,AH63*Late))+ABS(IF(AI63&lt;0,AI63*Early,AI63*Late))+ABS(IF(AJ63&lt;0,AJ63*Early,AJ63*Late)))/3</f>
        <v>4.5</v>
      </c>
      <c r="AP63" s="1" t="n">
        <f aca="false">(ABS(IF(AK63&lt;0,AK63*Early,AK63*Late))+ABS(IF(AL63&lt;0,AL63*Early,AL63*Late))+ABS(IF(AM63&lt;0,AM63*Early,AM63*Late)))/3</f>
        <v>4.5</v>
      </c>
      <c r="AQ63" s="0" t="n">
        <f aca="false">Y63*Delay+AN63</f>
        <v>3.33333333333333</v>
      </c>
      <c r="AR63" s="0" t="n">
        <f aca="false">Z63*Delay+AO63</f>
        <v>5</v>
      </c>
      <c r="AS63" s="0" t="n">
        <f aca="false">AA63*Delay+AP63</f>
        <v>5</v>
      </c>
      <c r="AT63" s="0" t="n">
        <f aca="false">IF(AQ63=MIN(AQ62:AQ65),1,0)</f>
        <v>0</v>
      </c>
      <c r="AX63" s="0" t="str">
        <f aca="false">B63&amp;C63&amp;D63</f>
        <v>EVV</v>
      </c>
      <c r="AY63" s="1" t="n">
        <f aca="false">AQ63+AR63+AS63</f>
        <v>13.3333333333333</v>
      </c>
      <c r="AZ63" s="1" t="str">
        <f aca="false">RIGHT(AX63,2)</f>
        <v>VV</v>
      </c>
      <c r="BA63" s="1" t="str">
        <f aca="false">LEFT(AX63,1)&amp;RIGHT(AX63,1)</f>
        <v>EV</v>
      </c>
      <c r="BB63" s="1" t="str">
        <f aca="false">LEFT(AX63,2)</f>
        <v>EV</v>
      </c>
      <c r="BC63" s="1" t="n">
        <f aca="false">VLOOKUP(AZ63,TwoPlayers!$AG$1:$AH$17,2,FALSE())</f>
        <v>10</v>
      </c>
      <c r="BD63" s="1" t="n">
        <f aca="false">VLOOKUP(BA63,TwoPlayers!$AG$1:$AH$17,2,FALSE())</f>
        <v>9</v>
      </c>
      <c r="BE63" s="1" t="n">
        <f aca="false">VLOOKUP(BB63,TwoPlayers!$AG$1:$AH$17,2,FALSE())</f>
        <v>9</v>
      </c>
      <c r="BF63" s="1" t="n">
        <f aca="false">$AY63-BC63</f>
        <v>3.33333333333333</v>
      </c>
      <c r="BG63" s="1" t="n">
        <f aca="false">$AY63-BD63</f>
        <v>4.33333333333333</v>
      </c>
      <c r="BH63" s="1" t="n">
        <f aca="false">$AY63-BE63</f>
        <v>4.33333333333333</v>
      </c>
      <c r="BJ63" s="0" t="n">
        <f aca="false">AQ63+BF63</f>
        <v>6.66666666666667</v>
      </c>
      <c r="BK63" s="0" t="n">
        <f aca="false">AR63+BG63</f>
        <v>9.33333333333333</v>
      </c>
      <c r="BL63" s="0" t="n">
        <f aca="false">AS63+BH63</f>
        <v>9.33333333333333</v>
      </c>
      <c r="BM63" s="0" t="n">
        <f aca="false">IF(BJ63=MIN(BJ62:BJ66),1,0)</f>
        <v>0</v>
      </c>
    </row>
    <row r="64" customFormat="false" ht="13" hidden="false" customHeight="false" outlineLevel="0" collapsed="false">
      <c r="A64" s="0" t="n">
        <v>33</v>
      </c>
      <c r="B64" s="0" t="s">
        <v>3</v>
      </c>
      <c r="C64" s="0" t="s">
        <v>1</v>
      </c>
      <c r="D64" s="0" t="s">
        <v>1</v>
      </c>
      <c r="E64" s="0" t="n">
        <f aca="false">(IF($B64="V",1,0))+IF($C64="V",1,0)+IF($D64="V",1,0)</f>
        <v>2</v>
      </c>
      <c r="F64" s="0" t="n">
        <f aca="false">(IF($B64="E",1,0))+IF($C64="E",1,0)+IF($D64="E",1,0)</f>
        <v>0</v>
      </c>
      <c r="G64" s="0" t="n">
        <f aca="false">(IF($B64="O",1,0))+IF($C64="O",1,0)+IF($D64="O",1,0)</f>
        <v>1</v>
      </c>
      <c r="H64" s="0" t="n">
        <f aca="false">(IF($B64="L",1,0))+IF($C64="L",1,0)+IF($D64="L",1,0)</f>
        <v>0</v>
      </c>
      <c r="I64" s="0" t="n">
        <f aca="false">(IF(B64="V",1,0))</f>
        <v>0</v>
      </c>
      <c r="J64" s="0" t="n">
        <f aca="false">(IF(B64="E",1,0))</f>
        <v>0</v>
      </c>
      <c r="K64" s="0" t="n">
        <f aca="false">(IF(B64="O",1,0))</f>
        <v>1</v>
      </c>
      <c r="L64" s="0" t="n">
        <f aca="false">(IF(B64="L",1,0))</f>
        <v>0</v>
      </c>
      <c r="M64" s="0" t="n">
        <f aca="false">(IF(C64="V",1,0))</f>
        <v>1</v>
      </c>
      <c r="N64" s="0" t="n">
        <f aca="false">(IF(C64="E",1,0))</f>
        <v>0</v>
      </c>
      <c r="O64" s="0" t="n">
        <f aca="false">(IF(C64="O",1,0))</f>
        <v>0</v>
      </c>
      <c r="P64" s="0" t="n">
        <f aca="false">(IF(C64="L",1,0))</f>
        <v>0</v>
      </c>
      <c r="Q64" s="0" t="n">
        <f aca="false">(IF(D64="V",1,0))</f>
        <v>1</v>
      </c>
      <c r="R64" s="0" t="n">
        <f aca="false">(IF(D64="E",1,0))</f>
        <v>0</v>
      </c>
      <c r="S64" s="0" t="n">
        <f aca="false">(IF(D64="O",1,0))</f>
        <v>0</v>
      </c>
      <c r="T64" s="0" t="n">
        <f aca="false">(IF(D64="L",1,0))</f>
        <v>0</v>
      </c>
      <c r="U64" s="0" t="n">
        <f aca="false">MAX(E64-1,0)</f>
        <v>1</v>
      </c>
      <c r="V64" s="0" t="n">
        <f aca="false">MAX(U64-1+F64,0)</f>
        <v>0</v>
      </c>
      <c r="W64" s="0" t="n">
        <f aca="false">MAX(V64-1+G64,0)</f>
        <v>0</v>
      </c>
      <c r="X64" s="0" t="n">
        <f aca="false">MAX(W64-1+H64,0)</f>
        <v>0</v>
      </c>
      <c r="Y64" s="1" t="n">
        <f aca="false">0.5*(E64*I64+F64*J64+G64*K64+H64*L64-1)+(0+$U64*J64+$V64*K64+$W64*L64)</f>
        <v>0</v>
      </c>
      <c r="Z64" s="1" t="n">
        <f aca="false">0.5*(E64*M64+F64*N64+G64*O64+H64*P64-1)+(0+$U64*N64+$V64*O64+$W64*P64)</f>
        <v>0.5</v>
      </c>
      <c r="AA64" s="1" t="n">
        <f aca="false">0.5*(E64*Q64+F64*R64+G64*S64+H64*T64-1)+(0+$U64*R64+$V64*S64+$W64*T64)</f>
        <v>0.5</v>
      </c>
      <c r="AB64" s="0" t="n">
        <f aca="false">IF(B64="V",-2,0)+IF(B64="E",-1,0)+IF(B64="O",0,0)+IF(B64="L",1,0)+Y64</f>
        <v>0</v>
      </c>
      <c r="AC64" s="0" t="n">
        <f aca="false">IF(C64="V",-2,0)+IF(C64="E",-1,0)+IF(C64="O",0,0)+IF(C64="L",1,0)+Z64</f>
        <v>-1.5</v>
      </c>
      <c r="AD64" s="0" t="n">
        <f aca="false">IF(D64="V",-2,0)+IF(D64="E",-1,0)+IF(D64="O",0,0)+IF(D64="L",1,0)+AA64</f>
        <v>-1.5</v>
      </c>
      <c r="AE64" s="1" t="n">
        <f aca="false">IF(B64="V",-2,0)+IF(B64="E",-1,0)+IF(B64="O",0,0)+IF(B64="L",1,0)</f>
        <v>0</v>
      </c>
      <c r="AF64" s="1" t="n">
        <f aca="false">IF(B64="V",-2,0)+IF(B64="E",-1,0)+IF(B64="O",0,0)+IF(B64="L",1,0)+Y64</f>
        <v>0</v>
      </c>
      <c r="AG64" s="1" t="n">
        <f aca="false">IF(B64="V",-2,0)+IF(B64="E",-1,0)+IF(B64="O",0,0)+IF(B64="L",1,0)+Y64*2</f>
        <v>0</v>
      </c>
      <c r="AH64" s="1" t="n">
        <f aca="false">IF(C64="V",-2,0)+IF(C64="E",-1,0)+IF(C64="O",0,0)+IF(C64="L",1,0)</f>
        <v>-2</v>
      </c>
      <c r="AI64" s="1" t="n">
        <f aca="false">IF(C64="V",-2,0)+IF(C64="E",-1,0)+IF(C64="O",0,0)+IF(C64="L",1,0)+Z64</f>
        <v>-1.5</v>
      </c>
      <c r="AJ64" s="1" t="n">
        <f aca="false">IF(C64="V",-2,0)+IF(C64="E",-1,0)+IF(C64="O",0,0)+IF(C64="L",1,0)+Z64*2</f>
        <v>-1</v>
      </c>
      <c r="AK64" s="1" t="n">
        <f aca="false">IF(D64="V",-2,0)+IF(D64="E",-1,0)+IF(D64="O",0,0)+IF(D64="L",1,0)</f>
        <v>-2</v>
      </c>
      <c r="AL64" s="1" t="n">
        <f aca="false">IF(D64="V",-2,0)+IF(D64="E",-1,0)+IF(D64="O",0,0)+IF(D64="L",1,0)+AA64</f>
        <v>-1.5</v>
      </c>
      <c r="AM64" s="1" t="n">
        <f aca="false">IF(D64="V",-2,0)+IF(D64="E",-1,0)+IF(D64="O",0,0)+IF(D64="L",1,0)+AA64*2</f>
        <v>-1</v>
      </c>
      <c r="AN64" s="1" t="n">
        <f aca="false">(ABS(IF(AE64&lt;0,AE64*Early,AE64*Late))+ABS(IF(AF64&lt;0,AF64*Early,AF64*Late))+ABS(IF(AG64&lt;0,AG64*Early,AG64*Late)))/3</f>
        <v>0</v>
      </c>
      <c r="AO64" s="1" t="n">
        <f aca="false">(ABS(IF(AH64&lt;0,AH64*Early,AH64*Late))+ABS(IF(AI64&lt;0,AI64*Early,AI64*Late))+ABS(IF(AJ64&lt;0,AJ64*Early,AJ64*Late)))/3</f>
        <v>4.5</v>
      </c>
      <c r="AP64" s="1" t="n">
        <f aca="false">(ABS(IF(AK64&lt;0,AK64*Early,AK64*Late))+ABS(IF(AL64&lt;0,AL64*Early,AL64*Late))+ABS(IF(AM64&lt;0,AM64*Early,AM64*Late)))/3</f>
        <v>4.5</v>
      </c>
      <c r="AQ64" s="0" t="n">
        <f aca="false">Y64*Delay+AN64</f>
        <v>0</v>
      </c>
      <c r="AR64" s="0" t="n">
        <f aca="false">Z64*Delay+AO64</f>
        <v>5</v>
      </c>
      <c r="AS64" s="0" t="n">
        <f aca="false">AA64*Delay+AP64</f>
        <v>5</v>
      </c>
      <c r="AT64" s="0" t="n">
        <f aca="false">IF(AQ64=MIN(AQ62:AQ65),1,0)</f>
        <v>1</v>
      </c>
      <c r="AX64" s="0" t="str">
        <f aca="false">B64&amp;C64&amp;D64</f>
        <v>OVV</v>
      </c>
      <c r="AY64" s="1" t="n">
        <f aca="false">AQ64+AR64+AS64</f>
        <v>10</v>
      </c>
      <c r="AZ64" s="1" t="str">
        <f aca="false">RIGHT(AX64,2)</f>
        <v>VV</v>
      </c>
      <c r="BA64" s="1" t="str">
        <f aca="false">LEFT(AX64,1)&amp;RIGHT(AX64,1)</f>
        <v>OV</v>
      </c>
      <c r="BB64" s="1" t="str">
        <f aca="false">LEFT(AX64,2)</f>
        <v>OV</v>
      </c>
      <c r="BC64" s="1" t="n">
        <f aca="false">VLOOKUP(AZ64,TwoPlayers!$AG$1:$AH$17,2,FALSE())</f>
        <v>10</v>
      </c>
      <c r="BD64" s="1" t="n">
        <f aca="false">VLOOKUP(BA64,TwoPlayers!$AG$1:$AH$17,2,FALSE())</f>
        <v>6</v>
      </c>
      <c r="BE64" s="1" t="n">
        <f aca="false">VLOOKUP(BB64,TwoPlayers!$AG$1:$AH$17,2,FALSE())</f>
        <v>6</v>
      </c>
      <c r="BF64" s="1" t="n">
        <f aca="false">$AY64-BC64</f>
        <v>0</v>
      </c>
      <c r="BG64" s="1" t="n">
        <f aca="false">$AY64-BD64</f>
        <v>4</v>
      </c>
      <c r="BH64" s="1" t="n">
        <f aca="false">$AY64-BE64</f>
        <v>4</v>
      </c>
      <c r="BJ64" s="0" t="n">
        <f aca="false">AQ64+BF64</f>
        <v>0</v>
      </c>
      <c r="BK64" s="0" t="n">
        <f aca="false">AR64+BG64</f>
        <v>9</v>
      </c>
      <c r="BL64" s="0" t="n">
        <f aca="false">AS64+BH64</f>
        <v>9</v>
      </c>
      <c r="BM64" s="0" t="n">
        <f aca="false">IF(BJ64=MIN(BJ62:BJ66),1,0)</f>
        <v>1</v>
      </c>
    </row>
    <row r="65" customFormat="false" ht="13" hidden="false" customHeight="false" outlineLevel="0" collapsed="false">
      <c r="A65" s="0" t="n">
        <v>49</v>
      </c>
      <c r="B65" s="0" t="s">
        <v>4</v>
      </c>
      <c r="C65" s="0" t="s">
        <v>1</v>
      </c>
      <c r="D65" s="0" t="s">
        <v>1</v>
      </c>
      <c r="E65" s="0" t="n">
        <f aca="false">(IF($B65="V",1,0))+IF($C65="V",1,0)+IF($D65="V",1,0)</f>
        <v>2</v>
      </c>
      <c r="F65" s="0" t="n">
        <f aca="false">(IF($B65="E",1,0))+IF($C65="E",1,0)+IF($D65="E",1,0)</f>
        <v>0</v>
      </c>
      <c r="G65" s="0" t="n">
        <f aca="false">(IF($B65="O",1,0))+IF($C65="O",1,0)+IF($D65="O",1,0)</f>
        <v>0</v>
      </c>
      <c r="H65" s="0" t="n">
        <f aca="false">(IF($B65="L",1,0))+IF($C65="L",1,0)+IF($D65="L",1,0)</f>
        <v>1</v>
      </c>
      <c r="I65" s="0" t="n">
        <f aca="false">(IF(B65="V",1,0))</f>
        <v>0</v>
      </c>
      <c r="J65" s="0" t="n">
        <f aca="false">(IF(B65="E",1,0))</f>
        <v>0</v>
      </c>
      <c r="K65" s="0" t="n">
        <f aca="false">(IF(B65="O",1,0))</f>
        <v>0</v>
      </c>
      <c r="L65" s="0" t="n">
        <f aca="false">(IF(B65="L",1,0))</f>
        <v>1</v>
      </c>
      <c r="M65" s="0" t="n">
        <f aca="false">(IF(C65="V",1,0))</f>
        <v>1</v>
      </c>
      <c r="N65" s="0" t="n">
        <f aca="false">(IF(C65="E",1,0))</f>
        <v>0</v>
      </c>
      <c r="O65" s="0" t="n">
        <f aca="false">(IF(C65="O",1,0))</f>
        <v>0</v>
      </c>
      <c r="P65" s="0" t="n">
        <f aca="false">(IF(C65="L",1,0))</f>
        <v>0</v>
      </c>
      <c r="Q65" s="0" t="n">
        <f aca="false">(IF(D65="V",1,0))</f>
        <v>1</v>
      </c>
      <c r="R65" s="0" t="n">
        <f aca="false">(IF(D65="E",1,0))</f>
        <v>0</v>
      </c>
      <c r="S65" s="0" t="n">
        <f aca="false">(IF(D65="O",1,0))</f>
        <v>0</v>
      </c>
      <c r="T65" s="0" t="n">
        <f aca="false">(IF(D65="L",1,0))</f>
        <v>0</v>
      </c>
      <c r="U65" s="0" t="n">
        <f aca="false">MAX(E65-1,0)</f>
        <v>1</v>
      </c>
      <c r="V65" s="0" t="n">
        <f aca="false">MAX(U65-1+F65,0)</f>
        <v>0</v>
      </c>
      <c r="W65" s="0" t="n">
        <f aca="false">MAX(V65-1+G65,0)</f>
        <v>0</v>
      </c>
      <c r="X65" s="0" t="n">
        <f aca="false">MAX(W65-1+H65,0)</f>
        <v>0</v>
      </c>
      <c r="Y65" s="1" t="n">
        <f aca="false">0.5*(E65*I65+F65*J65+G65*K65+H65*L65-1)+(0+$U65*J65+$V65*K65+$W65*L65)</f>
        <v>0</v>
      </c>
      <c r="Z65" s="1" t="n">
        <f aca="false">0.5*(E65*M65+F65*N65+G65*O65+H65*P65-1)+(0+$U65*N65+$V65*O65+$W65*P65)</f>
        <v>0.5</v>
      </c>
      <c r="AA65" s="1" t="n">
        <f aca="false">0.5*(E65*Q65+F65*R65+G65*S65+H65*T65-1)+(0+$U65*R65+$V65*S65+$W65*T65)</f>
        <v>0.5</v>
      </c>
      <c r="AB65" s="0" t="n">
        <f aca="false">IF(B65="V",-2,0)+IF(B65="E",-1,0)+IF(B65="O",0,0)+IF(B65="L",1,0)+Y65</f>
        <v>1</v>
      </c>
      <c r="AC65" s="0" t="n">
        <f aca="false">IF(C65="V",-2,0)+IF(C65="E",-1,0)+IF(C65="O",0,0)+IF(C65="L",1,0)+Z65</f>
        <v>-1.5</v>
      </c>
      <c r="AD65" s="0" t="n">
        <f aca="false">IF(D65="V",-2,0)+IF(D65="E",-1,0)+IF(D65="O",0,0)+IF(D65="L",1,0)+AA65</f>
        <v>-1.5</v>
      </c>
      <c r="AE65" s="1" t="n">
        <f aca="false">IF(B65="V",-2,0)+IF(B65="E",-1,0)+IF(B65="O",0,0)+IF(B65="L",1,0)</f>
        <v>1</v>
      </c>
      <c r="AF65" s="1" t="n">
        <f aca="false">IF(B65="V",-2,0)+IF(B65="E",-1,0)+IF(B65="O",0,0)+IF(B65="L",1,0)+Y65</f>
        <v>1</v>
      </c>
      <c r="AG65" s="1" t="n">
        <f aca="false">IF(B65="V",-2,0)+IF(B65="E",-1,0)+IF(B65="O",0,0)+IF(B65="L",1,0)+Y65*2</f>
        <v>1</v>
      </c>
      <c r="AH65" s="1" t="n">
        <f aca="false">IF(C65="V",-2,0)+IF(C65="E",-1,0)+IF(C65="O",0,0)+IF(C65="L",1,0)</f>
        <v>-2</v>
      </c>
      <c r="AI65" s="1" t="n">
        <f aca="false">IF(C65="V",-2,0)+IF(C65="E",-1,0)+IF(C65="O",0,0)+IF(C65="L",1,0)+Z65</f>
        <v>-1.5</v>
      </c>
      <c r="AJ65" s="1" t="n">
        <f aca="false">IF(C65="V",-2,0)+IF(C65="E",-1,0)+IF(C65="O",0,0)+IF(C65="L",1,0)+Z65*2</f>
        <v>-1</v>
      </c>
      <c r="AK65" s="1" t="n">
        <f aca="false">IF(D65="V",-2,0)+IF(D65="E",-1,0)+IF(D65="O",0,0)+IF(D65="L",1,0)</f>
        <v>-2</v>
      </c>
      <c r="AL65" s="1" t="n">
        <f aca="false">IF(D65="V",-2,0)+IF(D65="E",-1,0)+IF(D65="O",0,0)+IF(D65="L",1,0)+AA65</f>
        <v>-1.5</v>
      </c>
      <c r="AM65" s="1" t="n">
        <f aca="false">IF(D65="V",-2,0)+IF(D65="E",-1,0)+IF(D65="O",0,0)+IF(D65="L",1,0)+AA65*2</f>
        <v>-1</v>
      </c>
      <c r="AN65" s="1" t="n">
        <f aca="false">(ABS(IF(AE65&lt;0,AE65*Early,AE65*Late))+ABS(IF(AF65&lt;0,AF65*Early,AF65*Late))+ABS(IF(AG65&lt;0,AG65*Early,AG65*Late)))/3</f>
        <v>4</v>
      </c>
      <c r="AO65" s="1" t="n">
        <f aca="false">(ABS(IF(AH65&lt;0,AH65*Early,AH65*Late))+ABS(IF(AI65&lt;0,AI65*Early,AI65*Late))+ABS(IF(AJ65&lt;0,AJ65*Early,AJ65*Late)))/3</f>
        <v>4.5</v>
      </c>
      <c r="AP65" s="1" t="n">
        <f aca="false">(ABS(IF(AK65&lt;0,AK65*Early,AK65*Late))+ABS(IF(AL65&lt;0,AL65*Early,AL65*Late))+ABS(IF(AM65&lt;0,AM65*Early,AM65*Late)))/3</f>
        <v>4.5</v>
      </c>
      <c r="AQ65" s="0" t="n">
        <f aca="false">Y65*Delay+AN65</f>
        <v>4</v>
      </c>
      <c r="AR65" s="0" t="n">
        <f aca="false">Z65*Delay+AO65</f>
        <v>5</v>
      </c>
      <c r="AS65" s="0" t="n">
        <f aca="false">AA65*Delay+AP65</f>
        <v>5</v>
      </c>
      <c r="AT65" s="0" t="n">
        <f aca="false">IF(AQ65=MIN(AQ62:AQ65),1,0)</f>
        <v>0</v>
      </c>
      <c r="AX65" s="1" t="str">
        <f aca="false">B65&amp;C65&amp;D65</f>
        <v>LVV</v>
      </c>
      <c r="AY65" s="1" t="n">
        <f aca="false">AQ65+AR65+AS65</f>
        <v>14</v>
      </c>
      <c r="AZ65" s="1" t="str">
        <f aca="false">RIGHT(AX65,2)</f>
        <v>VV</v>
      </c>
      <c r="BA65" s="1" t="str">
        <f aca="false">LEFT(AX65,1)&amp;RIGHT(AX65,1)</f>
        <v>LV</v>
      </c>
      <c r="BB65" s="1" t="str">
        <f aca="false">LEFT(AX65,2)</f>
        <v>LV</v>
      </c>
      <c r="BC65" s="1" t="n">
        <f aca="false">VLOOKUP(AZ65,TwoPlayers!$AG$1:$AH$17,2,FALSE())</f>
        <v>10</v>
      </c>
      <c r="BD65" s="1" t="n">
        <f aca="false">VLOOKUP(BA65,TwoPlayers!$AG$1:$AH$17,2,FALSE())</f>
        <v>10</v>
      </c>
      <c r="BE65" s="1" t="n">
        <f aca="false">VLOOKUP(BB65,TwoPlayers!$AG$1:$AH$17,2,FALSE())</f>
        <v>10</v>
      </c>
      <c r="BF65" s="1" t="n">
        <f aca="false">$AY65-BC65</f>
        <v>4</v>
      </c>
      <c r="BG65" s="1" t="n">
        <f aca="false">$AY65-BD65</f>
        <v>4</v>
      </c>
      <c r="BH65" s="1" t="n">
        <f aca="false">$AY65-BE65</f>
        <v>4</v>
      </c>
      <c r="BJ65" s="0" t="n">
        <f aca="false">AQ65+BF65</f>
        <v>8</v>
      </c>
      <c r="BK65" s="0" t="n">
        <f aca="false">AR65+BG65</f>
        <v>9</v>
      </c>
      <c r="BL65" s="0" t="n">
        <f aca="false">AS65+BH65</f>
        <v>9</v>
      </c>
      <c r="BM65" s="0" t="n">
        <f aca="false">IF(BJ65=MIN(BJ62:BJ66),1,0)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65"/>
  <sheetViews>
    <sheetView showFormulas="false" showGridLines="true" showRowColHeaders="true" showZeros="true" rightToLeft="false" tabSelected="false" showOutlineSymbols="true" defaultGridColor="true" view="normal" topLeftCell="AN1" colorId="64" zoomScale="100" zoomScaleNormal="100" zoomScalePageLayoutView="100" workbookViewId="0">
      <selection pane="topLeft" activeCell="AT1" activeCellId="0" sqref="AT1:AT16384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83" min="1" style="0" width="5.7"/>
  </cols>
  <sheetData>
    <row r="1" customFormat="false" ht="13" hidden="false" customHeight="false" outlineLevel="0" collapsed="false">
      <c r="A1" s="0" t="s">
        <v>162</v>
      </c>
      <c r="B1" s="0" t="s">
        <v>132</v>
      </c>
      <c r="C1" s="0" t="s">
        <v>133</v>
      </c>
      <c r="D1" s="0" t="s">
        <v>163</v>
      </c>
      <c r="E1" s="0" t="s">
        <v>1</v>
      </c>
      <c r="F1" s="0" t="s">
        <v>2</v>
      </c>
      <c r="G1" s="0" t="s">
        <v>3</v>
      </c>
      <c r="H1" s="0" t="s">
        <v>4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164</v>
      </c>
      <c r="R1" s="0" t="s">
        <v>165</v>
      </c>
      <c r="S1" s="0" t="s">
        <v>166</v>
      </c>
      <c r="T1" s="0" t="s">
        <v>167</v>
      </c>
      <c r="U1" s="0" t="s">
        <v>142</v>
      </c>
      <c r="V1" s="0" t="s">
        <v>143</v>
      </c>
      <c r="W1" s="0" t="s">
        <v>144</v>
      </c>
      <c r="X1" s="0" t="s">
        <v>145</v>
      </c>
      <c r="Y1" s="0" t="s">
        <v>146</v>
      </c>
      <c r="Z1" s="0" t="s">
        <v>147</v>
      </c>
      <c r="AA1" s="0" t="s">
        <v>168</v>
      </c>
      <c r="AB1" s="0" t="s">
        <v>148</v>
      </c>
      <c r="AC1" s="0" t="s">
        <v>149</v>
      </c>
      <c r="AD1" s="0" t="s">
        <v>169</v>
      </c>
      <c r="AE1" s="0" t="s">
        <v>150</v>
      </c>
      <c r="AF1" s="0" t="s">
        <v>151</v>
      </c>
      <c r="AG1" s="0" t="s">
        <v>152</v>
      </c>
      <c r="AH1" s="0" t="s">
        <v>153</v>
      </c>
      <c r="AI1" s="0" t="s">
        <v>154</v>
      </c>
      <c r="AJ1" s="0" t="s">
        <v>155</v>
      </c>
      <c r="AK1" s="0" t="s">
        <v>170</v>
      </c>
      <c r="AL1" s="0" t="s">
        <v>171</v>
      </c>
      <c r="AM1" s="0" t="s">
        <v>172</v>
      </c>
      <c r="AN1" s="0" t="s">
        <v>156</v>
      </c>
      <c r="AO1" s="0" t="s">
        <v>157</v>
      </c>
      <c r="AP1" s="0" t="s">
        <v>173</v>
      </c>
      <c r="AQ1" s="0" t="s">
        <v>158</v>
      </c>
      <c r="AR1" s="0" t="s">
        <v>159</v>
      </c>
      <c r="AS1" s="0" t="s">
        <v>174</v>
      </c>
      <c r="AT1" s="0" t="s">
        <v>176</v>
      </c>
      <c r="AX1" s="0" t="s">
        <v>179</v>
      </c>
      <c r="AY1" s="0" t="s">
        <v>161</v>
      </c>
      <c r="AZ1" s="0" t="s">
        <v>180</v>
      </c>
      <c r="BA1" s="0" t="s">
        <v>181</v>
      </c>
      <c r="BB1" s="0" t="s">
        <v>182</v>
      </c>
      <c r="BC1" s="0" t="s">
        <v>183</v>
      </c>
      <c r="BD1" s="0" t="s">
        <v>184</v>
      </c>
      <c r="BE1" s="0" t="s">
        <v>185</v>
      </c>
      <c r="BF1" s="0" t="s">
        <v>186</v>
      </c>
      <c r="BG1" s="0" t="s">
        <v>187</v>
      </c>
      <c r="BH1" s="0" t="s">
        <v>188</v>
      </c>
      <c r="BJ1" s="0" t="s">
        <v>158</v>
      </c>
      <c r="BK1" s="0" t="s">
        <v>159</v>
      </c>
      <c r="BL1" s="0" t="s">
        <v>174</v>
      </c>
      <c r="BM1" s="0" t="s">
        <v>176</v>
      </c>
    </row>
    <row r="2" customFormat="false" ht="13" hidden="false" customHeight="false" outlineLevel="0" collapsed="false">
      <c r="A2" s="0" t="n">
        <v>18</v>
      </c>
      <c r="B2" s="0" t="s">
        <v>2</v>
      </c>
      <c r="C2" s="0" t="s">
        <v>1</v>
      </c>
      <c r="D2" s="0" t="s">
        <v>2</v>
      </c>
      <c r="E2" s="0" t="n">
        <f aca="false">(IF($B2="V",1,0))+IF($C2="V",1,0)+IF($D2="V",1,0)</f>
        <v>1</v>
      </c>
      <c r="F2" s="0" t="n">
        <f aca="false">(IF($B2="E",1,0))+IF($C2="E",1,0)+IF($D2="E",1,0)</f>
        <v>2</v>
      </c>
      <c r="G2" s="0" t="n">
        <f aca="false">(IF($B2="O",1,0))+IF($C2="O",1,0)+IF($D2="O",1,0)</f>
        <v>0</v>
      </c>
      <c r="H2" s="0" t="n">
        <f aca="false">(IF($B2="L",1,0))+IF($C2="L",1,0)+IF($D2="L",1,0)</f>
        <v>0</v>
      </c>
      <c r="I2" s="0" t="n">
        <f aca="false">(IF(B2="V",1,0))</f>
        <v>0</v>
      </c>
      <c r="J2" s="0" t="n">
        <f aca="false">(IF(B2="E",1,0))</f>
        <v>1</v>
      </c>
      <c r="K2" s="0" t="n">
        <f aca="false">(IF(B2="O",1,0))</f>
        <v>0</v>
      </c>
      <c r="L2" s="0" t="n">
        <f aca="false">(IF(B2="L",1,0))</f>
        <v>0</v>
      </c>
      <c r="M2" s="0" t="n">
        <f aca="false">(IF(C2="V",1,0))</f>
        <v>1</v>
      </c>
      <c r="N2" s="0" t="n">
        <f aca="false">(IF(C2="E",1,0))</f>
        <v>0</v>
      </c>
      <c r="O2" s="0" t="n">
        <f aca="false">(IF(C2="O",1,0))</f>
        <v>0</v>
      </c>
      <c r="P2" s="0" t="n">
        <f aca="false">(IF(C2="L",1,0))</f>
        <v>0</v>
      </c>
      <c r="Q2" s="0" t="n">
        <f aca="false">(IF(D2="V",1,0))</f>
        <v>0</v>
      </c>
      <c r="R2" s="0" t="n">
        <f aca="false">(IF(D2="E",1,0))</f>
        <v>1</v>
      </c>
      <c r="S2" s="0" t="n">
        <f aca="false">(IF(D2="O",1,0))</f>
        <v>0</v>
      </c>
      <c r="T2" s="0" t="n">
        <f aca="false">(IF(D2="L",1,0))</f>
        <v>0</v>
      </c>
      <c r="U2" s="0" t="n">
        <f aca="false">MAX(E2-1,0)</f>
        <v>0</v>
      </c>
      <c r="V2" s="0" t="n">
        <f aca="false">MAX(U2-1+F2,0)</f>
        <v>1</v>
      </c>
      <c r="W2" s="0" t="n">
        <f aca="false">MAX(V2-1+G2,0)</f>
        <v>0</v>
      </c>
      <c r="X2" s="0" t="n">
        <f aca="false">MAX(W2-1+H2,0)</f>
        <v>0</v>
      </c>
      <c r="Y2" s="1" t="n">
        <f aca="false">0.5*(E2*I2+F2*J2+G2*K2+H2*L2-1)+(0+$U2*J2+$V2*K2+$W2*L2)</f>
        <v>0.5</v>
      </c>
      <c r="Z2" s="1" t="n">
        <f aca="false">0.5*(E2*M2+F2*N2+G2*O2+H2*P2-1)+(0+$U2*N2+$V2*O2+$W2*P2)</f>
        <v>0</v>
      </c>
      <c r="AA2" s="1" t="n">
        <f aca="false">0.5*(E2*Q2+F2*R2+G2*S2+H2*T2-1)+(0+$U2*R2+$V2*S2+$W2*T2)</f>
        <v>0.5</v>
      </c>
      <c r="AB2" s="0" t="n">
        <f aca="false">IF(B2="V",-2,0)+IF(B2="E",-1,0)+IF(B2="O",0,0)+IF(B2="L",1,0)+Y2</f>
        <v>-0.5</v>
      </c>
      <c r="AC2" s="0" t="n">
        <f aca="false">IF(C2="V",-2,0)+IF(C2="E",-1,0)+IF(C2="O",0,0)+IF(C2="L",1,0)+Z2</f>
        <v>-2</v>
      </c>
      <c r="AD2" s="0" t="n">
        <f aca="false">IF(D2="V",-2,0)+IF(D2="E",-1,0)+IF(D2="O",0,0)+IF(D2="L",1,0)+AA2</f>
        <v>-0.5</v>
      </c>
      <c r="AE2" s="1" t="n">
        <f aca="false">IF(B2="V",-2,0)+IF(B2="E",-1,0)+IF(B2="O",0,0)+IF(B2="L",1,0)</f>
        <v>-1</v>
      </c>
      <c r="AF2" s="1" t="n">
        <f aca="false">IF(B2="V",-2,0)+IF(B2="E",-1,0)+IF(B2="O",0,0)+IF(B2="L",1,0)+Y2</f>
        <v>-0.5</v>
      </c>
      <c r="AG2" s="1" t="n">
        <f aca="false">IF(B2="V",-2,0)+IF(B2="E",-1,0)+IF(B2="O",0,0)+IF(B2="L",1,0)+Y2*2</f>
        <v>0</v>
      </c>
      <c r="AH2" s="1" t="n">
        <f aca="false">IF(C2="V",-2,0)+IF(C2="E",-1,0)+IF(C2="O",0,0)+IF(C2="L",1,0)</f>
        <v>-2</v>
      </c>
      <c r="AI2" s="1" t="n">
        <f aca="false">IF(C2="V",-2,0)+IF(C2="E",-1,0)+IF(C2="O",0,0)+IF(C2="L",1,0)+Z2</f>
        <v>-2</v>
      </c>
      <c r="AJ2" s="1" t="n">
        <f aca="false">IF(C2="V",-2,0)+IF(C2="E",-1,0)+IF(C2="O",0,0)+IF(C2="L",1,0)+Z2*2</f>
        <v>-2</v>
      </c>
      <c r="AK2" s="1" t="n">
        <f aca="false">IF(D2="V",-2,0)+IF(D2="E",-1,0)+IF(D2="O",0,0)+IF(D2="L",1,0)</f>
        <v>-1</v>
      </c>
      <c r="AL2" s="1" t="n">
        <f aca="false">IF(D2="V",-2,0)+IF(D2="E",-1,0)+IF(D2="O",0,0)+IF(D2="L",1,0)+AA2</f>
        <v>-0.5</v>
      </c>
      <c r="AM2" s="1" t="n">
        <f aca="false">IF(D2="V",-2,0)+IF(D2="E",-1,0)+IF(D2="O",0,0)+IF(D2="L",1,0)+AA2*2</f>
        <v>0</v>
      </c>
      <c r="AN2" s="1" t="n">
        <f aca="false">(ABS(IF(AE2&lt;0,AE2*Early,AE2*Late))+ABS(IF(AF2&lt;0,AF2*Early,AF2*Late))+ABS(IF(AG2&lt;0,AG2*Early,AG2*Late)))/3</f>
        <v>1.5</v>
      </c>
      <c r="AO2" s="1" t="n">
        <f aca="false">(ABS(IF(AH2&lt;0,AH2*Early,AH2*Late))+ABS(IF(AI2&lt;0,AI2*Early,AI2*Late))+ABS(IF(AJ2&lt;0,AJ2*Early,AJ2*Late)))/3</f>
        <v>6</v>
      </c>
      <c r="AP2" s="1" t="n">
        <f aca="false">(ABS(IF(AK2&lt;0,AK2*Early,AK2*Late))+ABS(IF(AL2&lt;0,AL2*Early,AL2*Late))+ABS(IF(AM2&lt;0,AM2*Early,AM2*Late)))/3</f>
        <v>1.5</v>
      </c>
      <c r="AQ2" s="0" t="n">
        <f aca="false">Y2*Delay+AN2</f>
        <v>2</v>
      </c>
      <c r="AR2" s="0" t="n">
        <f aca="false">Z2*Delay+AO2</f>
        <v>6</v>
      </c>
      <c r="AS2" s="0" t="n">
        <f aca="false">AA2*Delay+AP2</f>
        <v>2</v>
      </c>
      <c r="AT2" s="0" t="n">
        <f aca="false">IF(AR2=MIN(AR2:AR5),1,0)</f>
        <v>0</v>
      </c>
      <c r="AX2" s="1" t="str">
        <f aca="false">B2&amp;C2&amp;D2</f>
        <v>EVE</v>
      </c>
      <c r="AY2" s="1" t="n">
        <f aca="false">AQ2+AR2+AS2</f>
        <v>10</v>
      </c>
      <c r="AZ2" s="1" t="str">
        <f aca="false">RIGHT(AX2,2)</f>
        <v>VE</v>
      </c>
      <c r="BA2" s="1" t="str">
        <f aca="false">LEFT(AX2,1)&amp;RIGHT(AX2,1)</f>
        <v>EE</v>
      </c>
      <c r="BB2" s="1" t="str">
        <f aca="false">LEFT(AX2,2)</f>
        <v>EV</v>
      </c>
      <c r="BC2" s="1" t="n">
        <f aca="false">VLOOKUP(AZ2,TwoPlayers!$AG$1:$AH$17,2,FALSE())</f>
        <v>9</v>
      </c>
      <c r="BD2" s="1" t="n">
        <f aca="false">VLOOKUP(BA2,TwoPlayers!$AG$1:$AH$17,2,FALSE())</f>
        <v>4</v>
      </c>
      <c r="BE2" s="1" t="n">
        <f aca="false">VLOOKUP(BB2,TwoPlayers!$AG$1:$AH$17,2,FALSE())</f>
        <v>9</v>
      </c>
      <c r="BF2" s="1" t="n">
        <f aca="false">$AY2-BC2</f>
        <v>1</v>
      </c>
      <c r="BG2" s="1" t="n">
        <f aca="false">$AY2-BD2</f>
        <v>6</v>
      </c>
      <c r="BH2" s="1" t="n">
        <f aca="false">$AY2-BE2</f>
        <v>1</v>
      </c>
      <c r="BJ2" s="0" t="n">
        <f aca="false">AQ2+BF2</f>
        <v>3</v>
      </c>
      <c r="BK2" s="0" t="n">
        <f aca="false">AR2+BG2</f>
        <v>12</v>
      </c>
      <c r="BL2" s="0" t="n">
        <f aca="false">AS2+BH2</f>
        <v>3</v>
      </c>
      <c r="BM2" s="0" t="n">
        <f aca="false">IF(BK2=MIN(BK2:BK6),1,0)</f>
        <v>0</v>
      </c>
    </row>
    <row r="3" customFormat="false" ht="13" hidden="false" customHeight="false" outlineLevel="0" collapsed="false">
      <c r="A3" s="0" t="n">
        <v>22</v>
      </c>
      <c r="B3" s="0" t="s">
        <v>2</v>
      </c>
      <c r="C3" s="0" t="s">
        <v>2</v>
      </c>
      <c r="D3" s="0" t="s">
        <v>2</v>
      </c>
      <c r="E3" s="0" t="n">
        <f aca="false">(IF($B3="V",1,0))+IF($C3="V",1,0)+IF($D3="V",1,0)</f>
        <v>0</v>
      </c>
      <c r="F3" s="0" t="n">
        <f aca="false">(IF($B3="E",1,0))+IF($C3="E",1,0)+IF($D3="E",1,0)</f>
        <v>3</v>
      </c>
      <c r="G3" s="0" t="n">
        <f aca="false">(IF($B3="O",1,0))+IF($C3="O",1,0)+IF($D3="O",1,0)</f>
        <v>0</v>
      </c>
      <c r="H3" s="0" t="n">
        <f aca="false">(IF($B3="L",1,0))+IF($C3="L",1,0)+IF($D3="L",1,0)</f>
        <v>0</v>
      </c>
      <c r="I3" s="0" t="n">
        <f aca="false">(IF(B3="V",1,0))</f>
        <v>0</v>
      </c>
      <c r="J3" s="0" t="n">
        <f aca="false">(IF(B3="E",1,0))</f>
        <v>1</v>
      </c>
      <c r="K3" s="0" t="n">
        <f aca="false">(IF(B3="O",1,0))</f>
        <v>0</v>
      </c>
      <c r="L3" s="0" t="n">
        <f aca="false">(IF(B3="L",1,0))</f>
        <v>0</v>
      </c>
      <c r="M3" s="0" t="n">
        <f aca="false">(IF(C3="V",1,0))</f>
        <v>0</v>
      </c>
      <c r="N3" s="0" t="n">
        <f aca="false">(IF(C3="E",1,0))</f>
        <v>1</v>
      </c>
      <c r="O3" s="0" t="n">
        <f aca="false">(IF(C3="O",1,0))</f>
        <v>0</v>
      </c>
      <c r="P3" s="0" t="n">
        <f aca="false">(IF(C3="L",1,0))</f>
        <v>0</v>
      </c>
      <c r="Q3" s="0" t="n">
        <f aca="false">(IF(D3="V",1,0))</f>
        <v>0</v>
      </c>
      <c r="R3" s="0" t="n">
        <f aca="false">(IF(D3="E",1,0))</f>
        <v>1</v>
      </c>
      <c r="S3" s="0" t="n">
        <f aca="false">(IF(D3="O",1,0))</f>
        <v>0</v>
      </c>
      <c r="T3" s="0" t="n">
        <f aca="false">(IF(D3="L",1,0))</f>
        <v>0</v>
      </c>
      <c r="U3" s="0" t="n">
        <f aca="false">MAX(E3-1,0)</f>
        <v>0</v>
      </c>
      <c r="V3" s="0" t="n">
        <f aca="false">MAX(U3-1+F3,0)</f>
        <v>2</v>
      </c>
      <c r="W3" s="0" t="n">
        <f aca="false">MAX(V3-1+G3,0)</f>
        <v>1</v>
      </c>
      <c r="X3" s="0" t="n">
        <f aca="false">MAX(W3-1+H3,0)</f>
        <v>0</v>
      </c>
      <c r="Y3" s="1" t="n">
        <f aca="false">0.5*(E3*I3+F3*J3+G3*K3+H3*L3-1)+(0+$U3*J3+$V3*K3+$W3*L3)</f>
        <v>1</v>
      </c>
      <c r="Z3" s="1" t="n">
        <f aca="false">0.5*(E3*M3+F3*N3+G3*O3+H3*P3-1)+(0+$U3*N3+$V3*O3+$W3*P3)</f>
        <v>1</v>
      </c>
      <c r="AA3" s="1" t="n">
        <f aca="false">0.5*(E3*Q3+F3*R3+G3*S3+H3*T3-1)+(0+$U3*R3+$V3*S3+$W3*T3)</f>
        <v>1</v>
      </c>
      <c r="AB3" s="0" t="n">
        <f aca="false">IF(B3="V",-2,0)+IF(B3="E",-1,0)+IF(B3="O",0,0)+IF(B3="L",1,0)+Y3</f>
        <v>0</v>
      </c>
      <c r="AC3" s="0" t="n">
        <f aca="false">IF(C3="V",-2,0)+IF(C3="E",-1,0)+IF(C3="O",0,0)+IF(C3="L",1,0)+Z3</f>
        <v>0</v>
      </c>
      <c r="AD3" s="0" t="n">
        <f aca="false">IF(D3="V",-2,0)+IF(D3="E",-1,0)+IF(D3="O",0,0)+IF(D3="L",1,0)+AA3</f>
        <v>0</v>
      </c>
      <c r="AE3" s="1" t="n">
        <f aca="false">IF(B3="V",-2,0)+IF(B3="E",-1,0)+IF(B3="O",0,0)+IF(B3="L",1,0)</f>
        <v>-1</v>
      </c>
      <c r="AF3" s="1" t="n">
        <f aca="false">IF(B3="V",-2,0)+IF(B3="E",-1,0)+IF(B3="O",0,0)+IF(B3="L",1,0)+Y3</f>
        <v>0</v>
      </c>
      <c r="AG3" s="1" t="n">
        <f aca="false">IF(B3="V",-2,0)+IF(B3="E",-1,0)+IF(B3="O",0,0)+IF(B3="L",1,0)+Y3*2</f>
        <v>1</v>
      </c>
      <c r="AH3" s="1" t="n">
        <f aca="false">IF(C3="V",-2,0)+IF(C3="E",-1,0)+IF(C3="O",0,0)+IF(C3="L",1,0)</f>
        <v>-1</v>
      </c>
      <c r="AI3" s="1" t="n">
        <f aca="false">IF(C3="V",-2,0)+IF(C3="E",-1,0)+IF(C3="O",0,0)+IF(C3="L",1,0)+Z3</f>
        <v>0</v>
      </c>
      <c r="AJ3" s="1" t="n">
        <f aca="false">IF(C3="V",-2,0)+IF(C3="E",-1,0)+IF(C3="O",0,0)+IF(C3="L",1,0)+Z3*2</f>
        <v>1</v>
      </c>
      <c r="AK3" s="1" t="n">
        <f aca="false">IF(D3="V",-2,0)+IF(D3="E",-1,0)+IF(D3="O",0,0)+IF(D3="L",1,0)</f>
        <v>-1</v>
      </c>
      <c r="AL3" s="1" t="n">
        <f aca="false">IF(D3="V",-2,0)+IF(D3="E",-1,0)+IF(D3="O",0,0)+IF(D3="L",1,0)+AA3</f>
        <v>0</v>
      </c>
      <c r="AM3" s="1" t="n">
        <f aca="false">IF(D3="V",-2,0)+IF(D3="E",-1,0)+IF(D3="O",0,0)+IF(D3="L",1,0)+AA3*2</f>
        <v>1</v>
      </c>
      <c r="AN3" s="1" t="n">
        <f aca="false">(ABS(IF(AE3&lt;0,AE3*Early,AE3*Late))+ABS(IF(AF3&lt;0,AF3*Early,AF3*Late))+ABS(IF(AG3&lt;0,AG3*Early,AG3*Late)))/3</f>
        <v>2.33333333333333</v>
      </c>
      <c r="AO3" s="1" t="n">
        <f aca="false">(ABS(IF(AH3&lt;0,AH3*Early,AH3*Late))+ABS(IF(AI3&lt;0,AI3*Early,AI3*Late))+ABS(IF(AJ3&lt;0,AJ3*Early,AJ3*Late)))/3</f>
        <v>2.33333333333333</v>
      </c>
      <c r="AP3" s="1" t="n">
        <f aca="false">(ABS(IF(AK3&lt;0,AK3*Early,AK3*Late))+ABS(IF(AL3&lt;0,AL3*Early,AL3*Late))+ABS(IF(AM3&lt;0,AM3*Early,AM3*Late)))/3</f>
        <v>2.33333333333333</v>
      </c>
      <c r="AQ3" s="0" t="n">
        <f aca="false">Y3*Delay+AN3</f>
        <v>3.33333333333333</v>
      </c>
      <c r="AR3" s="0" t="n">
        <f aca="false">Z3*Delay+AO3</f>
        <v>3.33333333333333</v>
      </c>
      <c r="AS3" s="0" t="n">
        <f aca="false">AA3*Delay+AP3</f>
        <v>3.33333333333333</v>
      </c>
      <c r="AT3" s="0" t="n">
        <f aca="false">IF(AR3=MIN(AR2:AR5),1,0)</f>
        <v>1</v>
      </c>
      <c r="AX3" s="0" t="str">
        <f aca="false">B3&amp;C3&amp;D3</f>
        <v>EEE</v>
      </c>
      <c r="AY3" s="1" t="n">
        <f aca="false">AQ3+AR3+AS3</f>
        <v>10</v>
      </c>
      <c r="AZ3" s="1" t="str">
        <f aca="false">RIGHT(AX3,2)</f>
        <v>EE</v>
      </c>
      <c r="BA3" s="1" t="str">
        <f aca="false">LEFT(AX3,1)&amp;RIGHT(AX3,1)</f>
        <v>EE</v>
      </c>
      <c r="BB3" s="1" t="str">
        <f aca="false">LEFT(AX3,2)</f>
        <v>EE</v>
      </c>
      <c r="BC3" s="1" t="n">
        <f aca="false">VLOOKUP(AZ3,TwoPlayers!$AG$1:$AH$17,2,FALSE())</f>
        <v>4</v>
      </c>
      <c r="BD3" s="1" t="n">
        <f aca="false">VLOOKUP(BA3,TwoPlayers!$AG$1:$AH$17,2,FALSE())</f>
        <v>4</v>
      </c>
      <c r="BE3" s="1" t="n">
        <f aca="false">VLOOKUP(BB3,TwoPlayers!$AG$1:$AH$17,2,FALSE())</f>
        <v>4</v>
      </c>
      <c r="BF3" s="1" t="n">
        <f aca="false">$AY3-BC3</f>
        <v>6</v>
      </c>
      <c r="BG3" s="1" t="n">
        <f aca="false">$AY3-BD3</f>
        <v>6</v>
      </c>
      <c r="BH3" s="1" t="n">
        <f aca="false">$AY3-BE3</f>
        <v>6</v>
      </c>
      <c r="BJ3" s="0" t="n">
        <f aca="false">AQ3+BF3</f>
        <v>9.33333333333333</v>
      </c>
      <c r="BK3" s="0" t="n">
        <f aca="false">AR3+BG3</f>
        <v>9.33333333333333</v>
      </c>
      <c r="BL3" s="0" t="n">
        <f aca="false">AS3+BH3</f>
        <v>9.33333333333333</v>
      </c>
      <c r="BM3" s="0" t="n">
        <f aca="false">IF(BK3=MIN(BK2:BK6),1,0)</f>
        <v>0</v>
      </c>
    </row>
    <row r="4" customFormat="false" ht="13" hidden="false" customHeight="false" outlineLevel="0" collapsed="false">
      <c r="A4" s="0" t="n">
        <v>26</v>
      </c>
      <c r="B4" s="0" t="s">
        <v>2</v>
      </c>
      <c r="C4" s="0" t="s">
        <v>3</v>
      </c>
      <c r="D4" s="0" t="s">
        <v>2</v>
      </c>
      <c r="E4" s="0" t="n">
        <f aca="false">(IF($B4="V",1,0))+IF($C4="V",1,0)+IF($D4="V",1,0)</f>
        <v>0</v>
      </c>
      <c r="F4" s="0" t="n">
        <f aca="false">(IF($B4="E",1,0))+IF($C4="E",1,0)+IF($D4="E",1,0)</f>
        <v>2</v>
      </c>
      <c r="G4" s="0" t="n">
        <f aca="false">(IF($B4="O",1,0))+IF($C4="O",1,0)+IF($D4="O",1,0)</f>
        <v>1</v>
      </c>
      <c r="H4" s="0" t="n">
        <f aca="false">(IF($B4="L",1,0))+IF($C4="L",1,0)+IF($D4="L",1,0)</f>
        <v>0</v>
      </c>
      <c r="I4" s="0" t="n">
        <f aca="false">(IF(B4="V",1,0))</f>
        <v>0</v>
      </c>
      <c r="J4" s="0" t="n">
        <f aca="false">(IF(B4="E",1,0))</f>
        <v>1</v>
      </c>
      <c r="K4" s="0" t="n">
        <f aca="false">(IF(B4="O",1,0))</f>
        <v>0</v>
      </c>
      <c r="L4" s="0" t="n">
        <f aca="false">(IF(B4="L",1,0))</f>
        <v>0</v>
      </c>
      <c r="M4" s="0" t="n">
        <f aca="false">(IF(C4="V",1,0))</f>
        <v>0</v>
      </c>
      <c r="N4" s="0" t="n">
        <f aca="false">(IF(C4="E",1,0))</f>
        <v>0</v>
      </c>
      <c r="O4" s="0" t="n">
        <f aca="false">(IF(C4="O",1,0))</f>
        <v>1</v>
      </c>
      <c r="P4" s="0" t="n">
        <f aca="false">(IF(C4="L",1,0))</f>
        <v>0</v>
      </c>
      <c r="Q4" s="0" t="n">
        <f aca="false">(IF(D4="V",1,0))</f>
        <v>0</v>
      </c>
      <c r="R4" s="0" t="n">
        <f aca="false">(IF(D4="E",1,0))</f>
        <v>1</v>
      </c>
      <c r="S4" s="0" t="n">
        <f aca="false">(IF(D4="O",1,0))</f>
        <v>0</v>
      </c>
      <c r="T4" s="0" t="n">
        <f aca="false">(IF(D4="L",1,0))</f>
        <v>0</v>
      </c>
      <c r="U4" s="0" t="n">
        <f aca="false">MAX(E4-1,0)</f>
        <v>0</v>
      </c>
      <c r="V4" s="0" t="n">
        <f aca="false">MAX(U4-1+F4,0)</f>
        <v>1</v>
      </c>
      <c r="W4" s="0" t="n">
        <f aca="false">MAX(V4-1+G4,0)</f>
        <v>1</v>
      </c>
      <c r="X4" s="0" t="n">
        <f aca="false">MAX(W4-1+H4,0)</f>
        <v>0</v>
      </c>
      <c r="Y4" s="1" t="n">
        <f aca="false">0.5*(E4*I4+F4*J4+G4*K4+H4*L4-1)+(0+$U4*J4+$V4*K4+$W4*L4)</f>
        <v>0.5</v>
      </c>
      <c r="Z4" s="1" t="n">
        <f aca="false">0.5*(E4*M4+F4*N4+G4*O4+H4*P4-1)+(0+$U4*N4+$V4*O4+$W4*P4)</f>
        <v>1</v>
      </c>
      <c r="AA4" s="1" t="n">
        <f aca="false">0.5*(E4*Q4+F4*R4+G4*S4+H4*T4-1)+(0+$U4*R4+$V4*S4+$W4*T4)</f>
        <v>0.5</v>
      </c>
      <c r="AB4" s="0" t="n">
        <f aca="false">IF(B4="V",-2,0)+IF(B4="E",-1,0)+IF(B4="O",0,0)+IF(B4="L",1,0)+Y4</f>
        <v>-0.5</v>
      </c>
      <c r="AC4" s="0" t="n">
        <f aca="false">IF(C4="V",-2,0)+IF(C4="E",-1,0)+IF(C4="O",0,0)+IF(C4="L",1,0)+Z4</f>
        <v>1</v>
      </c>
      <c r="AD4" s="0" t="n">
        <f aca="false">IF(D4="V",-2,0)+IF(D4="E",-1,0)+IF(D4="O",0,0)+IF(D4="L",1,0)+AA4</f>
        <v>-0.5</v>
      </c>
      <c r="AE4" s="1" t="n">
        <f aca="false">IF(B4="V",-2,0)+IF(B4="E",-1,0)+IF(B4="O",0,0)+IF(B4="L",1,0)</f>
        <v>-1</v>
      </c>
      <c r="AF4" s="1" t="n">
        <f aca="false">IF(B4="V",-2,0)+IF(B4="E",-1,0)+IF(B4="O",0,0)+IF(B4="L",1,0)+Y4</f>
        <v>-0.5</v>
      </c>
      <c r="AG4" s="1" t="n">
        <f aca="false">IF(B4="V",-2,0)+IF(B4="E",-1,0)+IF(B4="O",0,0)+IF(B4="L",1,0)+Y4*2</f>
        <v>0</v>
      </c>
      <c r="AH4" s="1" t="n">
        <f aca="false">IF(C4="V",-2,0)+IF(C4="E",-1,0)+IF(C4="O",0,0)+IF(C4="L",1,0)</f>
        <v>0</v>
      </c>
      <c r="AI4" s="1" t="n">
        <f aca="false">IF(C4="V",-2,0)+IF(C4="E",-1,0)+IF(C4="O",0,0)+IF(C4="L",1,0)+Z4</f>
        <v>1</v>
      </c>
      <c r="AJ4" s="1" t="n">
        <f aca="false">IF(C4="V",-2,0)+IF(C4="E",-1,0)+IF(C4="O",0,0)+IF(C4="L",1,0)+Z4*2</f>
        <v>2</v>
      </c>
      <c r="AK4" s="1" t="n">
        <f aca="false">IF(D4="V",-2,0)+IF(D4="E",-1,0)+IF(D4="O",0,0)+IF(D4="L",1,0)</f>
        <v>-1</v>
      </c>
      <c r="AL4" s="1" t="n">
        <f aca="false">IF(D4="V",-2,0)+IF(D4="E",-1,0)+IF(D4="O",0,0)+IF(D4="L",1,0)+AA4</f>
        <v>-0.5</v>
      </c>
      <c r="AM4" s="1" t="n">
        <f aca="false">IF(D4="V",-2,0)+IF(D4="E",-1,0)+IF(D4="O",0,0)+IF(D4="L",1,0)+AA4*2</f>
        <v>0</v>
      </c>
      <c r="AN4" s="1" t="n">
        <f aca="false">(ABS(IF(AE4&lt;0,AE4*Early,AE4*Late))+ABS(IF(AF4&lt;0,AF4*Early,AF4*Late))+ABS(IF(AG4&lt;0,AG4*Early,AG4*Late)))/3</f>
        <v>1.5</v>
      </c>
      <c r="AO4" s="1" t="n">
        <f aca="false">(ABS(IF(AH4&lt;0,AH4*Early,AH4*Late))+ABS(IF(AI4&lt;0,AI4*Early,AI4*Late))+ABS(IF(AJ4&lt;0,AJ4*Early,AJ4*Late)))/3</f>
        <v>4</v>
      </c>
      <c r="AP4" s="1" t="n">
        <f aca="false">(ABS(IF(AK4&lt;0,AK4*Early,AK4*Late))+ABS(IF(AL4&lt;0,AL4*Early,AL4*Late))+ABS(IF(AM4&lt;0,AM4*Early,AM4*Late)))/3</f>
        <v>1.5</v>
      </c>
      <c r="AQ4" s="0" t="n">
        <f aca="false">Y4*Delay+AN4</f>
        <v>2</v>
      </c>
      <c r="AR4" s="0" t="n">
        <f aca="false">Z4*Delay+AO4</f>
        <v>5</v>
      </c>
      <c r="AS4" s="0" t="n">
        <f aca="false">AA4*Delay+AP4</f>
        <v>2</v>
      </c>
      <c r="AT4" s="0" t="n">
        <f aca="false">IF(AR4=MIN(AR2:AR5),1,0)</f>
        <v>0</v>
      </c>
      <c r="AX4" s="0" t="str">
        <f aca="false">B4&amp;C4&amp;D4</f>
        <v>EOE</v>
      </c>
      <c r="AY4" s="1" t="n">
        <f aca="false">AQ4+AR4+AS4</f>
        <v>9</v>
      </c>
      <c r="AZ4" s="1" t="str">
        <f aca="false">RIGHT(AX4,2)</f>
        <v>OE</v>
      </c>
      <c r="BA4" s="1" t="str">
        <f aca="false">LEFT(AX4,1)&amp;RIGHT(AX4,1)</f>
        <v>EE</v>
      </c>
      <c r="BB4" s="1" t="str">
        <f aca="false">LEFT(AX4,2)</f>
        <v>EO</v>
      </c>
      <c r="BC4" s="1" t="n">
        <f aca="false">VLOOKUP(AZ4,TwoPlayers!$AG$1:$AH$17,2,FALSE())</f>
        <v>3</v>
      </c>
      <c r="BD4" s="1" t="n">
        <f aca="false">VLOOKUP(BA4,TwoPlayers!$AG$1:$AH$17,2,FALSE())</f>
        <v>4</v>
      </c>
      <c r="BE4" s="1" t="n">
        <f aca="false">VLOOKUP(BB4,TwoPlayers!$AG$1:$AH$17,2,FALSE())</f>
        <v>3</v>
      </c>
      <c r="BF4" s="1" t="n">
        <f aca="false">$AY4-BC4</f>
        <v>6</v>
      </c>
      <c r="BG4" s="1" t="n">
        <f aca="false">$AY4-BD4</f>
        <v>5</v>
      </c>
      <c r="BH4" s="1" t="n">
        <f aca="false">$AY4-BE4</f>
        <v>6</v>
      </c>
      <c r="BJ4" s="0" t="n">
        <f aca="false">AQ4+BF4</f>
        <v>8</v>
      </c>
      <c r="BK4" s="0" t="n">
        <f aca="false">AR4+BG4</f>
        <v>10</v>
      </c>
      <c r="BL4" s="0" t="n">
        <f aca="false">AS4+BH4</f>
        <v>8</v>
      </c>
      <c r="BM4" s="0" t="n">
        <f aca="false">IF(BK4=MIN(BK2:BK6),1,0)</f>
        <v>0</v>
      </c>
    </row>
    <row r="5" customFormat="false" ht="13" hidden="false" customHeight="false" outlineLevel="0" collapsed="false">
      <c r="A5" s="0" t="n">
        <v>30</v>
      </c>
      <c r="B5" s="0" t="s">
        <v>2</v>
      </c>
      <c r="C5" s="0" t="s">
        <v>4</v>
      </c>
      <c r="D5" s="0" t="s">
        <v>2</v>
      </c>
      <c r="E5" s="0" t="n">
        <f aca="false">(IF($B5="V",1,0))+IF($C5="V",1,0)+IF($D5="V",1,0)</f>
        <v>0</v>
      </c>
      <c r="F5" s="0" t="n">
        <f aca="false">(IF($B5="E",1,0))+IF($C5="E",1,0)+IF($D5="E",1,0)</f>
        <v>2</v>
      </c>
      <c r="G5" s="0" t="n">
        <f aca="false">(IF($B5="O",1,0))+IF($C5="O",1,0)+IF($D5="O",1,0)</f>
        <v>0</v>
      </c>
      <c r="H5" s="0" t="n">
        <f aca="false">(IF($B5="L",1,0))+IF($C5="L",1,0)+IF($D5="L",1,0)</f>
        <v>1</v>
      </c>
      <c r="I5" s="0" t="n">
        <f aca="false">(IF(B5="V",1,0))</f>
        <v>0</v>
      </c>
      <c r="J5" s="0" t="n">
        <f aca="false">(IF(B5="E",1,0))</f>
        <v>1</v>
      </c>
      <c r="K5" s="0" t="n">
        <f aca="false">(IF(B5="O",1,0))</f>
        <v>0</v>
      </c>
      <c r="L5" s="0" t="n">
        <f aca="false">(IF(B5="L",1,0))</f>
        <v>0</v>
      </c>
      <c r="M5" s="0" t="n">
        <f aca="false">(IF(C5="V",1,0))</f>
        <v>0</v>
      </c>
      <c r="N5" s="0" t="n">
        <f aca="false">(IF(C5="E",1,0))</f>
        <v>0</v>
      </c>
      <c r="O5" s="0" t="n">
        <f aca="false">(IF(C5="O",1,0))</f>
        <v>0</v>
      </c>
      <c r="P5" s="0" t="n">
        <f aca="false">(IF(C5="L",1,0))</f>
        <v>1</v>
      </c>
      <c r="Q5" s="0" t="n">
        <f aca="false">(IF(D5="V",1,0))</f>
        <v>0</v>
      </c>
      <c r="R5" s="0" t="n">
        <f aca="false">(IF(D5="E",1,0))</f>
        <v>1</v>
      </c>
      <c r="S5" s="0" t="n">
        <f aca="false">(IF(D5="O",1,0))</f>
        <v>0</v>
      </c>
      <c r="T5" s="0" t="n">
        <f aca="false">(IF(D5="L",1,0))</f>
        <v>0</v>
      </c>
      <c r="U5" s="0" t="n">
        <f aca="false">MAX(E5-1,0)</f>
        <v>0</v>
      </c>
      <c r="V5" s="0" t="n">
        <f aca="false">MAX(U5-1+F5,0)</f>
        <v>1</v>
      </c>
      <c r="W5" s="0" t="n">
        <f aca="false">MAX(V5-1+G5,0)</f>
        <v>0</v>
      </c>
      <c r="X5" s="0" t="n">
        <f aca="false">MAX(W5-1+H5,0)</f>
        <v>0</v>
      </c>
      <c r="Y5" s="1" t="n">
        <f aca="false">0.5*(E5*I5+F5*J5+G5*K5+H5*L5-1)+(0+$U5*J5+$V5*K5+$W5*L5)</f>
        <v>0.5</v>
      </c>
      <c r="Z5" s="1" t="n">
        <f aca="false">0.5*(E5*M5+F5*N5+G5*O5+H5*P5-1)+(0+$U5*N5+$V5*O5+$W5*P5)</f>
        <v>0</v>
      </c>
      <c r="AA5" s="1" t="n">
        <f aca="false">0.5*(E5*Q5+F5*R5+G5*S5+H5*T5-1)+(0+$U5*R5+$V5*S5+$W5*T5)</f>
        <v>0.5</v>
      </c>
      <c r="AB5" s="0" t="n">
        <f aca="false">IF(B5="V",-2,0)+IF(B5="E",-1,0)+IF(B5="O",0,0)+IF(B5="L",1,0)+Y5</f>
        <v>-0.5</v>
      </c>
      <c r="AC5" s="0" t="n">
        <f aca="false">IF(C5="V",-2,0)+IF(C5="E",-1,0)+IF(C5="O",0,0)+IF(C5="L",1,0)+Z5</f>
        <v>1</v>
      </c>
      <c r="AD5" s="0" t="n">
        <f aca="false">IF(D5="V",-2,0)+IF(D5="E",-1,0)+IF(D5="O",0,0)+IF(D5="L",1,0)+AA5</f>
        <v>-0.5</v>
      </c>
      <c r="AE5" s="1" t="n">
        <f aca="false">IF(B5="V",-2,0)+IF(B5="E",-1,0)+IF(B5="O",0,0)+IF(B5="L",1,0)</f>
        <v>-1</v>
      </c>
      <c r="AF5" s="1" t="n">
        <f aca="false">IF(B5="V",-2,0)+IF(B5="E",-1,0)+IF(B5="O",0,0)+IF(B5="L",1,0)+Y5</f>
        <v>-0.5</v>
      </c>
      <c r="AG5" s="1" t="n">
        <f aca="false">IF(B5="V",-2,0)+IF(B5="E",-1,0)+IF(B5="O",0,0)+IF(B5="L",1,0)+Y5*2</f>
        <v>0</v>
      </c>
      <c r="AH5" s="1" t="n">
        <f aca="false">IF(C5="V",-2,0)+IF(C5="E",-1,0)+IF(C5="O",0,0)+IF(C5="L",1,0)</f>
        <v>1</v>
      </c>
      <c r="AI5" s="1" t="n">
        <f aca="false">IF(C5="V",-2,0)+IF(C5="E",-1,0)+IF(C5="O",0,0)+IF(C5="L",1,0)+Z5</f>
        <v>1</v>
      </c>
      <c r="AJ5" s="1" t="n">
        <f aca="false">IF(C5="V",-2,0)+IF(C5="E",-1,0)+IF(C5="O",0,0)+IF(C5="L",1,0)+Z5*2</f>
        <v>1</v>
      </c>
      <c r="AK5" s="1" t="n">
        <f aca="false">IF(D5="V",-2,0)+IF(D5="E",-1,0)+IF(D5="O",0,0)+IF(D5="L",1,0)</f>
        <v>-1</v>
      </c>
      <c r="AL5" s="1" t="n">
        <f aca="false">IF(D5="V",-2,0)+IF(D5="E",-1,0)+IF(D5="O",0,0)+IF(D5="L",1,0)+AA5</f>
        <v>-0.5</v>
      </c>
      <c r="AM5" s="1" t="n">
        <f aca="false">IF(D5="V",-2,0)+IF(D5="E",-1,0)+IF(D5="O",0,0)+IF(D5="L",1,0)+AA5*2</f>
        <v>0</v>
      </c>
      <c r="AN5" s="1" t="n">
        <f aca="false">(ABS(IF(AE5&lt;0,AE5*Early,AE5*Late))+ABS(IF(AF5&lt;0,AF5*Early,AF5*Late))+ABS(IF(AG5&lt;0,AG5*Early,AG5*Late)))/3</f>
        <v>1.5</v>
      </c>
      <c r="AO5" s="1" t="n">
        <f aca="false">(ABS(IF(AH5&lt;0,AH5*Early,AH5*Late))+ABS(IF(AI5&lt;0,AI5*Early,AI5*Late))+ABS(IF(AJ5&lt;0,AJ5*Early,AJ5*Late)))/3</f>
        <v>4</v>
      </c>
      <c r="AP5" s="1" t="n">
        <f aca="false">(ABS(IF(AK5&lt;0,AK5*Early,AK5*Late))+ABS(IF(AL5&lt;0,AL5*Early,AL5*Late))+ABS(IF(AM5&lt;0,AM5*Early,AM5*Late)))/3</f>
        <v>1.5</v>
      </c>
      <c r="AQ5" s="0" t="n">
        <f aca="false">Y5*Delay+AN5</f>
        <v>2</v>
      </c>
      <c r="AR5" s="0" t="n">
        <f aca="false">Z5*Delay+AO5</f>
        <v>4</v>
      </c>
      <c r="AS5" s="0" t="n">
        <f aca="false">AA5*Delay+AP5</f>
        <v>2</v>
      </c>
      <c r="AT5" s="0" t="n">
        <f aca="false">IF(AR5=MIN(AR2:AR5),1,0)</f>
        <v>0</v>
      </c>
      <c r="AX5" s="0" t="str">
        <f aca="false">B5&amp;C5&amp;D5</f>
        <v>ELE</v>
      </c>
      <c r="AY5" s="1" t="n">
        <f aca="false">AQ5+AR5+AS5</f>
        <v>8</v>
      </c>
      <c r="AZ5" s="1" t="str">
        <f aca="false">RIGHT(AX5,2)</f>
        <v>LE</v>
      </c>
      <c r="BA5" s="1" t="str">
        <f aca="false">LEFT(AX5,1)&amp;RIGHT(AX5,1)</f>
        <v>EE</v>
      </c>
      <c r="BB5" s="1" t="str">
        <f aca="false">LEFT(AX5,2)</f>
        <v>EL</v>
      </c>
      <c r="BC5" s="1" t="n">
        <f aca="false">VLOOKUP(AZ5,TwoPlayers!$AG$1:$AH$17,2,FALSE())</f>
        <v>7</v>
      </c>
      <c r="BD5" s="1" t="n">
        <f aca="false">VLOOKUP(BA5,TwoPlayers!$AG$1:$AH$17,2,FALSE())</f>
        <v>4</v>
      </c>
      <c r="BE5" s="1" t="n">
        <f aca="false">VLOOKUP(BB5,TwoPlayers!$AG$1:$AH$17,2,FALSE())</f>
        <v>7</v>
      </c>
      <c r="BF5" s="1" t="n">
        <f aca="false">$AY5-BC5</f>
        <v>1</v>
      </c>
      <c r="BG5" s="1" t="n">
        <f aca="false">$AY5-BD5</f>
        <v>4</v>
      </c>
      <c r="BH5" s="1" t="n">
        <f aca="false">$AY5-BE5</f>
        <v>1</v>
      </c>
      <c r="BJ5" s="0" t="n">
        <f aca="false">AQ5+BF5</f>
        <v>3</v>
      </c>
      <c r="BK5" s="0" t="n">
        <f aca="false">AR5+BG5</f>
        <v>8</v>
      </c>
      <c r="BL5" s="0" t="n">
        <f aca="false">AS5+BH5</f>
        <v>3</v>
      </c>
      <c r="BM5" s="0" t="n">
        <f aca="false">IF(BK5=MIN(BK2:BK6),1,0)</f>
        <v>1</v>
      </c>
    </row>
    <row r="6" customFormat="false" ht="13" hidden="false" customHeight="false" outlineLevel="0" collapsed="false">
      <c r="A6" s="0" t="n">
        <v>20</v>
      </c>
      <c r="B6" s="0" t="s">
        <v>2</v>
      </c>
      <c r="C6" s="0" t="s">
        <v>1</v>
      </c>
      <c r="D6" s="0" t="s">
        <v>4</v>
      </c>
      <c r="E6" s="0" t="n">
        <f aca="false">(IF($B6="V",1,0))+IF($C6="V",1,0)+IF($D6="V",1,0)</f>
        <v>1</v>
      </c>
      <c r="F6" s="0" t="n">
        <f aca="false">(IF($B6="E",1,0))+IF($C6="E",1,0)+IF($D6="E",1,0)</f>
        <v>1</v>
      </c>
      <c r="G6" s="0" t="n">
        <f aca="false">(IF($B6="O",1,0))+IF($C6="O",1,0)+IF($D6="O",1,0)</f>
        <v>0</v>
      </c>
      <c r="H6" s="0" t="n">
        <f aca="false">(IF($B6="L",1,0))+IF($C6="L",1,0)+IF($D6="L",1,0)</f>
        <v>1</v>
      </c>
      <c r="I6" s="0" t="n">
        <f aca="false">(IF(B6="V",1,0))</f>
        <v>0</v>
      </c>
      <c r="J6" s="0" t="n">
        <f aca="false">(IF(B6="E",1,0))</f>
        <v>1</v>
      </c>
      <c r="K6" s="0" t="n">
        <f aca="false">(IF(B6="O",1,0))</f>
        <v>0</v>
      </c>
      <c r="L6" s="0" t="n">
        <f aca="false">(IF(B6="L",1,0))</f>
        <v>0</v>
      </c>
      <c r="M6" s="0" t="n">
        <f aca="false">(IF(C6="V",1,0))</f>
        <v>1</v>
      </c>
      <c r="N6" s="0" t="n">
        <f aca="false">(IF(C6="E",1,0))</f>
        <v>0</v>
      </c>
      <c r="O6" s="0" t="n">
        <f aca="false">(IF(C6="O",1,0))</f>
        <v>0</v>
      </c>
      <c r="P6" s="0" t="n">
        <f aca="false">(IF(C6="L",1,0))</f>
        <v>0</v>
      </c>
      <c r="Q6" s="0" t="n">
        <f aca="false">(IF(D6="V",1,0))</f>
        <v>0</v>
      </c>
      <c r="R6" s="0" t="n">
        <f aca="false">(IF(D6="E",1,0))</f>
        <v>0</v>
      </c>
      <c r="S6" s="0" t="n">
        <f aca="false">(IF(D6="O",1,0))</f>
        <v>0</v>
      </c>
      <c r="T6" s="0" t="n">
        <f aca="false">(IF(D6="L",1,0))</f>
        <v>1</v>
      </c>
      <c r="U6" s="0" t="n">
        <f aca="false">MAX(E6-1,0)</f>
        <v>0</v>
      </c>
      <c r="V6" s="0" t="n">
        <f aca="false">MAX(U6-1+F6,0)</f>
        <v>0</v>
      </c>
      <c r="W6" s="0" t="n">
        <f aca="false">MAX(V6-1+G6,0)</f>
        <v>0</v>
      </c>
      <c r="X6" s="0" t="n">
        <f aca="false">MAX(W6-1+H6,0)</f>
        <v>0</v>
      </c>
      <c r="Y6" s="1" t="n">
        <f aca="false">0.5*(E6*I6+F6*J6+G6*K6+H6*L6-1)+(0+$U6*J6+$V6*K6+$W6*L6)</f>
        <v>0</v>
      </c>
      <c r="Z6" s="1" t="n">
        <f aca="false">0.5*(E6*M6+F6*N6+G6*O6+H6*P6-1)+(0+$U6*N6+$V6*O6+$W6*P6)</f>
        <v>0</v>
      </c>
      <c r="AA6" s="1" t="n">
        <f aca="false">0.5*(E6*Q6+F6*R6+G6*S6+H6*T6-1)+(0+$U6*R6+$V6*S6+$W6*T6)</f>
        <v>0</v>
      </c>
      <c r="AB6" s="0" t="n">
        <f aca="false">IF(B6="V",-2,0)+IF(B6="E",-1,0)+IF(B6="O",0,0)+IF(B6="L",1,0)+Y6</f>
        <v>-1</v>
      </c>
      <c r="AC6" s="0" t="n">
        <f aca="false">IF(C6="V",-2,0)+IF(C6="E",-1,0)+IF(C6="O",0,0)+IF(C6="L",1,0)+Z6</f>
        <v>-2</v>
      </c>
      <c r="AD6" s="0" t="n">
        <f aca="false">IF(D6="V",-2,0)+IF(D6="E",-1,0)+IF(D6="O",0,0)+IF(D6="L",1,0)+AA6</f>
        <v>1</v>
      </c>
      <c r="AE6" s="1" t="n">
        <f aca="false">IF(B6="V",-2,0)+IF(B6="E",-1,0)+IF(B6="O",0,0)+IF(B6="L",1,0)</f>
        <v>-1</v>
      </c>
      <c r="AF6" s="1" t="n">
        <f aca="false">IF(B6="V",-2,0)+IF(B6="E",-1,0)+IF(B6="O",0,0)+IF(B6="L",1,0)+Y6</f>
        <v>-1</v>
      </c>
      <c r="AG6" s="1" t="n">
        <f aca="false">IF(B6="V",-2,0)+IF(B6="E",-1,0)+IF(B6="O",0,0)+IF(B6="L",1,0)+Y6*2</f>
        <v>-1</v>
      </c>
      <c r="AH6" s="1" t="n">
        <f aca="false">IF(C6="V",-2,0)+IF(C6="E",-1,0)+IF(C6="O",0,0)+IF(C6="L",1,0)</f>
        <v>-2</v>
      </c>
      <c r="AI6" s="1" t="n">
        <f aca="false">IF(C6="V",-2,0)+IF(C6="E",-1,0)+IF(C6="O",0,0)+IF(C6="L",1,0)+Z6</f>
        <v>-2</v>
      </c>
      <c r="AJ6" s="1" t="n">
        <f aca="false">IF(C6="V",-2,0)+IF(C6="E",-1,0)+IF(C6="O",0,0)+IF(C6="L",1,0)+Z6*2</f>
        <v>-2</v>
      </c>
      <c r="AK6" s="1" t="n">
        <f aca="false">IF(D6="V",-2,0)+IF(D6="E",-1,0)+IF(D6="O",0,0)+IF(D6="L",1,0)</f>
        <v>1</v>
      </c>
      <c r="AL6" s="1" t="n">
        <f aca="false">IF(D6="V",-2,0)+IF(D6="E",-1,0)+IF(D6="O",0,0)+IF(D6="L",1,0)+AA6</f>
        <v>1</v>
      </c>
      <c r="AM6" s="1" t="n">
        <f aca="false">IF(D6="V",-2,0)+IF(D6="E",-1,0)+IF(D6="O",0,0)+IF(D6="L",1,0)+AA6*2</f>
        <v>1</v>
      </c>
      <c r="AN6" s="1" t="n">
        <f aca="false">(ABS(IF(AE6&lt;0,AE6*Early,AE6*Late))+ABS(IF(AF6&lt;0,AF6*Early,AF6*Late))+ABS(IF(AG6&lt;0,AG6*Early,AG6*Late)))/3</f>
        <v>3</v>
      </c>
      <c r="AO6" s="1" t="n">
        <f aca="false">(ABS(IF(AH6&lt;0,AH6*Early,AH6*Late))+ABS(IF(AI6&lt;0,AI6*Early,AI6*Late))+ABS(IF(AJ6&lt;0,AJ6*Early,AJ6*Late)))/3</f>
        <v>6</v>
      </c>
      <c r="AP6" s="1" t="n">
        <f aca="false">(ABS(IF(AK6&lt;0,AK6*Early,AK6*Late))+ABS(IF(AL6&lt;0,AL6*Early,AL6*Late))+ABS(IF(AM6&lt;0,AM6*Early,AM6*Late)))/3</f>
        <v>4</v>
      </c>
      <c r="AQ6" s="0" t="n">
        <f aca="false">Y6*Delay+AN6</f>
        <v>3</v>
      </c>
      <c r="AR6" s="0" t="n">
        <f aca="false">Z6*Delay+AO6</f>
        <v>6</v>
      </c>
      <c r="AS6" s="0" t="n">
        <f aca="false">AA6*Delay+AP6</f>
        <v>4</v>
      </c>
      <c r="AT6" s="0" t="n">
        <f aca="false">IF(AR6=MIN(AR6:AR9),1,0)</f>
        <v>0</v>
      </c>
      <c r="AX6" s="0" t="str">
        <f aca="false">B6&amp;C6&amp;D6</f>
        <v>EVL</v>
      </c>
      <c r="AY6" s="1" t="n">
        <f aca="false">AQ6+AR6+AS6</f>
        <v>13</v>
      </c>
      <c r="AZ6" s="1" t="str">
        <f aca="false">RIGHT(AX6,2)</f>
        <v>VL</v>
      </c>
      <c r="BA6" s="1" t="str">
        <f aca="false">LEFT(AX6,1)&amp;RIGHT(AX6,1)</f>
        <v>EL</v>
      </c>
      <c r="BB6" s="1" t="str">
        <f aca="false">LEFT(AX6,2)</f>
        <v>EV</v>
      </c>
      <c r="BC6" s="1" t="n">
        <f aca="false">VLOOKUP(AZ6,TwoPlayers!$AG$1:$AH$17,2,FALSE())</f>
        <v>10</v>
      </c>
      <c r="BD6" s="1" t="n">
        <f aca="false">VLOOKUP(BA6,TwoPlayers!$AG$1:$AH$17,2,FALSE())</f>
        <v>7</v>
      </c>
      <c r="BE6" s="1" t="n">
        <f aca="false">VLOOKUP(BB6,TwoPlayers!$AG$1:$AH$17,2,FALSE())</f>
        <v>9</v>
      </c>
      <c r="BF6" s="1" t="n">
        <f aca="false">$AY6-BC6</f>
        <v>3</v>
      </c>
      <c r="BG6" s="1" t="n">
        <f aca="false">$AY6-BD6</f>
        <v>6</v>
      </c>
      <c r="BH6" s="1" t="n">
        <f aca="false">$AY6-BE6</f>
        <v>4</v>
      </c>
      <c r="BJ6" s="0" t="n">
        <f aca="false">AQ6+BF6</f>
        <v>6</v>
      </c>
      <c r="BK6" s="0" t="n">
        <f aca="false">AR6+BG6</f>
        <v>12</v>
      </c>
      <c r="BL6" s="0" t="n">
        <f aca="false">AS6+BH6</f>
        <v>8</v>
      </c>
      <c r="BM6" s="0" t="n">
        <f aca="false">IF(BK6=MIN(BK6:BK10),1,0)</f>
        <v>0</v>
      </c>
    </row>
    <row r="7" customFormat="false" ht="13" hidden="false" customHeight="false" outlineLevel="0" collapsed="false">
      <c r="A7" s="0" t="n">
        <v>24</v>
      </c>
      <c r="B7" s="0" t="s">
        <v>2</v>
      </c>
      <c r="C7" s="0" t="s">
        <v>2</v>
      </c>
      <c r="D7" s="0" t="s">
        <v>4</v>
      </c>
      <c r="E7" s="0" t="n">
        <f aca="false">(IF($B7="V",1,0))+IF($C7="V",1,0)+IF($D7="V",1,0)</f>
        <v>0</v>
      </c>
      <c r="F7" s="0" t="n">
        <f aca="false">(IF($B7="E",1,0))+IF($C7="E",1,0)+IF($D7="E",1,0)</f>
        <v>2</v>
      </c>
      <c r="G7" s="0" t="n">
        <f aca="false">(IF($B7="O",1,0))+IF($C7="O",1,0)+IF($D7="O",1,0)</f>
        <v>0</v>
      </c>
      <c r="H7" s="0" t="n">
        <f aca="false">(IF($B7="L",1,0))+IF($C7="L",1,0)+IF($D7="L",1,0)</f>
        <v>1</v>
      </c>
      <c r="I7" s="0" t="n">
        <f aca="false">(IF(B7="V",1,0))</f>
        <v>0</v>
      </c>
      <c r="J7" s="0" t="n">
        <f aca="false">(IF(B7="E",1,0))</f>
        <v>1</v>
      </c>
      <c r="K7" s="0" t="n">
        <f aca="false">(IF(B7="O",1,0))</f>
        <v>0</v>
      </c>
      <c r="L7" s="0" t="n">
        <f aca="false">(IF(B7="L",1,0))</f>
        <v>0</v>
      </c>
      <c r="M7" s="0" t="n">
        <f aca="false">(IF(C7="V",1,0))</f>
        <v>0</v>
      </c>
      <c r="N7" s="0" t="n">
        <f aca="false">(IF(C7="E",1,0))</f>
        <v>1</v>
      </c>
      <c r="O7" s="0" t="n">
        <f aca="false">(IF(C7="O",1,0))</f>
        <v>0</v>
      </c>
      <c r="P7" s="0" t="n">
        <f aca="false">(IF(C7="L",1,0))</f>
        <v>0</v>
      </c>
      <c r="Q7" s="0" t="n">
        <f aca="false">(IF(D7="V",1,0))</f>
        <v>0</v>
      </c>
      <c r="R7" s="0" t="n">
        <f aca="false">(IF(D7="E",1,0))</f>
        <v>0</v>
      </c>
      <c r="S7" s="0" t="n">
        <f aca="false">(IF(D7="O",1,0))</f>
        <v>0</v>
      </c>
      <c r="T7" s="0" t="n">
        <f aca="false">(IF(D7="L",1,0))</f>
        <v>1</v>
      </c>
      <c r="U7" s="0" t="n">
        <f aca="false">MAX(E7-1,0)</f>
        <v>0</v>
      </c>
      <c r="V7" s="0" t="n">
        <f aca="false">MAX(U7-1+F7,0)</f>
        <v>1</v>
      </c>
      <c r="W7" s="0" t="n">
        <f aca="false">MAX(V7-1+G7,0)</f>
        <v>0</v>
      </c>
      <c r="X7" s="0" t="n">
        <f aca="false">MAX(W7-1+H7,0)</f>
        <v>0</v>
      </c>
      <c r="Y7" s="1" t="n">
        <f aca="false">0.5*(E7*I7+F7*J7+G7*K7+H7*L7-1)+(0+$U7*J7+$V7*K7+$W7*L7)</f>
        <v>0.5</v>
      </c>
      <c r="Z7" s="1" t="n">
        <f aca="false">0.5*(E7*M7+F7*N7+G7*O7+H7*P7-1)+(0+$U7*N7+$V7*O7+$W7*P7)</f>
        <v>0.5</v>
      </c>
      <c r="AA7" s="1" t="n">
        <f aca="false">0.5*(E7*Q7+F7*R7+G7*S7+H7*T7-1)+(0+$U7*R7+$V7*S7+$W7*T7)</f>
        <v>0</v>
      </c>
      <c r="AB7" s="0" t="n">
        <f aca="false">IF(B7="V",-2,0)+IF(B7="E",-1,0)+IF(B7="O",0,0)+IF(B7="L",1,0)+Y7</f>
        <v>-0.5</v>
      </c>
      <c r="AC7" s="0" t="n">
        <f aca="false">IF(C7="V",-2,0)+IF(C7="E",-1,0)+IF(C7="O",0,0)+IF(C7="L",1,0)+Z7</f>
        <v>-0.5</v>
      </c>
      <c r="AD7" s="0" t="n">
        <f aca="false">IF(D7="V",-2,0)+IF(D7="E",-1,0)+IF(D7="O",0,0)+IF(D7="L",1,0)+AA7</f>
        <v>1</v>
      </c>
      <c r="AE7" s="1" t="n">
        <f aca="false">IF(B7="V",-2,0)+IF(B7="E",-1,0)+IF(B7="O",0,0)+IF(B7="L",1,0)</f>
        <v>-1</v>
      </c>
      <c r="AF7" s="1" t="n">
        <f aca="false">IF(B7="V",-2,0)+IF(B7="E",-1,0)+IF(B7="O",0,0)+IF(B7="L",1,0)+Y7</f>
        <v>-0.5</v>
      </c>
      <c r="AG7" s="1" t="n">
        <f aca="false">IF(B7="V",-2,0)+IF(B7="E",-1,0)+IF(B7="O",0,0)+IF(B7="L",1,0)+Y7*2</f>
        <v>0</v>
      </c>
      <c r="AH7" s="1" t="n">
        <f aca="false">IF(C7="V",-2,0)+IF(C7="E",-1,0)+IF(C7="O",0,0)+IF(C7="L",1,0)</f>
        <v>-1</v>
      </c>
      <c r="AI7" s="1" t="n">
        <f aca="false">IF(C7="V",-2,0)+IF(C7="E",-1,0)+IF(C7="O",0,0)+IF(C7="L",1,0)+Z7</f>
        <v>-0.5</v>
      </c>
      <c r="AJ7" s="1" t="n">
        <f aca="false">IF(C7="V",-2,0)+IF(C7="E",-1,0)+IF(C7="O",0,0)+IF(C7="L",1,0)+Z7*2</f>
        <v>0</v>
      </c>
      <c r="AK7" s="1" t="n">
        <f aca="false">IF(D7="V",-2,0)+IF(D7="E",-1,0)+IF(D7="O",0,0)+IF(D7="L",1,0)</f>
        <v>1</v>
      </c>
      <c r="AL7" s="1" t="n">
        <f aca="false">IF(D7="V",-2,0)+IF(D7="E",-1,0)+IF(D7="O",0,0)+IF(D7="L",1,0)+AA7</f>
        <v>1</v>
      </c>
      <c r="AM7" s="1" t="n">
        <f aca="false">IF(D7="V",-2,0)+IF(D7="E",-1,0)+IF(D7="O",0,0)+IF(D7="L",1,0)+AA7*2</f>
        <v>1</v>
      </c>
      <c r="AN7" s="1" t="n">
        <f aca="false">(ABS(IF(AE7&lt;0,AE7*Early,AE7*Late))+ABS(IF(AF7&lt;0,AF7*Early,AF7*Late))+ABS(IF(AG7&lt;0,AG7*Early,AG7*Late)))/3</f>
        <v>1.5</v>
      </c>
      <c r="AO7" s="1" t="n">
        <f aca="false">(ABS(IF(AH7&lt;0,AH7*Early,AH7*Late))+ABS(IF(AI7&lt;0,AI7*Early,AI7*Late))+ABS(IF(AJ7&lt;0,AJ7*Early,AJ7*Late)))/3</f>
        <v>1.5</v>
      </c>
      <c r="AP7" s="1" t="n">
        <f aca="false">(ABS(IF(AK7&lt;0,AK7*Early,AK7*Late))+ABS(IF(AL7&lt;0,AL7*Early,AL7*Late))+ABS(IF(AM7&lt;0,AM7*Early,AM7*Late)))/3</f>
        <v>4</v>
      </c>
      <c r="AQ7" s="0" t="n">
        <f aca="false">Y7*Delay+AN7</f>
        <v>2</v>
      </c>
      <c r="AR7" s="0" t="n">
        <f aca="false">Z7*Delay+AO7</f>
        <v>2</v>
      </c>
      <c r="AS7" s="0" t="n">
        <f aca="false">AA7*Delay+AP7</f>
        <v>4</v>
      </c>
      <c r="AT7" s="0" t="n">
        <f aca="false">IF(AR7=MIN(AR6:AR9),1,0)</f>
        <v>0</v>
      </c>
      <c r="AX7" s="0" t="str">
        <f aca="false">B7&amp;C7&amp;D7</f>
        <v>EEL</v>
      </c>
      <c r="AY7" s="1" t="n">
        <f aca="false">AQ7+AR7+AS7</f>
        <v>8</v>
      </c>
      <c r="AZ7" s="1" t="str">
        <f aca="false">RIGHT(AX7,2)</f>
        <v>EL</v>
      </c>
      <c r="BA7" s="1" t="str">
        <f aca="false">LEFT(AX7,1)&amp;RIGHT(AX7,1)</f>
        <v>EL</v>
      </c>
      <c r="BB7" s="1" t="str">
        <f aca="false">LEFT(AX7,2)</f>
        <v>EE</v>
      </c>
      <c r="BC7" s="1" t="n">
        <f aca="false">VLOOKUP(AZ7,TwoPlayers!$AG$1:$AH$17,2,FALSE())</f>
        <v>7</v>
      </c>
      <c r="BD7" s="1" t="n">
        <f aca="false">VLOOKUP(BA7,TwoPlayers!$AG$1:$AH$17,2,FALSE())</f>
        <v>7</v>
      </c>
      <c r="BE7" s="1" t="n">
        <f aca="false">VLOOKUP(BB7,TwoPlayers!$AG$1:$AH$17,2,FALSE())</f>
        <v>4</v>
      </c>
      <c r="BF7" s="1" t="n">
        <f aca="false">$AY7-BC7</f>
        <v>1</v>
      </c>
      <c r="BG7" s="1" t="n">
        <f aca="false">$AY7-BD7</f>
        <v>1</v>
      </c>
      <c r="BH7" s="1" t="n">
        <f aca="false">$AY7-BE7</f>
        <v>4</v>
      </c>
      <c r="BJ7" s="0" t="n">
        <f aca="false">AQ7+BF7</f>
        <v>3</v>
      </c>
      <c r="BK7" s="0" t="n">
        <f aca="false">AR7+BG7</f>
        <v>3</v>
      </c>
      <c r="BL7" s="0" t="n">
        <f aca="false">AS7+BH7</f>
        <v>8</v>
      </c>
      <c r="BM7" s="0" t="n">
        <f aca="false">IF(BK7=MIN(BK6:BK10),1,0)</f>
        <v>0</v>
      </c>
    </row>
    <row r="8" customFormat="false" ht="13" hidden="false" customHeight="false" outlineLevel="0" collapsed="false">
      <c r="A8" s="0" t="n">
        <v>28</v>
      </c>
      <c r="B8" s="0" t="s">
        <v>2</v>
      </c>
      <c r="C8" s="0" t="s">
        <v>3</v>
      </c>
      <c r="D8" s="0" t="s">
        <v>4</v>
      </c>
      <c r="E8" s="0" t="n">
        <f aca="false">(IF($B8="V",1,0))+IF($C8="V",1,0)+IF($D8="V",1,0)</f>
        <v>0</v>
      </c>
      <c r="F8" s="0" t="n">
        <f aca="false">(IF($B8="E",1,0))+IF($C8="E",1,0)+IF($D8="E",1,0)</f>
        <v>1</v>
      </c>
      <c r="G8" s="0" t="n">
        <f aca="false">(IF($B8="O",1,0))+IF($C8="O",1,0)+IF($D8="O",1,0)</f>
        <v>1</v>
      </c>
      <c r="H8" s="0" t="n">
        <f aca="false">(IF($B8="L",1,0))+IF($C8="L",1,0)+IF($D8="L",1,0)</f>
        <v>1</v>
      </c>
      <c r="I8" s="0" t="n">
        <f aca="false">(IF(B8="V",1,0))</f>
        <v>0</v>
      </c>
      <c r="J8" s="0" t="n">
        <f aca="false">(IF(B8="E",1,0))</f>
        <v>1</v>
      </c>
      <c r="K8" s="0" t="n">
        <f aca="false">(IF(B8="O",1,0))</f>
        <v>0</v>
      </c>
      <c r="L8" s="0" t="n">
        <f aca="false">(IF(B8="L",1,0))</f>
        <v>0</v>
      </c>
      <c r="M8" s="0" t="n">
        <f aca="false">(IF(C8="V",1,0))</f>
        <v>0</v>
      </c>
      <c r="N8" s="0" t="n">
        <f aca="false">(IF(C8="E",1,0))</f>
        <v>0</v>
      </c>
      <c r="O8" s="0" t="n">
        <f aca="false">(IF(C8="O",1,0))</f>
        <v>1</v>
      </c>
      <c r="P8" s="0" t="n">
        <f aca="false">(IF(C8="L",1,0))</f>
        <v>0</v>
      </c>
      <c r="Q8" s="0" t="n">
        <f aca="false">(IF(D8="V",1,0))</f>
        <v>0</v>
      </c>
      <c r="R8" s="0" t="n">
        <f aca="false">(IF(D8="E",1,0))</f>
        <v>0</v>
      </c>
      <c r="S8" s="0" t="n">
        <f aca="false">(IF(D8="O",1,0))</f>
        <v>0</v>
      </c>
      <c r="T8" s="0" t="n">
        <f aca="false">(IF(D8="L",1,0))</f>
        <v>1</v>
      </c>
      <c r="U8" s="0" t="n">
        <f aca="false">MAX(E8-1,0)</f>
        <v>0</v>
      </c>
      <c r="V8" s="0" t="n">
        <f aca="false">MAX(U8-1+F8,0)</f>
        <v>0</v>
      </c>
      <c r="W8" s="0" t="n">
        <f aca="false">MAX(V8-1+G8,0)</f>
        <v>0</v>
      </c>
      <c r="X8" s="0" t="n">
        <f aca="false">MAX(W8-1+H8,0)</f>
        <v>0</v>
      </c>
      <c r="Y8" s="1" t="n">
        <f aca="false">0.5*(E8*I8+F8*J8+G8*K8+H8*L8-1)+(0+$U8*J8+$V8*K8+$W8*L8)</f>
        <v>0</v>
      </c>
      <c r="Z8" s="1" t="n">
        <f aca="false">0.5*(E8*M8+F8*N8+G8*O8+H8*P8-1)+(0+$U8*N8+$V8*O8+$W8*P8)</f>
        <v>0</v>
      </c>
      <c r="AA8" s="1" t="n">
        <f aca="false">0.5*(E8*Q8+F8*R8+G8*S8+H8*T8-1)+(0+$U8*R8+$V8*S8+$W8*T8)</f>
        <v>0</v>
      </c>
      <c r="AB8" s="0" t="n">
        <f aca="false">IF(B8="V",-2,0)+IF(B8="E",-1,0)+IF(B8="O",0,0)+IF(B8="L",1,0)+Y8</f>
        <v>-1</v>
      </c>
      <c r="AC8" s="0" t="n">
        <f aca="false">IF(C8="V",-2,0)+IF(C8="E",-1,0)+IF(C8="O",0,0)+IF(C8="L",1,0)+Z8</f>
        <v>0</v>
      </c>
      <c r="AD8" s="0" t="n">
        <f aca="false">IF(D8="V",-2,0)+IF(D8="E",-1,0)+IF(D8="O",0,0)+IF(D8="L",1,0)+AA8</f>
        <v>1</v>
      </c>
      <c r="AE8" s="1" t="n">
        <f aca="false">IF(B8="V",-2,0)+IF(B8="E",-1,0)+IF(B8="O",0,0)+IF(B8="L",1,0)</f>
        <v>-1</v>
      </c>
      <c r="AF8" s="1" t="n">
        <f aca="false">IF(B8="V",-2,0)+IF(B8="E",-1,0)+IF(B8="O",0,0)+IF(B8="L",1,0)+Y8</f>
        <v>-1</v>
      </c>
      <c r="AG8" s="1" t="n">
        <f aca="false">IF(B8="V",-2,0)+IF(B8="E",-1,0)+IF(B8="O",0,0)+IF(B8="L",1,0)+Y8*2</f>
        <v>-1</v>
      </c>
      <c r="AH8" s="1" t="n">
        <f aca="false">IF(C8="V",-2,0)+IF(C8="E",-1,0)+IF(C8="O",0,0)+IF(C8="L",1,0)</f>
        <v>0</v>
      </c>
      <c r="AI8" s="1" t="n">
        <f aca="false">IF(C8="V",-2,0)+IF(C8="E",-1,0)+IF(C8="O",0,0)+IF(C8="L",1,0)+Z8</f>
        <v>0</v>
      </c>
      <c r="AJ8" s="1" t="n">
        <f aca="false">IF(C8="V",-2,0)+IF(C8="E",-1,0)+IF(C8="O",0,0)+IF(C8="L",1,0)+Z8*2</f>
        <v>0</v>
      </c>
      <c r="AK8" s="1" t="n">
        <f aca="false">IF(D8="V",-2,0)+IF(D8="E",-1,0)+IF(D8="O",0,0)+IF(D8="L",1,0)</f>
        <v>1</v>
      </c>
      <c r="AL8" s="1" t="n">
        <f aca="false">IF(D8="V",-2,0)+IF(D8="E",-1,0)+IF(D8="O",0,0)+IF(D8="L",1,0)+AA8</f>
        <v>1</v>
      </c>
      <c r="AM8" s="1" t="n">
        <f aca="false">IF(D8="V",-2,0)+IF(D8="E",-1,0)+IF(D8="O",0,0)+IF(D8="L",1,0)+AA8*2</f>
        <v>1</v>
      </c>
      <c r="AN8" s="1" t="n">
        <f aca="false">(ABS(IF(AE8&lt;0,AE8*Early,AE8*Late))+ABS(IF(AF8&lt;0,AF8*Early,AF8*Late))+ABS(IF(AG8&lt;0,AG8*Early,AG8*Late)))/3</f>
        <v>3</v>
      </c>
      <c r="AO8" s="1" t="n">
        <f aca="false">(ABS(IF(AH8&lt;0,AH8*Early,AH8*Late))+ABS(IF(AI8&lt;0,AI8*Early,AI8*Late))+ABS(IF(AJ8&lt;0,AJ8*Early,AJ8*Late)))/3</f>
        <v>0</v>
      </c>
      <c r="AP8" s="1" t="n">
        <f aca="false">(ABS(IF(AK8&lt;0,AK8*Early,AK8*Late))+ABS(IF(AL8&lt;0,AL8*Early,AL8*Late))+ABS(IF(AM8&lt;0,AM8*Early,AM8*Late)))/3</f>
        <v>4</v>
      </c>
      <c r="AQ8" s="0" t="n">
        <f aca="false">Y8*Delay+AN8</f>
        <v>3</v>
      </c>
      <c r="AR8" s="0" t="n">
        <f aca="false">Z8*Delay+AO8</f>
        <v>0</v>
      </c>
      <c r="AS8" s="0" t="n">
        <f aca="false">AA8*Delay+AP8</f>
        <v>4</v>
      </c>
      <c r="AT8" s="0" t="n">
        <f aca="false">IF(AR8=MIN(AR6:AR9),1,0)</f>
        <v>1</v>
      </c>
      <c r="AX8" s="0" t="str">
        <f aca="false">B8&amp;C8&amp;D8</f>
        <v>EOL</v>
      </c>
      <c r="AY8" s="1" t="n">
        <f aca="false">AQ8+AR8+AS8</f>
        <v>7</v>
      </c>
      <c r="AZ8" s="1" t="str">
        <f aca="false">RIGHT(AX8,2)</f>
        <v>OL</v>
      </c>
      <c r="BA8" s="1" t="str">
        <f aca="false">LEFT(AX8,1)&amp;RIGHT(AX8,1)</f>
        <v>EL</v>
      </c>
      <c r="BB8" s="1" t="str">
        <f aca="false">LEFT(AX8,2)</f>
        <v>EO</v>
      </c>
      <c r="BC8" s="1" t="n">
        <f aca="false">VLOOKUP(AZ8,TwoPlayers!$AG$1:$AH$17,2,FALSE())</f>
        <v>4</v>
      </c>
      <c r="BD8" s="1" t="n">
        <f aca="false">VLOOKUP(BA8,TwoPlayers!$AG$1:$AH$17,2,FALSE())</f>
        <v>7</v>
      </c>
      <c r="BE8" s="1" t="n">
        <f aca="false">VLOOKUP(BB8,TwoPlayers!$AG$1:$AH$17,2,FALSE())</f>
        <v>3</v>
      </c>
      <c r="BF8" s="1" t="n">
        <f aca="false">$AY8-BC8</f>
        <v>3</v>
      </c>
      <c r="BG8" s="1" t="n">
        <f aca="false">$AY8-BD8</f>
        <v>0</v>
      </c>
      <c r="BH8" s="1" t="n">
        <f aca="false">$AY8-BE8</f>
        <v>4</v>
      </c>
      <c r="BJ8" s="0" t="n">
        <f aca="false">AQ8+BF8</f>
        <v>6</v>
      </c>
      <c r="BK8" s="0" t="n">
        <f aca="false">AR8+BG8</f>
        <v>0</v>
      </c>
      <c r="BL8" s="0" t="n">
        <f aca="false">AS8+BH8</f>
        <v>8</v>
      </c>
      <c r="BM8" s="0" t="n">
        <f aca="false">IF(BK8=MIN(BK6:BK10),1,0)</f>
        <v>1</v>
      </c>
    </row>
    <row r="9" customFormat="false" ht="13" hidden="false" customHeight="false" outlineLevel="0" collapsed="false">
      <c r="A9" s="0" t="n">
        <v>32</v>
      </c>
      <c r="B9" s="0" t="s">
        <v>2</v>
      </c>
      <c r="C9" s="0" t="s">
        <v>4</v>
      </c>
      <c r="D9" s="0" t="s">
        <v>4</v>
      </c>
      <c r="E9" s="0" t="n">
        <f aca="false">(IF($B9="V",1,0))+IF($C9="V",1,0)+IF($D9="V",1,0)</f>
        <v>0</v>
      </c>
      <c r="F9" s="0" t="n">
        <f aca="false">(IF($B9="E",1,0))+IF($C9="E",1,0)+IF($D9="E",1,0)</f>
        <v>1</v>
      </c>
      <c r="G9" s="0" t="n">
        <f aca="false">(IF($B9="O",1,0))+IF($C9="O",1,0)+IF($D9="O",1,0)</f>
        <v>0</v>
      </c>
      <c r="H9" s="0" t="n">
        <f aca="false">(IF($B9="L",1,0))+IF($C9="L",1,0)+IF($D9="L",1,0)</f>
        <v>2</v>
      </c>
      <c r="I9" s="0" t="n">
        <f aca="false">(IF(B9="V",1,0))</f>
        <v>0</v>
      </c>
      <c r="J9" s="0" t="n">
        <f aca="false">(IF(B9="E",1,0))</f>
        <v>1</v>
      </c>
      <c r="K9" s="0" t="n">
        <f aca="false">(IF(B9="O",1,0))</f>
        <v>0</v>
      </c>
      <c r="L9" s="0" t="n">
        <f aca="false">(IF(B9="L",1,0))</f>
        <v>0</v>
      </c>
      <c r="M9" s="0" t="n">
        <f aca="false">(IF(C9="V",1,0))</f>
        <v>0</v>
      </c>
      <c r="N9" s="0" t="n">
        <f aca="false">(IF(C9="E",1,0))</f>
        <v>0</v>
      </c>
      <c r="O9" s="0" t="n">
        <f aca="false">(IF(C9="O",1,0))</f>
        <v>0</v>
      </c>
      <c r="P9" s="0" t="n">
        <f aca="false">(IF(C9="L",1,0))</f>
        <v>1</v>
      </c>
      <c r="Q9" s="0" t="n">
        <f aca="false">(IF(D9="V",1,0))</f>
        <v>0</v>
      </c>
      <c r="R9" s="0" t="n">
        <f aca="false">(IF(D9="E",1,0))</f>
        <v>0</v>
      </c>
      <c r="S9" s="0" t="n">
        <f aca="false">(IF(D9="O",1,0))</f>
        <v>0</v>
      </c>
      <c r="T9" s="0" t="n">
        <f aca="false">(IF(D9="L",1,0))</f>
        <v>1</v>
      </c>
      <c r="U9" s="0" t="n">
        <f aca="false">MAX(E9-1,0)</f>
        <v>0</v>
      </c>
      <c r="V9" s="0" t="n">
        <f aca="false">MAX(U9-1+F9,0)</f>
        <v>0</v>
      </c>
      <c r="W9" s="0" t="n">
        <f aca="false">MAX(V9-1+G9,0)</f>
        <v>0</v>
      </c>
      <c r="X9" s="0" t="n">
        <f aca="false">MAX(W9-1+H9,0)</f>
        <v>1</v>
      </c>
      <c r="Y9" s="1" t="n">
        <f aca="false">0.5*(E9*I9+F9*J9+G9*K9+H9*L9-1)+(0+$U9*J9+$V9*K9+$W9*L9)</f>
        <v>0</v>
      </c>
      <c r="Z9" s="1" t="n">
        <f aca="false">0.5*(E9*M9+F9*N9+G9*O9+H9*P9-1)+(0+$U9*N9+$V9*O9+$W9*P9)</f>
        <v>0.5</v>
      </c>
      <c r="AA9" s="1" t="n">
        <f aca="false">0.5*(E9*Q9+F9*R9+G9*S9+H9*T9-1)+(0+$U9*R9+$V9*S9+$W9*T9)</f>
        <v>0.5</v>
      </c>
      <c r="AB9" s="0" t="n">
        <f aca="false">IF(B9="V",-2,0)+IF(B9="E",-1,0)+IF(B9="O",0,0)+IF(B9="L",1,0)+Y9</f>
        <v>-1</v>
      </c>
      <c r="AC9" s="0" t="n">
        <f aca="false">IF(C9="V",-2,0)+IF(C9="E",-1,0)+IF(C9="O",0,0)+IF(C9="L",1,0)+Z9</f>
        <v>1.5</v>
      </c>
      <c r="AD9" s="0" t="n">
        <f aca="false">IF(D9="V",-2,0)+IF(D9="E",-1,0)+IF(D9="O",0,0)+IF(D9="L",1,0)+AA9</f>
        <v>1.5</v>
      </c>
      <c r="AE9" s="1" t="n">
        <f aca="false">IF(B9="V",-2,0)+IF(B9="E",-1,0)+IF(B9="O",0,0)+IF(B9="L",1,0)</f>
        <v>-1</v>
      </c>
      <c r="AF9" s="1" t="n">
        <f aca="false">IF(B9="V",-2,0)+IF(B9="E",-1,0)+IF(B9="O",0,0)+IF(B9="L",1,0)+Y9</f>
        <v>-1</v>
      </c>
      <c r="AG9" s="1" t="n">
        <f aca="false">IF(B9="V",-2,0)+IF(B9="E",-1,0)+IF(B9="O",0,0)+IF(B9="L",1,0)+Y9*2</f>
        <v>-1</v>
      </c>
      <c r="AH9" s="1" t="n">
        <f aca="false">IF(C9="V",-2,0)+IF(C9="E",-1,0)+IF(C9="O",0,0)+IF(C9="L",1,0)</f>
        <v>1</v>
      </c>
      <c r="AI9" s="1" t="n">
        <f aca="false">IF(C9="V",-2,0)+IF(C9="E",-1,0)+IF(C9="O",0,0)+IF(C9="L",1,0)+Z9</f>
        <v>1.5</v>
      </c>
      <c r="AJ9" s="1" t="n">
        <f aca="false">IF(C9="V",-2,0)+IF(C9="E",-1,0)+IF(C9="O",0,0)+IF(C9="L",1,0)+Z9*2</f>
        <v>2</v>
      </c>
      <c r="AK9" s="1" t="n">
        <f aca="false">IF(D9="V",-2,0)+IF(D9="E",-1,0)+IF(D9="O",0,0)+IF(D9="L",1,0)</f>
        <v>1</v>
      </c>
      <c r="AL9" s="1" t="n">
        <f aca="false">IF(D9="V",-2,0)+IF(D9="E",-1,0)+IF(D9="O",0,0)+IF(D9="L",1,0)+AA9</f>
        <v>1.5</v>
      </c>
      <c r="AM9" s="1" t="n">
        <f aca="false">IF(D9="V",-2,0)+IF(D9="E",-1,0)+IF(D9="O",0,0)+IF(D9="L",1,0)+AA9*2</f>
        <v>2</v>
      </c>
      <c r="AN9" s="1" t="n">
        <f aca="false">(ABS(IF(AE9&lt;0,AE9*Early,AE9*Late))+ABS(IF(AF9&lt;0,AF9*Early,AF9*Late))+ABS(IF(AG9&lt;0,AG9*Early,AG9*Late)))/3</f>
        <v>3</v>
      </c>
      <c r="AO9" s="1" t="n">
        <f aca="false">(ABS(IF(AH9&lt;0,AH9*Early,AH9*Late))+ABS(IF(AI9&lt;0,AI9*Early,AI9*Late))+ABS(IF(AJ9&lt;0,AJ9*Early,AJ9*Late)))/3</f>
        <v>6</v>
      </c>
      <c r="AP9" s="1" t="n">
        <f aca="false">(ABS(IF(AK9&lt;0,AK9*Early,AK9*Late))+ABS(IF(AL9&lt;0,AL9*Early,AL9*Late))+ABS(IF(AM9&lt;0,AM9*Early,AM9*Late)))/3</f>
        <v>6</v>
      </c>
      <c r="AQ9" s="0" t="n">
        <f aca="false">Y9*Delay+AN9</f>
        <v>3</v>
      </c>
      <c r="AR9" s="0" t="n">
        <f aca="false">Z9*Delay+AO9</f>
        <v>6.5</v>
      </c>
      <c r="AS9" s="0" t="n">
        <f aca="false">AA9*Delay+AP9</f>
        <v>6.5</v>
      </c>
      <c r="AT9" s="0" t="n">
        <f aca="false">IF(AR9=MIN(AR6:AR9),1,0)</f>
        <v>0</v>
      </c>
      <c r="AX9" s="0" t="str">
        <f aca="false">B9&amp;C9&amp;D9</f>
        <v>ELL</v>
      </c>
      <c r="AY9" s="1" t="n">
        <f aca="false">AQ9+AR9+AS9</f>
        <v>16</v>
      </c>
      <c r="AZ9" s="1" t="str">
        <f aca="false">RIGHT(AX9,2)</f>
        <v>LL</v>
      </c>
      <c r="BA9" s="1" t="str">
        <f aca="false">LEFT(AX9,1)&amp;RIGHT(AX9,1)</f>
        <v>EL</v>
      </c>
      <c r="BB9" s="1" t="str">
        <f aca="false">LEFT(AX9,2)</f>
        <v>EL</v>
      </c>
      <c r="BC9" s="1" t="n">
        <f aca="false">VLOOKUP(AZ9,TwoPlayers!$AG$1:$AH$17,2,FALSE())</f>
        <v>13</v>
      </c>
      <c r="BD9" s="1" t="n">
        <f aca="false">VLOOKUP(BA9,TwoPlayers!$AG$1:$AH$17,2,FALSE())</f>
        <v>7</v>
      </c>
      <c r="BE9" s="1" t="n">
        <f aca="false">VLOOKUP(BB9,TwoPlayers!$AG$1:$AH$17,2,FALSE())</f>
        <v>7</v>
      </c>
      <c r="BF9" s="1" t="n">
        <f aca="false">$AY9-BC9</f>
        <v>3</v>
      </c>
      <c r="BG9" s="1" t="n">
        <f aca="false">$AY9-BD9</f>
        <v>9</v>
      </c>
      <c r="BH9" s="1" t="n">
        <f aca="false">$AY9-BE9</f>
        <v>9</v>
      </c>
      <c r="BJ9" s="0" t="n">
        <f aca="false">AQ9+BF9</f>
        <v>6</v>
      </c>
      <c r="BK9" s="0" t="n">
        <f aca="false">AR9+BG9</f>
        <v>15.5</v>
      </c>
      <c r="BL9" s="0" t="n">
        <f aca="false">AS9+BH9</f>
        <v>15.5</v>
      </c>
      <c r="BM9" s="0" t="n">
        <f aca="false">IF(BK9=MIN(BK6:BK10),1,0)</f>
        <v>0</v>
      </c>
    </row>
    <row r="10" customFormat="false" ht="13" hidden="false" customHeight="false" outlineLevel="0" collapsed="false">
      <c r="A10" s="0" t="n">
        <v>19</v>
      </c>
      <c r="B10" s="0" t="s">
        <v>2</v>
      </c>
      <c r="C10" s="0" t="s">
        <v>1</v>
      </c>
      <c r="D10" s="0" t="s">
        <v>3</v>
      </c>
      <c r="E10" s="0" t="n">
        <f aca="false">(IF($B10="V",1,0))+IF($C10="V",1,0)+IF($D10="V",1,0)</f>
        <v>1</v>
      </c>
      <c r="F10" s="0" t="n">
        <f aca="false">(IF($B10="E",1,0))+IF($C10="E",1,0)+IF($D10="E",1,0)</f>
        <v>1</v>
      </c>
      <c r="G10" s="0" t="n">
        <f aca="false">(IF($B10="O",1,0))+IF($C10="O",1,0)+IF($D10="O",1,0)</f>
        <v>1</v>
      </c>
      <c r="H10" s="0" t="n">
        <f aca="false">(IF($B10="L",1,0))+IF($C10="L",1,0)+IF($D10="L",1,0)</f>
        <v>0</v>
      </c>
      <c r="I10" s="0" t="n">
        <f aca="false">(IF(B10="V",1,0))</f>
        <v>0</v>
      </c>
      <c r="J10" s="0" t="n">
        <f aca="false">(IF(B10="E",1,0))</f>
        <v>1</v>
      </c>
      <c r="K10" s="0" t="n">
        <f aca="false">(IF(B10="O",1,0))</f>
        <v>0</v>
      </c>
      <c r="L10" s="0" t="n">
        <f aca="false">(IF(B10="L",1,0))</f>
        <v>0</v>
      </c>
      <c r="M10" s="0" t="n">
        <f aca="false">(IF(C10="V",1,0))</f>
        <v>1</v>
      </c>
      <c r="N10" s="0" t="n">
        <f aca="false">(IF(C10="E",1,0))</f>
        <v>0</v>
      </c>
      <c r="O10" s="0" t="n">
        <f aca="false">(IF(C10="O",1,0))</f>
        <v>0</v>
      </c>
      <c r="P10" s="0" t="n">
        <f aca="false">(IF(C10="L",1,0))</f>
        <v>0</v>
      </c>
      <c r="Q10" s="0" t="n">
        <f aca="false">(IF(D10="V",1,0))</f>
        <v>0</v>
      </c>
      <c r="R10" s="0" t="n">
        <f aca="false">(IF(D10="E",1,0))</f>
        <v>0</v>
      </c>
      <c r="S10" s="0" t="n">
        <f aca="false">(IF(D10="O",1,0))</f>
        <v>1</v>
      </c>
      <c r="T10" s="0" t="n">
        <f aca="false">(IF(D10="L",1,0))</f>
        <v>0</v>
      </c>
      <c r="U10" s="0" t="n">
        <f aca="false">MAX(E10-1,0)</f>
        <v>0</v>
      </c>
      <c r="V10" s="0" t="n">
        <f aca="false">MAX(U10-1+F10,0)</f>
        <v>0</v>
      </c>
      <c r="W10" s="0" t="n">
        <f aca="false">MAX(V10-1+G10,0)</f>
        <v>0</v>
      </c>
      <c r="X10" s="0" t="n">
        <f aca="false">MAX(W10-1+H10,0)</f>
        <v>0</v>
      </c>
      <c r="Y10" s="1" t="n">
        <f aca="false">0.5*(E10*I10+F10*J10+G10*K10+H10*L10-1)+(0+$U10*J10+$V10*K10+$W10*L10)</f>
        <v>0</v>
      </c>
      <c r="Z10" s="1" t="n">
        <f aca="false">0.5*(E10*M10+F10*N10+G10*O10+H10*P10-1)+(0+$U10*N10+$V10*O10+$W10*P10)</f>
        <v>0</v>
      </c>
      <c r="AA10" s="1" t="n">
        <f aca="false">0.5*(E10*Q10+F10*R10+G10*S10+H10*T10-1)+(0+$U10*R10+$V10*S10+$W10*T10)</f>
        <v>0</v>
      </c>
      <c r="AB10" s="0" t="n">
        <f aca="false">IF(B10="V",-2,0)+IF(B10="E",-1,0)+IF(B10="O",0,0)+IF(B10="L",1,0)+Y10</f>
        <v>-1</v>
      </c>
      <c r="AC10" s="0" t="n">
        <f aca="false">IF(C10="V",-2,0)+IF(C10="E",-1,0)+IF(C10="O",0,0)+IF(C10="L",1,0)+Z10</f>
        <v>-2</v>
      </c>
      <c r="AD10" s="0" t="n">
        <f aca="false">IF(D10="V",-2,0)+IF(D10="E",-1,0)+IF(D10="O",0,0)+IF(D10="L",1,0)+AA10</f>
        <v>0</v>
      </c>
      <c r="AE10" s="1" t="n">
        <f aca="false">IF(B10="V",-2,0)+IF(B10="E",-1,0)+IF(B10="O",0,0)+IF(B10="L",1,0)</f>
        <v>-1</v>
      </c>
      <c r="AF10" s="1" t="n">
        <f aca="false">IF(B10="V",-2,0)+IF(B10="E",-1,0)+IF(B10="O",0,0)+IF(B10="L",1,0)+Y10</f>
        <v>-1</v>
      </c>
      <c r="AG10" s="1" t="n">
        <f aca="false">IF(B10="V",-2,0)+IF(B10="E",-1,0)+IF(B10="O",0,0)+IF(B10="L",1,0)+Y10*2</f>
        <v>-1</v>
      </c>
      <c r="AH10" s="1" t="n">
        <f aca="false">IF(C10="V",-2,0)+IF(C10="E",-1,0)+IF(C10="O",0,0)+IF(C10="L",1,0)</f>
        <v>-2</v>
      </c>
      <c r="AI10" s="1" t="n">
        <f aca="false">IF(C10="V",-2,0)+IF(C10="E",-1,0)+IF(C10="O",0,0)+IF(C10="L",1,0)+Z10</f>
        <v>-2</v>
      </c>
      <c r="AJ10" s="1" t="n">
        <f aca="false">IF(C10="V",-2,0)+IF(C10="E",-1,0)+IF(C10="O",0,0)+IF(C10="L",1,0)+Z10*2</f>
        <v>-2</v>
      </c>
      <c r="AK10" s="1" t="n">
        <f aca="false">IF(D10="V",-2,0)+IF(D10="E",-1,0)+IF(D10="O",0,0)+IF(D10="L",1,0)</f>
        <v>0</v>
      </c>
      <c r="AL10" s="1" t="n">
        <f aca="false">IF(D10="V",-2,0)+IF(D10="E",-1,0)+IF(D10="O",0,0)+IF(D10="L",1,0)+AA10</f>
        <v>0</v>
      </c>
      <c r="AM10" s="1" t="n">
        <f aca="false">IF(D10="V",-2,0)+IF(D10="E",-1,0)+IF(D10="O",0,0)+IF(D10="L",1,0)+AA10*2</f>
        <v>0</v>
      </c>
      <c r="AN10" s="1" t="n">
        <f aca="false">(ABS(IF(AE10&lt;0,AE10*Early,AE10*Late))+ABS(IF(AF10&lt;0,AF10*Early,AF10*Late))+ABS(IF(AG10&lt;0,AG10*Early,AG10*Late)))/3</f>
        <v>3</v>
      </c>
      <c r="AO10" s="1" t="n">
        <f aca="false">(ABS(IF(AH10&lt;0,AH10*Early,AH10*Late))+ABS(IF(AI10&lt;0,AI10*Early,AI10*Late))+ABS(IF(AJ10&lt;0,AJ10*Early,AJ10*Late)))/3</f>
        <v>6</v>
      </c>
      <c r="AP10" s="1" t="n">
        <f aca="false">(ABS(IF(AK10&lt;0,AK10*Early,AK10*Late))+ABS(IF(AL10&lt;0,AL10*Early,AL10*Late))+ABS(IF(AM10&lt;0,AM10*Early,AM10*Late)))/3</f>
        <v>0</v>
      </c>
      <c r="AQ10" s="0" t="n">
        <f aca="false">Y10*Delay+AN10</f>
        <v>3</v>
      </c>
      <c r="AR10" s="0" t="n">
        <f aca="false">Z10*Delay+AO10</f>
        <v>6</v>
      </c>
      <c r="AS10" s="0" t="n">
        <f aca="false">AA10*Delay+AP10</f>
        <v>0</v>
      </c>
      <c r="AT10" s="0" t="n">
        <f aca="false">IF(AR10=MIN(AR10:AR13),1,0)</f>
        <v>0</v>
      </c>
      <c r="AX10" s="0" t="str">
        <f aca="false">B10&amp;C10&amp;D10</f>
        <v>EVO</v>
      </c>
      <c r="AY10" s="1" t="n">
        <f aca="false">AQ10+AR10+AS10</f>
        <v>9</v>
      </c>
      <c r="AZ10" s="1" t="str">
        <f aca="false">RIGHT(AX10,2)</f>
        <v>VO</v>
      </c>
      <c r="BA10" s="1" t="str">
        <f aca="false">LEFT(AX10,1)&amp;RIGHT(AX10,1)</f>
        <v>EO</v>
      </c>
      <c r="BB10" s="1" t="str">
        <f aca="false">LEFT(AX10,2)</f>
        <v>EV</v>
      </c>
      <c r="BC10" s="1" t="n">
        <f aca="false">VLOOKUP(AZ10,TwoPlayers!$AG$1:$AH$17,2,FALSE())</f>
        <v>6</v>
      </c>
      <c r="BD10" s="1" t="n">
        <f aca="false">VLOOKUP(BA10,TwoPlayers!$AG$1:$AH$17,2,FALSE())</f>
        <v>3</v>
      </c>
      <c r="BE10" s="1" t="n">
        <f aca="false">VLOOKUP(BB10,TwoPlayers!$AG$1:$AH$17,2,FALSE())</f>
        <v>9</v>
      </c>
      <c r="BF10" s="1" t="n">
        <f aca="false">$AY10-BC10</f>
        <v>3</v>
      </c>
      <c r="BG10" s="1" t="n">
        <f aca="false">$AY10-BD10</f>
        <v>6</v>
      </c>
      <c r="BH10" s="1" t="n">
        <f aca="false">$AY10-BE10</f>
        <v>0</v>
      </c>
      <c r="BJ10" s="0" t="n">
        <f aca="false">AQ10+BF10</f>
        <v>6</v>
      </c>
      <c r="BK10" s="0" t="n">
        <f aca="false">AR10+BG10</f>
        <v>12</v>
      </c>
      <c r="BL10" s="0" t="n">
        <f aca="false">AS10+BH10</f>
        <v>0</v>
      </c>
      <c r="BM10" s="0" t="n">
        <f aca="false">IF(BK10=MIN(BK10:BK14),1,0)</f>
        <v>0</v>
      </c>
    </row>
    <row r="11" customFormat="false" ht="13" hidden="false" customHeight="false" outlineLevel="0" collapsed="false">
      <c r="A11" s="0" t="n">
        <v>23</v>
      </c>
      <c r="B11" s="0" t="s">
        <v>2</v>
      </c>
      <c r="C11" s="0" t="s">
        <v>2</v>
      </c>
      <c r="D11" s="0" t="s">
        <v>3</v>
      </c>
      <c r="E11" s="0" t="n">
        <f aca="false">(IF($B11="V",1,0))+IF($C11="V",1,0)+IF($D11="V",1,0)</f>
        <v>0</v>
      </c>
      <c r="F11" s="0" t="n">
        <f aca="false">(IF($B11="E",1,0))+IF($C11="E",1,0)+IF($D11="E",1,0)</f>
        <v>2</v>
      </c>
      <c r="G11" s="0" t="n">
        <f aca="false">(IF($B11="O",1,0))+IF($C11="O",1,0)+IF($D11="O",1,0)</f>
        <v>1</v>
      </c>
      <c r="H11" s="0" t="n">
        <f aca="false">(IF($B11="L",1,0))+IF($C11="L",1,0)+IF($D11="L",1,0)</f>
        <v>0</v>
      </c>
      <c r="I11" s="0" t="n">
        <f aca="false">(IF(B11="V",1,0))</f>
        <v>0</v>
      </c>
      <c r="J11" s="0" t="n">
        <f aca="false">(IF(B11="E",1,0))</f>
        <v>1</v>
      </c>
      <c r="K11" s="0" t="n">
        <f aca="false">(IF(B11="O",1,0))</f>
        <v>0</v>
      </c>
      <c r="L11" s="0" t="n">
        <f aca="false">(IF(B11="L",1,0))</f>
        <v>0</v>
      </c>
      <c r="M11" s="0" t="n">
        <f aca="false">(IF(C11="V",1,0))</f>
        <v>0</v>
      </c>
      <c r="N11" s="0" t="n">
        <f aca="false">(IF(C11="E",1,0))</f>
        <v>1</v>
      </c>
      <c r="O11" s="0" t="n">
        <f aca="false">(IF(C11="O",1,0))</f>
        <v>0</v>
      </c>
      <c r="P11" s="0" t="n">
        <f aca="false">(IF(C11="L",1,0))</f>
        <v>0</v>
      </c>
      <c r="Q11" s="0" t="n">
        <f aca="false">(IF(D11="V",1,0))</f>
        <v>0</v>
      </c>
      <c r="R11" s="0" t="n">
        <f aca="false">(IF(D11="E",1,0))</f>
        <v>0</v>
      </c>
      <c r="S11" s="0" t="n">
        <f aca="false">(IF(D11="O",1,0))</f>
        <v>1</v>
      </c>
      <c r="T11" s="0" t="n">
        <f aca="false">(IF(D11="L",1,0))</f>
        <v>0</v>
      </c>
      <c r="U11" s="0" t="n">
        <f aca="false">MAX(E11-1,0)</f>
        <v>0</v>
      </c>
      <c r="V11" s="0" t="n">
        <f aca="false">MAX(U11-1+F11,0)</f>
        <v>1</v>
      </c>
      <c r="W11" s="0" t="n">
        <f aca="false">MAX(V11-1+G11,0)</f>
        <v>1</v>
      </c>
      <c r="X11" s="0" t="n">
        <f aca="false">MAX(W11-1+H11,0)</f>
        <v>0</v>
      </c>
      <c r="Y11" s="1" t="n">
        <f aca="false">0.5*(E11*I11+F11*J11+G11*K11+H11*L11-1)+(0+$U11*J11+$V11*K11+$W11*L11)</f>
        <v>0.5</v>
      </c>
      <c r="Z11" s="1" t="n">
        <f aca="false">0.5*(E11*M11+F11*N11+G11*O11+H11*P11-1)+(0+$U11*N11+$V11*O11+$W11*P11)</f>
        <v>0.5</v>
      </c>
      <c r="AA11" s="1" t="n">
        <f aca="false">0.5*(E11*Q11+F11*R11+G11*S11+H11*T11-1)+(0+$U11*R11+$V11*S11+$W11*T11)</f>
        <v>1</v>
      </c>
      <c r="AB11" s="0" t="n">
        <f aca="false">IF(B11="V",-2,0)+IF(B11="E",-1,0)+IF(B11="O",0,0)+IF(B11="L",1,0)+Y11</f>
        <v>-0.5</v>
      </c>
      <c r="AC11" s="0" t="n">
        <f aca="false">IF(C11="V",-2,0)+IF(C11="E",-1,0)+IF(C11="O",0,0)+IF(C11="L",1,0)+Z11</f>
        <v>-0.5</v>
      </c>
      <c r="AD11" s="0" t="n">
        <f aca="false">IF(D11="V",-2,0)+IF(D11="E",-1,0)+IF(D11="O",0,0)+IF(D11="L",1,0)+AA11</f>
        <v>1</v>
      </c>
      <c r="AE11" s="1" t="n">
        <f aca="false">IF(B11="V",-2,0)+IF(B11="E",-1,0)+IF(B11="O",0,0)+IF(B11="L",1,0)</f>
        <v>-1</v>
      </c>
      <c r="AF11" s="1" t="n">
        <f aca="false">IF(B11="V",-2,0)+IF(B11="E",-1,0)+IF(B11="O",0,0)+IF(B11="L",1,0)+Y11</f>
        <v>-0.5</v>
      </c>
      <c r="AG11" s="1" t="n">
        <f aca="false">IF(B11="V",-2,0)+IF(B11="E",-1,0)+IF(B11="O",0,0)+IF(B11="L",1,0)+Y11*2</f>
        <v>0</v>
      </c>
      <c r="AH11" s="1" t="n">
        <f aca="false">IF(C11="V",-2,0)+IF(C11="E",-1,0)+IF(C11="O",0,0)+IF(C11="L",1,0)</f>
        <v>-1</v>
      </c>
      <c r="AI11" s="1" t="n">
        <f aca="false">IF(C11="V",-2,0)+IF(C11="E",-1,0)+IF(C11="O",0,0)+IF(C11="L",1,0)+Z11</f>
        <v>-0.5</v>
      </c>
      <c r="AJ11" s="1" t="n">
        <f aca="false">IF(C11="V",-2,0)+IF(C11="E",-1,0)+IF(C11="O",0,0)+IF(C11="L",1,0)+Z11*2</f>
        <v>0</v>
      </c>
      <c r="AK11" s="1" t="n">
        <f aca="false">IF(D11="V",-2,0)+IF(D11="E",-1,0)+IF(D11="O",0,0)+IF(D11="L",1,0)</f>
        <v>0</v>
      </c>
      <c r="AL11" s="1" t="n">
        <f aca="false">IF(D11="V",-2,0)+IF(D11="E",-1,0)+IF(D11="O",0,0)+IF(D11="L",1,0)+AA11</f>
        <v>1</v>
      </c>
      <c r="AM11" s="1" t="n">
        <f aca="false">IF(D11="V",-2,0)+IF(D11="E",-1,0)+IF(D11="O",0,0)+IF(D11="L",1,0)+AA11*2</f>
        <v>2</v>
      </c>
      <c r="AN11" s="1" t="n">
        <f aca="false">(ABS(IF(AE11&lt;0,AE11*Early,AE11*Late))+ABS(IF(AF11&lt;0,AF11*Early,AF11*Late))+ABS(IF(AG11&lt;0,AG11*Early,AG11*Late)))/3</f>
        <v>1.5</v>
      </c>
      <c r="AO11" s="1" t="n">
        <f aca="false">(ABS(IF(AH11&lt;0,AH11*Early,AH11*Late))+ABS(IF(AI11&lt;0,AI11*Early,AI11*Late))+ABS(IF(AJ11&lt;0,AJ11*Early,AJ11*Late)))/3</f>
        <v>1.5</v>
      </c>
      <c r="AP11" s="1" t="n">
        <f aca="false">(ABS(IF(AK11&lt;0,AK11*Early,AK11*Late))+ABS(IF(AL11&lt;0,AL11*Early,AL11*Late))+ABS(IF(AM11&lt;0,AM11*Early,AM11*Late)))/3</f>
        <v>4</v>
      </c>
      <c r="AQ11" s="0" t="n">
        <f aca="false">Y11*Delay+AN11</f>
        <v>2</v>
      </c>
      <c r="AR11" s="0" t="n">
        <f aca="false">Z11*Delay+AO11</f>
        <v>2</v>
      </c>
      <c r="AS11" s="0" t="n">
        <f aca="false">AA11*Delay+AP11</f>
        <v>5</v>
      </c>
      <c r="AT11" s="0" t="n">
        <f aca="false">IF(AR11=MIN(AR10:AR13),1,0)</f>
        <v>1</v>
      </c>
      <c r="AX11" s="0" t="str">
        <f aca="false">B11&amp;C11&amp;D11</f>
        <v>EEO</v>
      </c>
      <c r="AY11" s="1" t="n">
        <f aca="false">AQ11+AR11+AS11</f>
        <v>9</v>
      </c>
      <c r="AZ11" s="1" t="str">
        <f aca="false">RIGHT(AX11,2)</f>
        <v>EO</v>
      </c>
      <c r="BA11" s="1" t="str">
        <f aca="false">LEFT(AX11,1)&amp;RIGHT(AX11,1)</f>
        <v>EO</v>
      </c>
      <c r="BB11" s="1" t="str">
        <f aca="false">LEFT(AX11,2)</f>
        <v>EE</v>
      </c>
      <c r="BC11" s="1" t="n">
        <f aca="false">VLOOKUP(AZ11,TwoPlayers!$AG$1:$AH$17,2,FALSE())</f>
        <v>3</v>
      </c>
      <c r="BD11" s="1" t="n">
        <f aca="false">VLOOKUP(BA11,TwoPlayers!$AG$1:$AH$17,2,FALSE())</f>
        <v>3</v>
      </c>
      <c r="BE11" s="1" t="n">
        <f aca="false">VLOOKUP(BB11,TwoPlayers!$AG$1:$AH$17,2,FALSE())</f>
        <v>4</v>
      </c>
      <c r="BF11" s="1" t="n">
        <f aca="false">$AY11-BC11</f>
        <v>6</v>
      </c>
      <c r="BG11" s="1" t="n">
        <f aca="false">$AY11-BD11</f>
        <v>6</v>
      </c>
      <c r="BH11" s="1" t="n">
        <f aca="false">$AY11-BE11</f>
        <v>5</v>
      </c>
      <c r="BJ11" s="0" t="n">
        <f aca="false">AQ11+BF11</f>
        <v>8</v>
      </c>
      <c r="BK11" s="0" t="n">
        <f aca="false">AR11+BG11</f>
        <v>8</v>
      </c>
      <c r="BL11" s="0" t="n">
        <f aca="false">AS11+BH11</f>
        <v>10</v>
      </c>
      <c r="BM11" s="0" t="n">
        <f aca="false">IF(BK11=MIN(BK10:BK14),1,0)</f>
        <v>0</v>
      </c>
    </row>
    <row r="12" customFormat="false" ht="13" hidden="false" customHeight="false" outlineLevel="0" collapsed="false">
      <c r="A12" s="0" t="n">
        <v>27</v>
      </c>
      <c r="B12" s="0" t="s">
        <v>2</v>
      </c>
      <c r="C12" s="0" t="s">
        <v>3</v>
      </c>
      <c r="D12" s="0" t="s">
        <v>3</v>
      </c>
      <c r="E12" s="0" t="n">
        <f aca="false">(IF($B12="V",1,0))+IF($C12="V",1,0)+IF($D12="V",1,0)</f>
        <v>0</v>
      </c>
      <c r="F12" s="0" t="n">
        <f aca="false">(IF($B12="E",1,0))+IF($C12="E",1,0)+IF($D12="E",1,0)</f>
        <v>1</v>
      </c>
      <c r="G12" s="0" t="n">
        <f aca="false">(IF($B12="O",1,0))+IF($C12="O",1,0)+IF($D12="O",1,0)</f>
        <v>2</v>
      </c>
      <c r="H12" s="0" t="n">
        <f aca="false">(IF($B12="L",1,0))+IF($C12="L",1,0)+IF($D12="L",1,0)</f>
        <v>0</v>
      </c>
      <c r="I12" s="0" t="n">
        <f aca="false">(IF(B12="V",1,0))</f>
        <v>0</v>
      </c>
      <c r="J12" s="0" t="n">
        <f aca="false">(IF(B12="E",1,0))</f>
        <v>1</v>
      </c>
      <c r="K12" s="0" t="n">
        <f aca="false">(IF(B12="O",1,0))</f>
        <v>0</v>
      </c>
      <c r="L12" s="0" t="n">
        <f aca="false">(IF(B12="L",1,0))</f>
        <v>0</v>
      </c>
      <c r="M12" s="0" t="n">
        <f aca="false">(IF(C12="V",1,0))</f>
        <v>0</v>
      </c>
      <c r="N12" s="0" t="n">
        <f aca="false">(IF(C12="E",1,0))</f>
        <v>0</v>
      </c>
      <c r="O12" s="0" t="n">
        <f aca="false">(IF(C12="O",1,0))</f>
        <v>1</v>
      </c>
      <c r="P12" s="0" t="n">
        <f aca="false">(IF(C12="L",1,0))</f>
        <v>0</v>
      </c>
      <c r="Q12" s="0" t="n">
        <f aca="false">(IF(D12="V",1,0))</f>
        <v>0</v>
      </c>
      <c r="R12" s="0" t="n">
        <f aca="false">(IF(D12="E",1,0))</f>
        <v>0</v>
      </c>
      <c r="S12" s="0" t="n">
        <f aca="false">(IF(D12="O",1,0))</f>
        <v>1</v>
      </c>
      <c r="T12" s="0" t="n">
        <f aca="false">(IF(D12="L",1,0))</f>
        <v>0</v>
      </c>
      <c r="U12" s="0" t="n">
        <f aca="false">MAX(E12-1,0)</f>
        <v>0</v>
      </c>
      <c r="V12" s="0" t="n">
        <f aca="false">MAX(U12-1+F12,0)</f>
        <v>0</v>
      </c>
      <c r="W12" s="0" t="n">
        <f aca="false">MAX(V12-1+G12,0)</f>
        <v>1</v>
      </c>
      <c r="X12" s="0" t="n">
        <f aca="false">MAX(W12-1+H12,0)</f>
        <v>0</v>
      </c>
      <c r="Y12" s="1" t="n">
        <f aca="false">0.5*(E12*I12+F12*J12+G12*K12+H12*L12-1)+(0+$U12*J12+$V12*K12+$W12*L12)</f>
        <v>0</v>
      </c>
      <c r="Z12" s="1" t="n">
        <f aca="false">0.5*(E12*M12+F12*N12+G12*O12+H12*P12-1)+(0+$U12*N12+$V12*O12+$W12*P12)</f>
        <v>0.5</v>
      </c>
      <c r="AA12" s="1" t="n">
        <f aca="false">0.5*(E12*Q12+F12*R12+G12*S12+H12*T12-1)+(0+$U12*R12+$V12*S12+$W12*T12)</f>
        <v>0.5</v>
      </c>
      <c r="AB12" s="0" t="n">
        <f aca="false">IF(B12="V",-2,0)+IF(B12="E",-1,0)+IF(B12="O",0,0)+IF(B12="L",1,0)+Y12</f>
        <v>-1</v>
      </c>
      <c r="AC12" s="0" t="n">
        <f aca="false">IF(C12="V",-2,0)+IF(C12="E",-1,0)+IF(C12="O",0,0)+IF(C12="L",1,0)+Z12</f>
        <v>0.5</v>
      </c>
      <c r="AD12" s="0" t="n">
        <f aca="false">IF(D12="V",-2,0)+IF(D12="E",-1,0)+IF(D12="O",0,0)+IF(D12="L",1,0)+AA12</f>
        <v>0.5</v>
      </c>
      <c r="AE12" s="1" t="n">
        <f aca="false">IF(B12="V",-2,0)+IF(B12="E",-1,0)+IF(B12="O",0,0)+IF(B12="L",1,0)</f>
        <v>-1</v>
      </c>
      <c r="AF12" s="1" t="n">
        <f aca="false">IF(B12="V",-2,0)+IF(B12="E",-1,0)+IF(B12="O",0,0)+IF(B12="L",1,0)+Y12</f>
        <v>-1</v>
      </c>
      <c r="AG12" s="1" t="n">
        <f aca="false">IF(B12="V",-2,0)+IF(B12="E",-1,0)+IF(B12="O",0,0)+IF(B12="L",1,0)+Y12*2</f>
        <v>-1</v>
      </c>
      <c r="AH12" s="1" t="n">
        <f aca="false">IF(C12="V",-2,0)+IF(C12="E",-1,0)+IF(C12="O",0,0)+IF(C12="L",1,0)</f>
        <v>0</v>
      </c>
      <c r="AI12" s="1" t="n">
        <f aca="false">IF(C12="V",-2,0)+IF(C12="E",-1,0)+IF(C12="O",0,0)+IF(C12="L",1,0)+Z12</f>
        <v>0.5</v>
      </c>
      <c r="AJ12" s="1" t="n">
        <f aca="false">IF(C12="V",-2,0)+IF(C12="E",-1,0)+IF(C12="O",0,0)+IF(C12="L",1,0)+Z12*2</f>
        <v>1</v>
      </c>
      <c r="AK12" s="1" t="n">
        <f aca="false">IF(D12="V",-2,0)+IF(D12="E",-1,0)+IF(D12="O",0,0)+IF(D12="L",1,0)</f>
        <v>0</v>
      </c>
      <c r="AL12" s="1" t="n">
        <f aca="false">IF(D12="V",-2,0)+IF(D12="E",-1,0)+IF(D12="O",0,0)+IF(D12="L",1,0)+AA12</f>
        <v>0.5</v>
      </c>
      <c r="AM12" s="1" t="n">
        <f aca="false">IF(D12="V",-2,0)+IF(D12="E",-1,0)+IF(D12="O",0,0)+IF(D12="L",1,0)+AA12*2</f>
        <v>1</v>
      </c>
      <c r="AN12" s="1" t="n">
        <f aca="false">(ABS(IF(AE12&lt;0,AE12*Early,AE12*Late))+ABS(IF(AF12&lt;0,AF12*Early,AF12*Late))+ABS(IF(AG12&lt;0,AG12*Early,AG12*Late)))/3</f>
        <v>3</v>
      </c>
      <c r="AO12" s="1" t="n">
        <f aca="false">(ABS(IF(AH12&lt;0,AH12*Early,AH12*Late))+ABS(IF(AI12&lt;0,AI12*Early,AI12*Late))+ABS(IF(AJ12&lt;0,AJ12*Early,AJ12*Late)))/3</f>
        <v>2</v>
      </c>
      <c r="AP12" s="1" t="n">
        <f aca="false">(ABS(IF(AK12&lt;0,AK12*Early,AK12*Late))+ABS(IF(AL12&lt;0,AL12*Early,AL12*Late))+ABS(IF(AM12&lt;0,AM12*Early,AM12*Late)))/3</f>
        <v>2</v>
      </c>
      <c r="AQ12" s="0" t="n">
        <f aca="false">Y12*Delay+AN12</f>
        <v>3</v>
      </c>
      <c r="AR12" s="0" t="n">
        <f aca="false">Z12*Delay+AO12</f>
        <v>2.5</v>
      </c>
      <c r="AS12" s="0" t="n">
        <f aca="false">AA12*Delay+AP12</f>
        <v>2.5</v>
      </c>
      <c r="AT12" s="0" t="n">
        <f aca="false">IF(AR12=MIN(AR10:AR13),1,0)</f>
        <v>0</v>
      </c>
      <c r="AX12" s="0" t="str">
        <f aca="false">B12&amp;C12&amp;D12</f>
        <v>EOO</v>
      </c>
      <c r="AY12" s="1" t="n">
        <f aca="false">AQ12+AR12+AS12</f>
        <v>8</v>
      </c>
      <c r="AZ12" s="1" t="str">
        <f aca="false">RIGHT(AX12,2)</f>
        <v>OO</v>
      </c>
      <c r="BA12" s="1" t="str">
        <f aca="false">LEFT(AX12,1)&amp;RIGHT(AX12,1)</f>
        <v>EO</v>
      </c>
      <c r="BB12" s="1" t="str">
        <f aca="false">LEFT(AX12,2)</f>
        <v>EO</v>
      </c>
      <c r="BC12" s="1" t="n">
        <f aca="false">VLOOKUP(AZ12,TwoPlayers!$AG$1:$AH$17,2,FALSE())</f>
        <v>5</v>
      </c>
      <c r="BD12" s="1" t="n">
        <f aca="false">VLOOKUP(BA12,TwoPlayers!$AG$1:$AH$17,2,FALSE())</f>
        <v>3</v>
      </c>
      <c r="BE12" s="1" t="n">
        <f aca="false">VLOOKUP(BB12,TwoPlayers!$AG$1:$AH$17,2,FALSE())</f>
        <v>3</v>
      </c>
      <c r="BF12" s="1" t="n">
        <f aca="false">$AY12-BC12</f>
        <v>3</v>
      </c>
      <c r="BG12" s="1" t="n">
        <f aca="false">$AY12-BD12</f>
        <v>5</v>
      </c>
      <c r="BH12" s="1" t="n">
        <f aca="false">$AY12-BE12</f>
        <v>5</v>
      </c>
      <c r="BJ12" s="0" t="n">
        <f aca="false">AQ12+BF12</f>
        <v>6</v>
      </c>
      <c r="BK12" s="0" t="n">
        <f aca="false">AR12+BG12</f>
        <v>7.5</v>
      </c>
      <c r="BL12" s="0" t="n">
        <f aca="false">AS12+BH12</f>
        <v>7.5</v>
      </c>
      <c r="BM12" s="0" t="n">
        <f aca="false">IF(BK12=MIN(BK10:BK14),1,0)</f>
        <v>1</v>
      </c>
    </row>
    <row r="13" customFormat="false" ht="13" hidden="false" customHeight="false" outlineLevel="0" collapsed="false">
      <c r="A13" s="0" t="n">
        <v>31</v>
      </c>
      <c r="B13" s="0" t="s">
        <v>2</v>
      </c>
      <c r="C13" s="0" t="s">
        <v>4</v>
      </c>
      <c r="D13" s="0" t="s">
        <v>3</v>
      </c>
      <c r="E13" s="0" t="n">
        <f aca="false">(IF($B13="V",1,0))+IF($C13="V",1,0)+IF($D13="V",1,0)</f>
        <v>0</v>
      </c>
      <c r="F13" s="0" t="n">
        <f aca="false">(IF($B13="E",1,0))+IF($C13="E",1,0)+IF($D13="E",1,0)</f>
        <v>1</v>
      </c>
      <c r="G13" s="0" t="n">
        <f aca="false">(IF($B13="O",1,0))+IF($C13="O",1,0)+IF($D13="O",1,0)</f>
        <v>1</v>
      </c>
      <c r="H13" s="0" t="n">
        <f aca="false">(IF($B13="L",1,0))+IF($C13="L",1,0)+IF($D13="L",1,0)</f>
        <v>1</v>
      </c>
      <c r="I13" s="0" t="n">
        <f aca="false">(IF(B13="V",1,0))</f>
        <v>0</v>
      </c>
      <c r="J13" s="0" t="n">
        <f aca="false">(IF(B13="E",1,0))</f>
        <v>1</v>
      </c>
      <c r="K13" s="0" t="n">
        <f aca="false">(IF(B13="O",1,0))</f>
        <v>0</v>
      </c>
      <c r="L13" s="0" t="n">
        <f aca="false">(IF(B13="L",1,0))</f>
        <v>0</v>
      </c>
      <c r="M13" s="0" t="n">
        <f aca="false">(IF(C13="V",1,0))</f>
        <v>0</v>
      </c>
      <c r="N13" s="0" t="n">
        <f aca="false">(IF(C13="E",1,0))</f>
        <v>0</v>
      </c>
      <c r="O13" s="0" t="n">
        <f aca="false">(IF(C13="O",1,0))</f>
        <v>0</v>
      </c>
      <c r="P13" s="0" t="n">
        <f aca="false">(IF(C13="L",1,0))</f>
        <v>1</v>
      </c>
      <c r="Q13" s="0" t="n">
        <f aca="false">(IF(D13="V",1,0))</f>
        <v>0</v>
      </c>
      <c r="R13" s="0" t="n">
        <f aca="false">(IF(D13="E",1,0))</f>
        <v>0</v>
      </c>
      <c r="S13" s="0" t="n">
        <f aca="false">(IF(D13="O",1,0))</f>
        <v>1</v>
      </c>
      <c r="T13" s="0" t="n">
        <f aca="false">(IF(D13="L",1,0))</f>
        <v>0</v>
      </c>
      <c r="U13" s="0" t="n">
        <f aca="false">MAX(E13-1,0)</f>
        <v>0</v>
      </c>
      <c r="V13" s="0" t="n">
        <f aca="false">MAX(U13-1+F13,0)</f>
        <v>0</v>
      </c>
      <c r="W13" s="0" t="n">
        <f aca="false">MAX(V13-1+G13,0)</f>
        <v>0</v>
      </c>
      <c r="X13" s="0" t="n">
        <f aca="false">MAX(W13-1+H13,0)</f>
        <v>0</v>
      </c>
      <c r="Y13" s="1" t="n">
        <f aca="false">0.5*(E13*I13+F13*J13+G13*K13+H13*L13-1)+(0+$U13*J13+$V13*K13+$W13*L13)</f>
        <v>0</v>
      </c>
      <c r="Z13" s="1" t="n">
        <f aca="false">0.5*(E13*M13+F13*N13+G13*O13+H13*P13-1)+(0+$U13*N13+$V13*O13+$W13*P13)</f>
        <v>0</v>
      </c>
      <c r="AA13" s="1" t="n">
        <f aca="false">0.5*(E13*Q13+F13*R13+G13*S13+H13*T13-1)+(0+$U13*R13+$V13*S13+$W13*T13)</f>
        <v>0</v>
      </c>
      <c r="AB13" s="0" t="n">
        <f aca="false">IF(B13="V",-2,0)+IF(B13="E",-1,0)+IF(B13="O",0,0)+IF(B13="L",1,0)+Y13</f>
        <v>-1</v>
      </c>
      <c r="AC13" s="0" t="n">
        <f aca="false">IF(C13="V",-2,0)+IF(C13="E",-1,0)+IF(C13="O",0,0)+IF(C13="L",1,0)+Z13</f>
        <v>1</v>
      </c>
      <c r="AD13" s="0" t="n">
        <f aca="false">IF(D13="V",-2,0)+IF(D13="E",-1,0)+IF(D13="O",0,0)+IF(D13="L",1,0)+AA13</f>
        <v>0</v>
      </c>
      <c r="AE13" s="1" t="n">
        <f aca="false">IF(B13="V",-2,0)+IF(B13="E",-1,0)+IF(B13="O",0,0)+IF(B13="L",1,0)</f>
        <v>-1</v>
      </c>
      <c r="AF13" s="1" t="n">
        <f aca="false">IF(B13="V",-2,0)+IF(B13="E",-1,0)+IF(B13="O",0,0)+IF(B13="L",1,0)+Y13</f>
        <v>-1</v>
      </c>
      <c r="AG13" s="1" t="n">
        <f aca="false">IF(B13="V",-2,0)+IF(B13="E",-1,0)+IF(B13="O",0,0)+IF(B13="L",1,0)+Y13*2</f>
        <v>-1</v>
      </c>
      <c r="AH13" s="1" t="n">
        <f aca="false">IF(C13="V",-2,0)+IF(C13="E",-1,0)+IF(C13="O",0,0)+IF(C13="L",1,0)</f>
        <v>1</v>
      </c>
      <c r="AI13" s="1" t="n">
        <f aca="false">IF(C13="V",-2,0)+IF(C13="E",-1,0)+IF(C13="O",0,0)+IF(C13="L",1,0)+Z13</f>
        <v>1</v>
      </c>
      <c r="AJ13" s="1" t="n">
        <f aca="false">IF(C13="V",-2,0)+IF(C13="E",-1,0)+IF(C13="O",0,0)+IF(C13="L",1,0)+Z13*2</f>
        <v>1</v>
      </c>
      <c r="AK13" s="1" t="n">
        <f aca="false">IF(D13="V",-2,0)+IF(D13="E",-1,0)+IF(D13="O",0,0)+IF(D13="L",1,0)</f>
        <v>0</v>
      </c>
      <c r="AL13" s="1" t="n">
        <f aca="false">IF(D13="V",-2,0)+IF(D13="E",-1,0)+IF(D13="O",0,0)+IF(D13="L",1,0)+AA13</f>
        <v>0</v>
      </c>
      <c r="AM13" s="1" t="n">
        <f aca="false">IF(D13="V",-2,0)+IF(D13="E",-1,0)+IF(D13="O",0,0)+IF(D13="L",1,0)+AA13*2</f>
        <v>0</v>
      </c>
      <c r="AN13" s="1" t="n">
        <f aca="false">(ABS(IF(AE13&lt;0,AE13*Early,AE13*Late))+ABS(IF(AF13&lt;0,AF13*Early,AF13*Late))+ABS(IF(AG13&lt;0,AG13*Early,AG13*Late)))/3</f>
        <v>3</v>
      </c>
      <c r="AO13" s="1" t="n">
        <f aca="false">(ABS(IF(AH13&lt;0,AH13*Early,AH13*Late))+ABS(IF(AI13&lt;0,AI13*Early,AI13*Late))+ABS(IF(AJ13&lt;0,AJ13*Early,AJ13*Late)))/3</f>
        <v>4</v>
      </c>
      <c r="AP13" s="1" t="n">
        <f aca="false">(ABS(IF(AK13&lt;0,AK13*Early,AK13*Late))+ABS(IF(AL13&lt;0,AL13*Early,AL13*Late))+ABS(IF(AM13&lt;0,AM13*Early,AM13*Late)))/3</f>
        <v>0</v>
      </c>
      <c r="AQ13" s="0" t="n">
        <f aca="false">Y13*Delay+AN13</f>
        <v>3</v>
      </c>
      <c r="AR13" s="0" t="n">
        <f aca="false">Z13*Delay+AO13</f>
        <v>4</v>
      </c>
      <c r="AS13" s="0" t="n">
        <f aca="false">AA13*Delay+AP13</f>
        <v>0</v>
      </c>
      <c r="AT13" s="0" t="n">
        <f aca="false">IF(AR13=MIN(AR10:AR13),1,0)</f>
        <v>0</v>
      </c>
      <c r="AX13" s="0" t="str">
        <f aca="false">B13&amp;C13&amp;D13</f>
        <v>ELO</v>
      </c>
      <c r="AY13" s="1" t="n">
        <f aca="false">AQ13+AR13+AS13</f>
        <v>7</v>
      </c>
      <c r="AZ13" s="1" t="str">
        <f aca="false">RIGHT(AX13,2)</f>
        <v>LO</v>
      </c>
      <c r="BA13" s="1" t="str">
        <f aca="false">LEFT(AX13,1)&amp;RIGHT(AX13,1)</f>
        <v>EO</v>
      </c>
      <c r="BB13" s="1" t="str">
        <f aca="false">LEFT(AX13,2)</f>
        <v>EL</v>
      </c>
      <c r="BC13" s="1" t="n">
        <f aca="false">VLOOKUP(AZ13,TwoPlayers!$AG$1:$AH$17,2,FALSE())</f>
        <v>4</v>
      </c>
      <c r="BD13" s="1" t="n">
        <f aca="false">VLOOKUP(BA13,TwoPlayers!$AG$1:$AH$17,2,FALSE())</f>
        <v>3</v>
      </c>
      <c r="BE13" s="1" t="n">
        <f aca="false">VLOOKUP(BB13,TwoPlayers!$AG$1:$AH$17,2,FALSE())</f>
        <v>7</v>
      </c>
      <c r="BF13" s="1" t="n">
        <f aca="false">$AY13-BC13</f>
        <v>3</v>
      </c>
      <c r="BG13" s="1" t="n">
        <f aca="false">$AY13-BD13</f>
        <v>4</v>
      </c>
      <c r="BH13" s="1" t="n">
        <f aca="false">$AY13-BE13</f>
        <v>0</v>
      </c>
      <c r="BJ13" s="0" t="n">
        <f aca="false">AQ13+BF13</f>
        <v>6</v>
      </c>
      <c r="BK13" s="0" t="n">
        <f aca="false">AR13+BG13</f>
        <v>8</v>
      </c>
      <c r="BL13" s="0" t="n">
        <f aca="false">AS13+BH13</f>
        <v>0</v>
      </c>
      <c r="BM13" s="0" t="n">
        <f aca="false">IF(BK13=MIN(BK10:BK14),1,0)</f>
        <v>0</v>
      </c>
    </row>
    <row r="14" customFormat="false" ht="13" hidden="false" customHeight="false" outlineLevel="0" collapsed="false">
      <c r="A14" s="0" t="n">
        <v>17</v>
      </c>
      <c r="B14" s="0" t="s">
        <v>2</v>
      </c>
      <c r="C14" s="0" t="s">
        <v>1</v>
      </c>
      <c r="D14" s="0" t="s">
        <v>1</v>
      </c>
      <c r="E14" s="0" t="n">
        <f aca="false">(IF($B14="V",1,0))+IF($C14="V",1,0)+IF($D14="V",1,0)</f>
        <v>2</v>
      </c>
      <c r="F14" s="0" t="n">
        <f aca="false">(IF($B14="E",1,0))+IF($C14="E",1,0)+IF($D14="E",1,0)</f>
        <v>1</v>
      </c>
      <c r="G14" s="0" t="n">
        <f aca="false">(IF($B14="O",1,0))+IF($C14="O",1,0)+IF($D14="O",1,0)</f>
        <v>0</v>
      </c>
      <c r="H14" s="0" t="n">
        <f aca="false">(IF($B14="L",1,0))+IF($C14="L",1,0)+IF($D14="L",1,0)</f>
        <v>0</v>
      </c>
      <c r="I14" s="0" t="n">
        <f aca="false">(IF(B14="V",1,0))</f>
        <v>0</v>
      </c>
      <c r="J14" s="0" t="n">
        <f aca="false">(IF(B14="E",1,0))</f>
        <v>1</v>
      </c>
      <c r="K14" s="0" t="n">
        <f aca="false">(IF(B14="O",1,0))</f>
        <v>0</v>
      </c>
      <c r="L14" s="0" t="n">
        <f aca="false">(IF(B14="L",1,0))</f>
        <v>0</v>
      </c>
      <c r="M14" s="0" t="n">
        <f aca="false">(IF(C14="V",1,0))</f>
        <v>1</v>
      </c>
      <c r="N14" s="0" t="n">
        <f aca="false">(IF(C14="E",1,0))</f>
        <v>0</v>
      </c>
      <c r="O14" s="0" t="n">
        <f aca="false">(IF(C14="O",1,0))</f>
        <v>0</v>
      </c>
      <c r="P14" s="0" t="n">
        <f aca="false">(IF(C14="L",1,0))</f>
        <v>0</v>
      </c>
      <c r="Q14" s="0" t="n">
        <f aca="false">(IF(D14="V",1,0))</f>
        <v>1</v>
      </c>
      <c r="R14" s="0" t="n">
        <f aca="false">(IF(D14="E",1,0))</f>
        <v>0</v>
      </c>
      <c r="S14" s="0" t="n">
        <f aca="false">(IF(D14="O",1,0))</f>
        <v>0</v>
      </c>
      <c r="T14" s="0" t="n">
        <f aca="false">(IF(D14="L",1,0))</f>
        <v>0</v>
      </c>
      <c r="U14" s="0" t="n">
        <f aca="false">MAX(E14-1,0)</f>
        <v>1</v>
      </c>
      <c r="V14" s="0" t="n">
        <f aca="false">MAX(U14-1+F14,0)</f>
        <v>1</v>
      </c>
      <c r="W14" s="0" t="n">
        <f aca="false">MAX(V14-1+G14,0)</f>
        <v>0</v>
      </c>
      <c r="X14" s="0" t="n">
        <f aca="false">MAX(W14-1+H14,0)</f>
        <v>0</v>
      </c>
      <c r="Y14" s="1" t="n">
        <f aca="false">0.5*(E14*I14+F14*J14+G14*K14+H14*L14-1)+(0+$U14*J14+$V14*K14+$W14*L14)</f>
        <v>1</v>
      </c>
      <c r="Z14" s="1" t="n">
        <f aca="false">0.5*(E14*M14+F14*N14+G14*O14+H14*P14-1)+(0+$U14*N14+$V14*O14+$W14*P14)</f>
        <v>0.5</v>
      </c>
      <c r="AA14" s="1" t="n">
        <f aca="false">0.5*(E14*Q14+F14*R14+G14*S14+H14*T14-1)+(0+$U14*R14+$V14*S14+$W14*T14)</f>
        <v>0.5</v>
      </c>
      <c r="AB14" s="0" t="n">
        <f aca="false">IF(B14="V",-2,0)+IF(B14="E",-1,0)+IF(B14="O",0,0)+IF(B14="L",1,0)+Y14</f>
        <v>0</v>
      </c>
      <c r="AC14" s="0" t="n">
        <f aca="false">IF(C14="V",-2,0)+IF(C14="E",-1,0)+IF(C14="O",0,0)+IF(C14="L",1,0)+Z14</f>
        <v>-1.5</v>
      </c>
      <c r="AD14" s="0" t="n">
        <f aca="false">IF(D14="V",-2,0)+IF(D14="E",-1,0)+IF(D14="O",0,0)+IF(D14="L",1,0)+AA14</f>
        <v>-1.5</v>
      </c>
      <c r="AE14" s="1" t="n">
        <f aca="false">IF(B14="V",-2,0)+IF(B14="E",-1,0)+IF(B14="O",0,0)+IF(B14="L",1,0)</f>
        <v>-1</v>
      </c>
      <c r="AF14" s="1" t="n">
        <f aca="false">IF(B14="V",-2,0)+IF(B14="E",-1,0)+IF(B14="O",0,0)+IF(B14="L",1,0)+Y14</f>
        <v>0</v>
      </c>
      <c r="AG14" s="1" t="n">
        <f aca="false">IF(B14="V",-2,0)+IF(B14="E",-1,0)+IF(B14="O",0,0)+IF(B14="L",1,0)+Y14*2</f>
        <v>1</v>
      </c>
      <c r="AH14" s="1" t="n">
        <f aca="false">IF(C14="V",-2,0)+IF(C14="E",-1,0)+IF(C14="O",0,0)+IF(C14="L",1,0)</f>
        <v>-2</v>
      </c>
      <c r="AI14" s="1" t="n">
        <f aca="false">IF(C14="V",-2,0)+IF(C14="E",-1,0)+IF(C14="O",0,0)+IF(C14="L",1,0)+Z14</f>
        <v>-1.5</v>
      </c>
      <c r="AJ14" s="1" t="n">
        <f aca="false">IF(C14="V",-2,0)+IF(C14="E",-1,0)+IF(C14="O",0,0)+IF(C14="L",1,0)+Z14*2</f>
        <v>-1</v>
      </c>
      <c r="AK14" s="1" t="n">
        <f aca="false">IF(D14="V",-2,0)+IF(D14="E",-1,0)+IF(D14="O",0,0)+IF(D14="L",1,0)</f>
        <v>-2</v>
      </c>
      <c r="AL14" s="1" t="n">
        <f aca="false">IF(D14="V",-2,0)+IF(D14="E",-1,0)+IF(D14="O",0,0)+IF(D14="L",1,0)+AA14</f>
        <v>-1.5</v>
      </c>
      <c r="AM14" s="1" t="n">
        <f aca="false">IF(D14="V",-2,0)+IF(D14="E",-1,0)+IF(D14="O",0,0)+IF(D14="L",1,0)+AA14*2</f>
        <v>-1</v>
      </c>
      <c r="AN14" s="1" t="n">
        <f aca="false">(ABS(IF(AE14&lt;0,AE14*Early,AE14*Late))+ABS(IF(AF14&lt;0,AF14*Early,AF14*Late))+ABS(IF(AG14&lt;0,AG14*Early,AG14*Late)))/3</f>
        <v>2.33333333333333</v>
      </c>
      <c r="AO14" s="1" t="n">
        <f aca="false">(ABS(IF(AH14&lt;0,AH14*Early,AH14*Late))+ABS(IF(AI14&lt;0,AI14*Early,AI14*Late))+ABS(IF(AJ14&lt;0,AJ14*Early,AJ14*Late)))/3</f>
        <v>4.5</v>
      </c>
      <c r="AP14" s="1" t="n">
        <f aca="false">(ABS(IF(AK14&lt;0,AK14*Early,AK14*Late))+ABS(IF(AL14&lt;0,AL14*Early,AL14*Late))+ABS(IF(AM14&lt;0,AM14*Early,AM14*Late)))/3</f>
        <v>4.5</v>
      </c>
      <c r="AQ14" s="0" t="n">
        <f aca="false">Y14*Delay+AN14</f>
        <v>3.33333333333333</v>
      </c>
      <c r="AR14" s="0" t="n">
        <f aca="false">Z14*Delay+AO14</f>
        <v>5</v>
      </c>
      <c r="AS14" s="0" t="n">
        <f aca="false">AA14*Delay+AP14</f>
        <v>5</v>
      </c>
      <c r="AT14" s="0" t="n">
        <f aca="false">IF(AR14=MIN(AR14:AR17),1,0)</f>
        <v>0</v>
      </c>
      <c r="AX14" s="0" t="str">
        <f aca="false">B14&amp;C14&amp;D14</f>
        <v>EVV</v>
      </c>
      <c r="AY14" s="1" t="n">
        <f aca="false">AQ14+AR14+AS14</f>
        <v>13.3333333333333</v>
      </c>
      <c r="AZ14" s="1" t="str">
        <f aca="false">RIGHT(AX14,2)</f>
        <v>VV</v>
      </c>
      <c r="BA14" s="1" t="str">
        <f aca="false">LEFT(AX14,1)&amp;RIGHT(AX14,1)</f>
        <v>EV</v>
      </c>
      <c r="BB14" s="1" t="str">
        <f aca="false">LEFT(AX14,2)</f>
        <v>EV</v>
      </c>
      <c r="BC14" s="1" t="n">
        <f aca="false">VLOOKUP(AZ14,TwoPlayers!$AG$1:$AH$17,2,FALSE())</f>
        <v>10</v>
      </c>
      <c r="BD14" s="1" t="n">
        <f aca="false">VLOOKUP(BA14,TwoPlayers!$AG$1:$AH$17,2,FALSE())</f>
        <v>9</v>
      </c>
      <c r="BE14" s="1" t="n">
        <f aca="false">VLOOKUP(BB14,TwoPlayers!$AG$1:$AH$17,2,FALSE())</f>
        <v>9</v>
      </c>
      <c r="BF14" s="1" t="n">
        <f aca="false">$AY14-BC14</f>
        <v>3.33333333333333</v>
      </c>
      <c r="BG14" s="1" t="n">
        <f aca="false">$AY14-BD14</f>
        <v>4.33333333333333</v>
      </c>
      <c r="BH14" s="1" t="n">
        <f aca="false">$AY14-BE14</f>
        <v>4.33333333333333</v>
      </c>
      <c r="BJ14" s="0" t="n">
        <f aca="false">AQ14+BF14</f>
        <v>6.66666666666667</v>
      </c>
      <c r="BK14" s="0" t="n">
        <f aca="false">AR14+BG14</f>
        <v>9.33333333333333</v>
      </c>
      <c r="BL14" s="0" t="n">
        <f aca="false">AS14+BH14</f>
        <v>9.33333333333333</v>
      </c>
      <c r="BM14" s="0" t="n">
        <f aca="false">IF(BK14=MIN(BK14:BK18),1,0)</f>
        <v>0</v>
      </c>
    </row>
    <row r="15" customFormat="false" ht="13" hidden="false" customHeight="false" outlineLevel="0" collapsed="false">
      <c r="A15" s="0" t="n">
        <v>21</v>
      </c>
      <c r="B15" s="0" t="s">
        <v>2</v>
      </c>
      <c r="C15" s="0" t="s">
        <v>2</v>
      </c>
      <c r="D15" s="0" t="s">
        <v>1</v>
      </c>
      <c r="E15" s="0" t="n">
        <f aca="false">(IF($B15="V",1,0))+IF($C15="V",1,0)+IF($D15="V",1,0)</f>
        <v>1</v>
      </c>
      <c r="F15" s="0" t="n">
        <f aca="false">(IF($B15="E",1,0))+IF($C15="E",1,0)+IF($D15="E",1,0)</f>
        <v>2</v>
      </c>
      <c r="G15" s="0" t="n">
        <f aca="false">(IF($B15="O",1,0))+IF($C15="O",1,0)+IF($D15="O",1,0)</f>
        <v>0</v>
      </c>
      <c r="H15" s="0" t="n">
        <f aca="false">(IF($B15="L",1,0))+IF($C15="L",1,0)+IF($D15="L",1,0)</f>
        <v>0</v>
      </c>
      <c r="I15" s="0" t="n">
        <f aca="false">(IF(B15="V",1,0))</f>
        <v>0</v>
      </c>
      <c r="J15" s="0" t="n">
        <f aca="false">(IF(B15="E",1,0))</f>
        <v>1</v>
      </c>
      <c r="K15" s="0" t="n">
        <f aca="false">(IF(B15="O",1,0))</f>
        <v>0</v>
      </c>
      <c r="L15" s="0" t="n">
        <f aca="false">(IF(B15="L",1,0))</f>
        <v>0</v>
      </c>
      <c r="M15" s="0" t="n">
        <f aca="false">(IF(C15="V",1,0))</f>
        <v>0</v>
      </c>
      <c r="N15" s="0" t="n">
        <f aca="false">(IF(C15="E",1,0))</f>
        <v>1</v>
      </c>
      <c r="O15" s="0" t="n">
        <f aca="false">(IF(C15="O",1,0))</f>
        <v>0</v>
      </c>
      <c r="P15" s="0" t="n">
        <f aca="false">(IF(C15="L",1,0))</f>
        <v>0</v>
      </c>
      <c r="Q15" s="0" t="n">
        <f aca="false">(IF(D15="V",1,0))</f>
        <v>1</v>
      </c>
      <c r="R15" s="0" t="n">
        <f aca="false">(IF(D15="E",1,0))</f>
        <v>0</v>
      </c>
      <c r="S15" s="0" t="n">
        <f aca="false">(IF(D15="O",1,0))</f>
        <v>0</v>
      </c>
      <c r="T15" s="0" t="n">
        <f aca="false">(IF(D15="L",1,0))</f>
        <v>0</v>
      </c>
      <c r="U15" s="0" t="n">
        <f aca="false">MAX(E15-1,0)</f>
        <v>0</v>
      </c>
      <c r="V15" s="0" t="n">
        <f aca="false">MAX(U15-1+F15,0)</f>
        <v>1</v>
      </c>
      <c r="W15" s="0" t="n">
        <f aca="false">MAX(V15-1+G15,0)</f>
        <v>0</v>
      </c>
      <c r="X15" s="0" t="n">
        <f aca="false">MAX(W15-1+H15,0)</f>
        <v>0</v>
      </c>
      <c r="Y15" s="1" t="n">
        <f aca="false">0.5*(E15*I15+F15*J15+G15*K15+H15*L15-1)+(0+$U15*J15+$V15*K15+$W15*L15)</f>
        <v>0.5</v>
      </c>
      <c r="Z15" s="1" t="n">
        <f aca="false">0.5*(E15*M15+F15*N15+G15*O15+H15*P15-1)+(0+$U15*N15+$V15*O15+$W15*P15)</f>
        <v>0.5</v>
      </c>
      <c r="AA15" s="1" t="n">
        <f aca="false">0.5*(E15*Q15+F15*R15+G15*S15+H15*T15-1)+(0+$U15*R15+$V15*S15+$W15*T15)</f>
        <v>0</v>
      </c>
      <c r="AB15" s="0" t="n">
        <f aca="false">IF(B15="V",-2,0)+IF(B15="E",-1,0)+IF(B15="O",0,0)+IF(B15="L",1,0)+Y15</f>
        <v>-0.5</v>
      </c>
      <c r="AC15" s="0" t="n">
        <f aca="false">IF(C15="V",-2,0)+IF(C15="E",-1,0)+IF(C15="O",0,0)+IF(C15="L",1,0)+Z15</f>
        <v>-0.5</v>
      </c>
      <c r="AD15" s="0" t="n">
        <f aca="false">IF(D15="V",-2,0)+IF(D15="E",-1,0)+IF(D15="O",0,0)+IF(D15="L",1,0)+AA15</f>
        <v>-2</v>
      </c>
      <c r="AE15" s="1" t="n">
        <f aca="false">IF(B15="V",-2,0)+IF(B15="E",-1,0)+IF(B15="O",0,0)+IF(B15="L",1,0)</f>
        <v>-1</v>
      </c>
      <c r="AF15" s="1" t="n">
        <f aca="false">IF(B15="V",-2,0)+IF(B15="E",-1,0)+IF(B15="O",0,0)+IF(B15="L",1,0)+Y15</f>
        <v>-0.5</v>
      </c>
      <c r="AG15" s="1" t="n">
        <f aca="false">IF(B15="V",-2,0)+IF(B15="E",-1,0)+IF(B15="O",0,0)+IF(B15="L",1,0)+Y15*2</f>
        <v>0</v>
      </c>
      <c r="AH15" s="1" t="n">
        <f aca="false">IF(C15="V",-2,0)+IF(C15="E",-1,0)+IF(C15="O",0,0)+IF(C15="L",1,0)</f>
        <v>-1</v>
      </c>
      <c r="AI15" s="1" t="n">
        <f aca="false">IF(C15="V",-2,0)+IF(C15="E",-1,0)+IF(C15="O",0,0)+IF(C15="L",1,0)+Z15</f>
        <v>-0.5</v>
      </c>
      <c r="AJ15" s="1" t="n">
        <f aca="false">IF(C15="V",-2,0)+IF(C15="E",-1,0)+IF(C15="O",0,0)+IF(C15="L",1,0)+Z15*2</f>
        <v>0</v>
      </c>
      <c r="AK15" s="1" t="n">
        <f aca="false">IF(D15="V",-2,0)+IF(D15="E",-1,0)+IF(D15="O",0,0)+IF(D15="L",1,0)</f>
        <v>-2</v>
      </c>
      <c r="AL15" s="1" t="n">
        <f aca="false">IF(D15="V",-2,0)+IF(D15="E",-1,0)+IF(D15="O",0,0)+IF(D15="L",1,0)+AA15</f>
        <v>-2</v>
      </c>
      <c r="AM15" s="1" t="n">
        <f aca="false">IF(D15="V",-2,0)+IF(D15="E",-1,0)+IF(D15="O",0,0)+IF(D15="L",1,0)+AA15*2</f>
        <v>-2</v>
      </c>
      <c r="AN15" s="1" t="n">
        <f aca="false">(ABS(IF(AE15&lt;0,AE15*Early,AE15*Late))+ABS(IF(AF15&lt;0,AF15*Early,AF15*Late))+ABS(IF(AG15&lt;0,AG15*Early,AG15*Late)))/3</f>
        <v>1.5</v>
      </c>
      <c r="AO15" s="1" t="n">
        <f aca="false">(ABS(IF(AH15&lt;0,AH15*Early,AH15*Late))+ABS(IF(AI15&lt;0,AI15*Early,AI15*Late))+ABS(IF(AJ15&lt;0,AJ15*Early,AJ15*Late)))/3</f>
        <v>1.5</v>
      </c>
      <c r="AP15" s="1" t="n">
        <f aca="false">(ABS(IF(AK15&lt;0,AK15*Early,AK15*Late))+ABS(IF(AL15&lt;0,AL15*Early,AL15*Late))+ABS(IF(AM15&lt;0,AM15*Early,AM15*Late)))/3</f>
        <v>6</v>
      </c>
      <c r="AQ15" s="0" t="n">
        <f aca="false">Y15*Delay+AN15</f>
        <v>2</v>
      </c>
      <c r="AR15" s="0" t="n">
        <f aca="false">Z15*Delay+AO15</f>
        <v>2</v>
      </c>
      <c r="AS15" s="0" t="n">
        <f aca="false">AA15*Delay+AP15</f>
        <v>6</v>
      </c>
      <c r="AT15" s="0" t="n">
        <f aca="false">IF(AR15=MIN(AR14:AR17),1,0)</f>
        <v>0</v>
      </c>
      <c r="AX15" s="0" t="str">
        <f aca="false">B15&amp;C15&amp;D15</f>
        <v>EEV</v>
      </c>
      <c r="AY15" s="1" t="n">
        <f aca="false">AQ15+AR15+AS15</f>
        <v>10</v>
      </c>
      <c r="AZ15" s="1" t="str">
        <f aca="false">RIGHT(AX15,2)</f>
        <v>EV</v>
      </c>
      <c r="BA15" s="1" t="str">
        <f aca="false">LEFT(AX15,1)&amp;RIGHT(AX15,1)</f>
        <v>EV</v>
      </c>
      <c r="BB15" s="1" t="str">
        <f aca="false">LEFT(AX15,2)</f>
        <v>EE</v>
      </c>
      <c r="BC15" s="1" t="n">
        <f aca="false">VLOOKUP(AZ15,TwoPlayers!$AG$1:$AH$17,2,FALSE())</f>
        <v>9</v>
      </c>
      <c r="BD15" s="1" t="n">
        <f aca="false">VLOOKUP(BA15,TwoPlayers!$AG$1:$AH$17,2,FALSE())</f>
        <v>9</v>
      </c>
      <c r="BE15" s="1" t="n">
        <f aca="false">VLOOKUP(BB15,TwoPlayers!$AG$1:$AH$17,2,FALSE())</f>
        <v>4</v>
      </c>
      <c r="BF15" s="1" t="n">
        <f aca="false">$AY15-BC15</f>
        <v>1</v>
      </c>
      <c r="BG15" s="1" t="n">
        <f aca="false">$AY15-BD15</f>
        <v>1</v>
      </c>
      <c r="BH15" s="1" t="n">
        <f aca="false">$AY15-BE15</f>
        <v>6</v>
      </c>
      <c r="BJ15" s="0" t="n">
        <f aca="false">AQ15+BF15</f>
        <v>3</v>
      </c>
      <c r="BK15" s="0" t="n">
        <f aca="false">AR15+BG15</f>
        <v>3</v>
      </c>
      <c r="BL15" s="0" t="n">
        <f aca="false">AS15+BH15</f>
        <v>12</v>
      </c>
      <c r="BM15" s="0" t="n">
        <f aca="false">IF(BK15=MIN(BK14:BK18),1,0)</f>
        <v>0</v>
      </c>
    </row>
    <row r="16" customFormat="false" ht="13" hidden="false" customHeight="false" outlineLevel="0" collapsed="false">
      <c r="A16" s="0" t="n">
        <v>25</v>
      </c>
      <c r="B16" s="0" t="s">
        <v>2</v>
      </c>
      <c r="C16" s="0" t="s">
        <v>3</v>
      </c>
      <c r="D16" s="0" t="s">
        <v>1</v>
      </c>
      <c r="E16" s="0" t="n">
        <f aca="false">(IF($B16="V",1,0))+IF($C16="V",1,0)+IF($D16="V",1,0)</f>
        <v>1</v>
      </c>
      <c r="F16" s="0" t="n">
        <f aca="false">(IF($B16="E",1,0))+IF($C16="E",1,0)+IF($D16="E",1,0)</f>
        <v>1</v>
      </c>
      <c r="G16" s="0" t="n">
        <f aca="false">(IF($B16="O",1,0))+IF($C16="O",1,0)+IF($D16="O",1,0)</f>
        <v>1</v>
      </c>
      <c r="H16" s="0" t="n">
        <f aca="false">(IF($B16="L",1,0))+IF($C16="L",1,0)+IF($D16="L",1,0)</f>
        <v>0</v>
      </c>
      <c r="I16" s="0" t="n">
        <f aca="false">(IF(B16="V",1,0))</f>
        <v>0</v>
      </c>
      <c r="J16" s="0" t="n">
        <f aca="false">(IF(B16="E",1,0))</f>
        <v>1</v>
      </c>
      <c r="K16" s="0" t="n">
        <f aca="false">(IF(B16="O",1,0))</f>
        <v>0</v>
      </c>
      <c r="L16" s="0" t="n">
        <f aca="false">(IF(B16="L",1,0))</f>
        <v>0</v>
      </c>
      <c r="M16" s="0" t="n">
        <f aca="false">(IF(C16="V",1,0))</f>
        <v>0</v>
      </c>
      <c r="N16" s="0" t="n">
        <f aca="false">(IF(C16="E",1,0))</f>
        <v>0</v>
      </c>
      <c r="O16" s="0" t="n">
        <f aca="false">(IF(C16="O",1,0))</f>
        <v>1</v>
      </c>
      <c r="P16" s="0" t="n">
        <f aca="false">(IF(C16="L",1,0))</f>
        <v>0</v>
      </c>
      <c r="Q16" s="0" t="n">
        <f aca="false">(IF(D16="V",1,0))</f>
        <v>1</v>
      </c>
      <c r="R16" s="0" t="n">
        <f aca="false">(IF(D16="E",1,0))</f>
        <v>0</v>
      </c>
      <c r="S16" s="0" t="n">
        <f aca="false">(IF(D16="O",1,0))</f>
        <v>0</v>
      </c>
      <c r="T16" s="0" t="n">
        <f aca="false">(IF(D16="L",1,0))</f>
        <v>0</v>
      </c>
      <c r="U16" s="0" t="n">
        <f aca="false">MAX(E16-1,0)</f>
        <v>0</v>
      </c>
      <c r="V16" s="0" t="n">
        <f aca="false">MAX(U16-1+F16,0)</f>
        <v>0</v>
      </c>
      <c r="W16" s="0" t="n">
        <f aca="false">MAX(V16-1+G16,0)</f>
        <v>0</v>
      </c>
      <c r="X16" s="0" t="n">
        <f aca="false">MAX(W16-1+H16,0)</f>
        <v>0</v>
      </c>
      <c r="Y16" s="1" t="n">
        <f aca="false">0.5*(E16*I16+F16*J16+G16*K16+H16*L16-1)+(0+$U16*J16+$V16*K16+$W16*L16)</f>
        <v>0</v>
      </c>
      <c r="Z16" s="1" t="n">
        <f aca="false">0.5*(E16*M16+F16*N16+G16*O16+H16*P16-1)+(0+$U16*N16+$V16*O16+$W16*P16)</f>
        <v>0</v>
      </c>
      <c r="AA16" s="1" t="n">
        <f aca="false">0.5*(E16*Q16+F16*R16+G16*S16+H16*T16-1)+(0+$U16*R16+$V16*S16+$W16*T16)</f>
        <v>0</v>
      </c>
      <c r="AB16" s="0" t="n">
        <f aca="false">IF(B16="V",-2,0)+IF(B16="E",-1,0)+IF(B16="O",0,0)+IF(B16="L",1,0)+Y16</f>
        <v>-1</v>
      </c>
      <c r="AC16" s="0" t="n">
        <f aca="false">IF(C16="V",-2,0)+IF(C16="E",-1,0)+IF(C16="O",0,0)+IF(C16="L",1,0)+Z16</f>
        <v>0</v>
      </c>
      <c r="AD16" s="0" t="n">
        <f aca="false">IF(D16="V",-2,0)+IF(D16="E",-1,0)+IF(D16="O",0,0)+IF(D16="L",1,0)+AA16</f>
        <v>-2</v>
      </c>
      <c r="AE16" s="1" t="n">
        <f aca="false">IF(B16="V",-2,0)+IF(B16="E",-1,0)+IF(B16="O",0,0)+IF(B16="L",1,0)</f>
        <v>-1</v>
      </c>
      <c r="AF16" s="1" t="n">
        <f aca="false">IF(B16="V",-2,0)+IF(B16="E",-1,0)+IF(B16="O",0,0)+IF(B16="L",1,0)+Y16</f>
        <v>-1</v>
      </c>
      <c r="AG16" s="1" t="n">
        <f aca="false">IF(B16="V",-2,0)+IF(B16="E",-1,0)+IF(B16="O",0,0)+IF(B16="L",1,0)+Y16*2</f>
        <v>-1</v>
      </c>
      <c r="AH16" s="1" t="n">
        <f aca="false">IF(C16="V",-2,0)+IF(C16="E",-1,0)+IF(C16="O",0,0)+IF(C16="L",1,0)</f>
        <v>0</v>
      </c>
      <c r="AI16" s="1" t="n">
        <f aca="false">IF(C16="V",-2,0)+IF(C16="E",-1,0)+IF(C16="O",0,0)+IF(C16="L",1,0)+Z16</f>
        <v>0</v>
      </c>
      <c r="AJ16" s="1" t="n">
        <f aca="false">IF(C16="V",-2,0)+IF(C16="E",-1,0)+IF(C16="O",0,0)+IF(C16="L",1,0)+Z16*2</f>
        <v>0</v>
      </c>
      <c r="AK16" s="1" t="n">
        <f aca="false">IF(D16="V",-2,0)+IF(D16="E",-1,0)+IF(D16="O",0,0)+IF(D16="L",1,0)</f>
        <v>-2</v>
      </c>
      <c r="AL16" s="1" t="n">
        <f aca="false">IF(D16="V",-2,0)+IF(D16="E",-1,0)+IF(D16="O",0,0)+IF(D16="L",1,0)+AA16</f>
        <v>-2</v>
      </c>
      <c r="AM16" s="1" t="n">
        <f aca="false">IF(D16="V",-2,0)+IF(D16="E",-1,0)+IF(D16="O",0,0)+IF(D16="L",1,0)+AA16*2</f>
        <v>-2</v>
      </c>
      <c r="AN16" s="1" t="n">
        <f aca="false">(ABS(IF(AE16&lt;0,AE16*Early,AE16*Late))+ABS(IF(AF16&lt;0,AF16*Early,AF16*Late))+ABS(IF(AG16&lt;0,AG16*Early,AG16*Late)))/3</f>
        <v>3</v>
      </c>
      <c r="AO16" s="1" t="n">
        <f aca="false">(ABS(IF(AH16&lt;0,AH16*Early,AH16*Late))+ABS(IF(AI16&lt;0,AI16*Early,AI16*Late))+ABS(IF(AJ16&lt;0,AJ16*Early,AJ16*Late)))/3</f>
        <v>0</v>
      </c>
      <c r="AP16" s="1" t="n">
        <f aca="false">(ABS(IF(AK16&lt;0,AK16*Early,AK16*Late))+ABS(IF(AL16&lt;0,AL16*Early,AL16*Late))+ABS(IF(AM16&lt;0,AM16*Early,AM16*Late)))/3</f>
        <v>6</v>
      </c>
      <c r="AQ16" s="0" t="n">
        <f aca="false">Y16*Delay+AN16</f>
        <v>3</v>
      </c>
      <c r="AR16" s="0" t="n">
        <f aca="false">Z16*Delay+AO16</f>
        <v>0</v>
      </c>
      <c r="AS16" s="0" t="n">
        <f aca="false">AA16*Delay+AP16</f>
        <v>6</v>
      </c>
      <c r="AT16" s="0" t="n">
        <f aca="false">IF(AR16=MIN(AR14:AR17),1,0)</f>
        <v>1</v>
      </c>
      <c r="AX16" s="0" t="str">
        <f aca="false">B16&amp;C16&amp;D16</f>
        <v>EOV</v>
      </c>
      <c r="AY16" s="1" t="n">
        <f aca="false">AQ16+AR16+AS16</f>
        <v>9</v>
      </c>
      <c r="AZ16" s="1" t="str">
        <f aca="false">RIGHT(AX16,2)</f>
        <v>OV</v>
      </c>
      <c r="BA16" s="1" t="str">
        <f aca="false">LEFT(AX16,1)&amp;RIGHT(AX16,1)</f>
        <v>EV</v>
      </c>
      <c r="BB16" s="1" t="str">
        <f aca="false">LEFT(AX16,2)</f>
        <v>EO</v>
      </c>
      <c r="BC16" s="1" t="n">
        <f aca="false">VLOOKUP(AZ16,TwoPlayers!$AG$1:$AH$17,2,FALSE())</f>
        <v>6</v>
      </c>
      <c r="BD16" s="1" t="n">
        <f aca="false">VLOOKUP(BA16,TwoPlayers!$AG$1:$AH$17,2,FALSE())</f>
        <v>9</v>
      </c>
      <c r="BE16" s="1" t="n">
        <f aca="false">VLOOKUP(BB16,TwoPlayers!$AG$1:$AH$17,2,FALSE())</f>
        <v>3</v>
      </c>
      <c r="BF16" s="1" t="n">
        <f aca="false">$AY16-BC16</f>
        <v>3</v>
      </c>
      <c r="BG16" s="1" t="n">
        <f aca="false">$AY16-BD16</f>
        <v>0</v>
      </c>
      <c r="BH16" s="1" t="n">
        <f aca="false">$AY16-BE16</f>
        <v>6</v>
      </c>
      <c r="BJ16" s="0" t="n">
        <f aca="false">AQ16+BF16</f>
        <v>6</v>
      </c>
      <c r="BK16" s="0" t="n">
        <f aca="false">AR16+BG16</f>
        <v>0</v>
      </c>
      <c r="BL16" s="0" t="n">
        <f aca="false">AS16+BH16</f>
        <v>12</v>
      </c>
      <c r="BM16" s="0" t="n">
        <f aca="false">IF(BK16=MIN(BK14:BK18),1,0)</f>
        <v>1</v>
      </c>
    </row>
    <row r="17" customFormat="false" ht="13" hidden="false" customHeight="false" outlineLevel="0" collapsed="false">
      <c r="A17" s="0" t="n">
        <v>29</v>
      </c>
      <c r="B17" s="0" t="s">
        <v>2</v>
      </c>
      <c r="C17" s="0" t="s">
        <v>4</v>
      </c>
      <c r="D17" s="0" t="s">
        <v>1</v>
      </c>
      <c r="E17" s="0" t="n">
        <f aca="false">(IF($B17="V",1,0))+IF($C17="V",1,0)+IF($D17="V",1,0)</f>
        <v>1</v>
      </c>
      <c r="F17" s="0" t="n">
        <f aca="false">(IF($B17="E",1,0))+IF($C17="E",1,0)+IF($D17="E",1,0)</f>
        <v>1</v>
      </c>
      <c r="G17" s="0" t="n">
        <f aca="false">(IF($B17="O",1,0))+IF($C17="O",1,0)+IF($D17="O",1,0)</f>
        <v>0</v>
      </c>
      <c r="H17" s="0" t="n">
        <f aca="false">(IF($B17="L",1,0))+IF($C17="L",1,0)+IF($D17="L",1,0)</f>
        <v>1</v>
      </c>
      <c r="I17" s="0" t="n">
        <f aca="false">(IF(B17="V",1,0))</f>
        <v>0</v>
      </c>
      <c r="J17" s="0" t="n">
        <f aca="false">(IF(B17="E",1,0))</f>
        <v>1</v>
      </c>
      <c r="K17" s="0" t="n">
        <f aca="false">(IF(B17="O",1,0))</f>
        <v>0</v>
      </c>
      <c r="L17" s="0" t="n">
        <f aca="false">(IF(B17="L",1,0))</f>
        <v>0</v>
      </c>
      <c r="M17" s="0" t="n">
        <f aca="false">(IF(C17="V",1,0))</f>
        <v>0</v>
      </c>
      <c r="N17" s="0" t="n">
        <f aca="false">(IF(C17="E",1,0))</f>
        <v>0</v>
      </c>
      <c r="O17" s="0" t="n">
        <f aca="false">(IF(C17="O",1,0))</f>
        <v>0</v>
      </c>
      <c r="P17" s="0" t="n">
        <f aca="false">(IF(C17="L",1,0))</f>
        <v>1</v>
      </c>
      <c r="Q17" s="0" t="n">
        <f aca="false">(IF(D17="V",1,0))</f>
        <v>1</v>
      </c>
      <c r="R17" s="0" t="n">
        <f aca="false">(IF(D17="E",1,0))</f>
        <v>0</v>
      </c>
      <c r="S17" s="0" t="n">
        <f aca="false">(IF(D17="O",1,0))</f>
        <v>0</v>
      </c>
      <c r="T17" s="0" t="n">
        <f aca="false">(IF(D17="L",1,0))</f>
        <v>0</v>
      </c>
      <c r="U17" s="0" t="n">
        <f aca="false">MAX(E17-1,0)</f>
        <v>0</v>
      </c>
      <c r="V17" s="0" t="n">
        <f aca="false">MAX(U17-1+F17,0)</f>
        <v>0</v>
      </c>
      <c r="W17" s="0" t="n">
        <f aca="false">MAX(V17-1+G17,0)</f>
        <v>0</v>
      </c>
      <c r="X17" s="0" t="n">
        <f aca="false">MAX(W17-1+H17,0)</f>
        <v>0</v>
      </c>
      <c r="Y17" s="1" t="n">
        <f aca="false">0.5*(E17*I17+F17*J17+G17*K17+H17*L17-1)+(0+$U17*J17+$V17*K17+$W17*L17)</f>
        <v>0</v>
      </c>
      <c r="Z17" s="1" t="n">
        <f aca="false">0.5*(E17*M17+F17*N17+G17*O17+H17*P17-1)+(0+$U17*N17+$V17*O17+$W17*P17)</f>
        <v>0</v>
      </c>
      <c r="AA17" s="1" t="n">
        <f aca="false">0.5*(E17*Q17+F17*R17+G17*S17+H17*T17-1)+(0+$U17*R17+$V17*S17+$W17*T17)</f>
        <v>0</v>
      </c>
      <c r="AB17" s="0" t="n">
        <f aca="false">IF(B17="V",-2,0)+IF(B17="E",-1,0)+IF(B17="O",0,0)+IF(B17="L",1,0)+Y17</f>
        <v>-1</v>
      </c>
      <c r="AC17" s="0" t="n">
        <f aca="false">IF(C17="V",-2,0)+IF(C17="E",-1,0)+IF(C17="O",0,0)+IF(C17="L",1,0)+Z17</f>
        <v>1</v>
      </c>
      <c r="AD17" s="0" t="n">
        <f aca="false">IF(D17="V",-2,0)+IF(D17="E",-1,0)+IF(D17="O",0,0)+IF(D17="L",1,0)+AA17</f>
        <v>-2</v>
      </c>
      <c r="AE17" s="1" t="n">
        <f aca="false">IF(B17="V",-2,0)+IF(B17="E",-1,0)+IF(B17="O",0,0)+IF(B17="L",1,0)</f>
        <v>-1</v>
      </c>
      <c r="AF17" s="1" t="n">
        <f aca="false">IF(B17="V",-2,0)+IF(B17="E",-1,0)+IF(B17="O",0,0)+IF(B17="L",1,0)+Y17</f>
        <v>-1</v>
      </c>
      <c r="AG17" s="1" t="n">
        <f aca="false">IF(B17="V",-2,0)+IF(B17="E",-1,0)+IF(B17="O",0,0)+IF(B17="L",1,0)+Y17*2</f>
        <v>-1</v>
      </c>
      <c r="AH17" s="1" t="n">
        <f aca="false">IF(C17="V",-2,0)+IF(C17="E",-1,0)+IF(C17="O",0,0)+IF(C17="L",1,0)</f>
        <v>1</v>
      </c>
      <c r="AI17" s="1" t="n">
        <f aca="false">IF(C17="V",-2,0)+IF(C17="E",-1,0)+IF(C17="O",0,0)+IF(C17="L",1,0)+Z17</f>
        <v>1</v>
      </c>
      <c r="AJ17" s="1" t="n">
        <f aca="false">IF(C17="V",-2,0)+IF(C17="E",-1,0)+IF(C17="O",0,0)+IF(C17="L",1,0)+Z17*2</f>
        <v>1</v>
      </c>
      <c r="AK17" s="1" t="n">
        <f aca="false">IF(D17="V",-2,0)+IF(D17="E",-1,0)+IF(D17="O",0,0)+IF(D17="L",1,0)</f>
        <v>-2</v>
      </c>
      <c r="AL17" s="1" t="n">
        <f aca="false">IF(D17="V",-2,0)+IF(D17="E",-1,0)+IF(D17="O",0,0)+IF(D17="L",1,0)+AA17</f>
        <v>-2</v>
      </c>
      <c r="AM17" s="1" t="n">
        <f aca="false">IF(D17="V",-2,0)+IF(D17="E",-1,0)+IF(D17="O",0,0)+IF(D17="L",1,0)+AA17*2</f>
        <v>-2</v>
      </c>
      <c r="AN17" s="1" t="n">
        <f aca="false">(ABS(IF(AE17&lt;0,AE17*Early,AE17*Late))+ABS(IF(AF17&lt;0,AF17*Early,AF17*Late))+ABS(IF(AG17&lt;0,AG17*Early,AG17*Late)))/3</f>
        <v>3</v>
      </c>
      <c r="AO17" s="1" t="n">
        <f aca="false">(ABS(IF(AH17&lt;0,AH17*Early,AH17*Late))+ABS(IF(AI17&lt;0,AI17*Early,AI17*Late))+ABS(IF(AJ17&lt;0,AJ17*Early,AJ17*Late)))/3</f>
        <v>4</v>
      </c>
      <c r="AP17" s="1" t="n">
        <f aca="false">(ABS(IF(AK17&lt;0,AK17*Early,AK17*Late))+ABS(IF(AL17&lt;0,AL17*Early,AL17*Late))+ABS(IF(AM17&lt;0,AM17*Early,AM17*Late)))/3</f>
        <v>6</v>
      </c>
      <c r="AQ17" s="0" t="n">
        <f aca="false">Y17*Delay+AN17</f>
        <v>3</v>
      </c>
      <c r="AR17" s="0" t="n">
        <f aca="false">Z17*Delay+AO17</f>
        <v>4</v>
      </c>
      <c r="AS17" s="0" t="n">
        <f aca="false">AA17*Delay+AP17</f>
        <v>6</v>
      </c>
      <c r="AT17" s="0" t="n">
        <f aca="false">IF(AR17=MIN(AR14:AR17),1,0)</f>
        <v>0</v>
      </c>
      <c r="AX17" s="0" t="str">
        <f aca="false">B17&amp;C17&amp;D17</f>
        <v>ELV</v>
      </c>
      <c r="AY17" s="1" t="n">
        <f aca="false">AQ17+AR17+AS17</f>
        <v>13</v>
      </c>
      <c r="AZ17" s="1" t="str">
        <f aca="false">RIGHT(AX17,2)</f>
        <v>LV</v>
      </c>
      <c r="BA17" s="1" t="str">
        <f aca="false">LEFT(AX17,1)&amp;RIGHT(AX17,1)</f>
        <v>EV</v>
      </c>
      <c r="BB17" s="1" t="str">
        <f aca="false">LEFT(AX17,2)</f>
        <v>EL</v>
      </c>
      <c r="BC17" s="1" t="n">
        <f aca="false">VLOOKUP(AZ17,TwoPlayers!$AG$1:$AH$17,2,FALSE())</f>
        <v>10</v>
      </c>
      <c r="BD17" s="1" t="n">
        <f aca="false">VLOOKUP(BA17,TwoPlayers!$AG$1:$AH$17,2,FALSE())</f>
        <v>9</v>
      </c>
      <c r="BE17" s="1" t="n">
        <f aca="false">VLOOKUP(BB17,TwoPlayers!$AG$1:$AH$17,2,FALSE())</f>
        <v>7</v>
      </c>
      <c r="BF17" s="1" t="n">
        <f aca="false">$AY17-BC17</f>
        <v>3</v>
      </c>
      <c r="BG17" s="1" t="n">
        <f aca="false">$AY17-BD17</f>
        <v>4</v>
      </c>
      <c r="BH17" s="1" t="n">
        <f aca="false">$AY17-BE17</f>
        <v>6</v>
      </c>
      <c r="BJ17" s="0" t="n">
        <f aca="false">AQ17+BF17</f>
        <v>6</v>
      </c>
      <c r="BK17" s="0" t="n">
        <f aca="false">AR17+BG17</f>
        <v>8</v>
      </c>
      <c r="BL17" s="0" t="n">
        <f aca="false">AS17+BH17</f>
        <v>12</v>
      </c>
      <c r="BM17" s="0" t="n">
        <f aca="false">IF(BK17=MIN(BK14:BK18),1,0)</f>
        <v>0</v>
      </c>
    </row>
    <row r="18" customFormat="false" ht="13" hidden="false" customHeight="false" outlineLevel="0" collapsed="false">
      <c r="A18" s="0" t="n">
        <v>50</v>
      </c>
      <c r="B18" s="0" t="s">
        <v>4</v>
      </c>
      <c r="C18" s="0" t="s">
        <v>1</v>
      </c>
      <c r="D18" s="0" t="s">
        <v>2</v>
      </c>
      <c r="E18" s="0" t="n">
        <f aca="false">(IF($B18="V",1,0))+IF($C18="V",1,0)+IF($D18="V",1,0)</f>
        <v>1</v>
      </c>
      <c r="F18" s="0" t="n">
        <f aca="false">(IF($B18="E",1,0))+IF($C18="E",1,0)+IF($D18="E",1,0)</f>
        <v>1</v>
      </c>
      <c r="G18" s="0" t="n">
        <f aca="false">(IF($B18="O",1,0))+IF($C18="O",1,0)+IF($D18="O",1,0)</f>
        <v>0</v>
      </c>
      <c r="H18" s="0" t="n">
        <f aca="false">(IF($B18="L",1,0))+IF($C18="L",1,0)+IF($D18="L",1,0)</f>
        <v>1</v>
      </c>
      <c r="I18" s="0" t="n">
        <f aca="false">(IF(B18="V",1,0))</f>
        <v>0</v>
      </c>
      <c r="J18" s="0" t="n">
        <f aca="false">(IF(B18="E",1,0))</f>
        <v>0</v>
      </c>
      <c r="K18" s="0" t="n">
        <f aca="false">(IF(B18="O",1,0))</f>
        <v>0</v>
      </c>
      <c r="L18" s="0" t="n">
        <f aca="false">(IF(B18="L",1,0))</f>
        <v>1</v>
      </c>
      <c r="M18" s="0" t="n">
        <f aca="false">(IF(C18="V",1,0))</f>
        <v>1</v>
      </c>
      <c r="N18" s="0" t="n">
        <f aca="false">(IF(C18="E",1,0))</f>
        <v>0</v>
      </c>
      <c r="O18" s="0" t="n">
        <f aca="false">(IF(C18="O",1,0))</f>
        <v>0</v>
      </c>
      <c r="P18" s="0" t="n">
        <f aca="false">(IF(C18="L",1,0))</f>
        <v>0</v>
      </c>
      <c r="Q18" s="0" t="n">
        <f aca="false">(IF(D18="V",1,0))</f>
        <v>0</v>
      </c>
      <c r="R18" s="0" t="n">
        <f aca="false">(IF(D18="E",1,0))</f>
        <v>1</v>
      </c>
      <c r="S18" s="0" t="n">
        <f aca="false">(IF(D18="O",1,0))</f>
        <v>0</v>
      </c>
      <c r="T18" s="0" t="n">
        <f aca="false">(IF(D18="L",1,0))</f>
        <v>0</v>
      </c>
      <c r="U18" s="0" t="n">
        <f aca="false">MAX(E18-1,0)</f>
        <v>0</v>
      </c>
      <c r="V18" s="0" t="n">
        <f aca="false">MAX(U18-1+F18,0)</f>
        <v>0</v>
      </c>
      <c r="W18" s="0" t="n">
        <f aca="false">MAX(V18-1+G18,0)</f>
        <v>0</v>
      </c>
      <c r="X18" s="0" t="n">
        <f aca="false">MAX(W18-1+H18,0)</f>
        <v>0</v>
      </c>
      <c r="Y18" s="1" t="n">
        <f aca="false">0.5*(E18*I18+F18*J18+G18*K18+H18*L18-1)+(0+$U18*J18+$V18*K18+$W18*L18)</f>
        <v>0</v>
      </c>
      <c r="Z18" s="1" t="n">
        <f aca="false">0.5*(E18*M18+F18*N18+G18*O18+H18*P18-1)+(0+$U18*N18+$V18*O18+$W18*P18)</f>
        <v>0</v>
      </c>
      <c r="AA18" s="1" t="n">
        <f aca="false">0.5*(E18*Q18+F18*R18+G18*S18+H18*T18-1)+(0+$U18*R18+$V18*S18+$W18*T18)</f>
        <v>0</v>
      </c>
      <c r="AB18" s="0" t="n">
        <f aca="false">IF(B18="V",-2,0)+IF(B18="E",-1,0)+IF(B18="O",0,0)+IF(B18="L",1,0)+Y18</f>
        <v>1</v>
      </c>
      <c r="AC18" s="0" t="n">
        <f aca="false">IF(C18="V",-2,0)+IF(C18="E",-1,0)+IF(C18="O",0,0)+IF(C18="L",1,0)+Z18</f>
        <v>-2</v>
      </c>
      <c r="AD18" s="0" t="n">
        <f aca="false">IF(D18="V",-2,0)+IF(D18="E",-1,0)+IF(D18="O",0,0)+IF(D18="L",1,0)+AA18</f>
        <v>-1</v>
      </c>
      <c r="AE18" s="1" t="n">
        <f aca="false">IF(B18="V",-2,0)+IF(B18="E",-1,0)+IF(B18="O",0,0)+IF(B18="L",1,0)</f>
        <v>1</v>
      </c>
      <c r="AF18" s="1" t="n">
        <f aca="false">IF(B18="V",-2,0)+IF(B18="E",-1,0)+IF(B18="O",0,0)+IF(B18="L",1,0)+Y18</f>
        <v>1</v>
      </c>
      <c r="AG18" s="1" t="n">
        <f aca="false">IF(B18="V",-2,0)+IF(B18="E",-1,0)+IF(B18="O",0,0)+IF(B18="L",1,0)+Y18*2</f>
        <v>1</v>
      </c>
      <c r="AH18" s="1" t="n">
        <f aca="false">IF(C18="V",-2,0)+IF(C18="E",-1,0)+IF(C18="O",0,0)+IF(C18="L",1,0)</f>
        <v>-2</v>
      </c>
      <c r="AI18" s="1" t="n">
        <f aca="false">IF(C18="V",-2,0)+IF(C18="E",-1,0)+IF(C18="O",0,0)+IF(C18="L",1,0)+Z18</f>
        <v>-2</v>
      </c>
      <c r="AJ18" s="1" t="n">
        <f aca="false">IF(C18="V",-2,0)+IF(C18="E",-1,0)+IF(C18="O",0,0)+IF(C18="L",1,0)+Z18*2</f>
        <v>-2</v>
      </c>
      <c r="AK18" s="1" t="n">
        <f aca="false">IF(D18="V",-2,0)+IF(D18="E",-1,0)+IF(D18="O",0,0)+IF(D18="L",1,0)</f>
        <v>-1</v>
      </c>
      <c r="AL18" s="1" t="n">
        <f aca="false">IF(D18="V",-2,0)+IF(D18="E",-1,0)+IF(D18="O",0,0)+IF(D18="L",1,0)+AA18</f>
        <v>-1</v>
      </c>
      <c r="AM18" s="1" t="n">
        <f aca="false">IF(D18="V",-2,0)+IF(D18="E",-1,0)+IF(D18="O",0,0)+IF(D18="L",1,0)+AA18*2</f>
        <v>-1</v>
      </c>
      <c r="AN18" s="1" t="n">
        <f aca="false">(ABS(IF(AE18&lt;0,AE18*Early,AE18*Late))+ABS(IF(AF18&lt;0,AF18*Early,AF18*Late))+ABS(IF(AG18&lt;0,AG18*Early,AG18*Late)))/3</f>
        <v>4</v>
      </c>
      <c r="AO18" s="1" t="n">
        <f aca="false">(ABS(IF(AH18&lt;0,AH18*Early,AH18*Late))+ABS(IF(AI18&lt;0,AI18*Early,AI18*Late))+ABS(IF(AJ18&lt;0,AJ18*Early,AJ18*Late)))/3</f>
        <v>6</v>
      </c>
      <c r="AP18" s="1" t="n">
        <f aca="false">(ABS(IF(AK18&lt;0,AK18*Early,AK18*Late))+ABS(IF(AL18&lt;0,AL18*Early,AL18*Late))+ABS(IF(AM18&lt;0,AM18*Early,AM18*Late)))/3</f>
        <v>3</v>
      </c>
      <c r="AQ18" s="0" t="n">
        <f aca="false">Y18*Delay+AN18</f>
        <v>4</v>
      </c>
      <c r="AR18" s="0" t="n">
        <f aca="false">Z18*Delay+AO18</f>
        <v>6</v>
      </c>
      <c r="AS18" s="0" t="n">
        <f aca="false">AA18*Delay+AP18</f>
        <v>3</v>
      </c>
      <c r="AT18" s="0" t="n">
        <f aca="false">IF(AR18=MIN(AR18:AR21),1,0)</f>
        <v>0</v>
      </c>
      <c r="AX18" s="0" t="str">
        <f aca="false">B18&amp;C18&amp;D18</f>
        <v>LVE</v>
      </c>
      <c r="AY18" s="1" t="n">
        <f aca="false">AQ18+AR18+AS18</f>
        <v>13</v>
      </c>
      <c r="AZ18" s="1" t="str">
        <f aca="false">RIGHT(AX18,2)</f>
        <v>VE</v>
      </c>
      <c r="BA18" s="1" t="str">
        <f aca="false">LEFT(AX18,1)&amp;RIGHT(AX18,1)</f>
        <v>LE</v>
      </c>
      <c r="BB18" s="1" t="str">
        <f aca="false">LEFT(AX18,2)</f>
        <v>LV</v>
      </c>
      <c r="BC18" s="1" t="n">
        <f aca="false">VLOOKUP(AZ18,TwoPlayers!$AG$1:$AH$17,2,FALSE())</f>
        <v>9</v>
      </c>
      <c r="BD18" s="1" t="n">
        <f aca="false">VLOOKUP(BA18,TwoPlayers!$AG$1:$AH$17,2,FALSE())</f>
        <v>7</v>
      </c>
      <c r="BE18" s="1" t="n">
        <f aca="false">VLOOKUP(BB18,TwoPlayers!$AG$1:$AH$17,2,FALSE())</f>
        <v>10</v>
      </c>
      <c r="BF18" s="1" t="n">
        <f aca="false">$AY18-BC18</f>
        <v>4</v>
      </c>
      <c r="BG18" s="1" t="n">
        <f aca="false">$AY18-BD18</f>
        <v>6</v>
      </c>
      <c r="BH18" s="1" t="n">
        <f aca="false">$AY18-BE18</f>
        <v>3</v>
      </c>
      <c r="BJ18" s="0" t="n">
        <f aca="false">AQ18+BF18</f>
        <v>8</v>
      </c>
      <c r="BK18" s="0" t="n">
        <f aca="false">AR18+BG18</f>
        <v>12</v>
      </c>
      <c r="BL18" s="0" t="n">
        <f aca="false">AS18+BH18</f>
        <v>6</v>
      </c>
      <c r="BM18" s="0" t="n">
        <f aca="false">IF(BK18=MIN(BK18:BK22),1,0)</f>
        <v>0</v>
      </c>
    </row>
    <row r="19" customFormat="false" ht="13" hidden="false" customHeight="false" outlineLevel="0" collapsed="false">
      <c r="A19" s="0" t="n">
        <v>54</v>
      </c>
      <c r="B19" s="0" t="s">
        <v>4</v>
      </c>
      <c r="C19" s="0" t="s">
        <v>2</v>
      </c>
      <c r="D19" s="0" t="s">
        <v>2</v>
      </c>
      <c r="E19" s="0" t="n">
        <f aca="false">(IF($B19="V",1,0))+IF($C19="V",1,0)+IF($D19="V",1,0)</f>
        <v>0</v>
      </c>
      <c r="F19" s="0" t="n">
        <f aca="false">(IF($B19="E",1,0))+IF($C19="E",1,0)+IF($D19="E",1,0)</f>
        <v>2</v>
      </c>
      <c r="G19" s="0" t="n">
        <f aca="false">(IF($B19="O",1,0))+IF($C19="O",1,0)+IF($D19="O",1,0)</f>
        <v>0</v>
      </c>
      <c r="H19" s="0" t="n">
        <f aca="false">(IF($B19="L",1,0))+IF($C19="L",1,0)+IF($D19="L",1,0)</f>
        <v>1</v>
      </c>
      <c r="I19" s="0" t="n">
        <f aca="false">(IF(B19="V",1,0))</f>
        <v>0</v>
      </c>
      <c r="J19" s="0" t="n">
        <f aca="false">(IF(B19="E",1,0))</f>
        <v>0</v>
      </c>
      <c r="K19" s="0" t="n">
        <f aca="false">(IF(B19="O",1,0))</f>
        <v>0</v>
      </c>
      <c r="L19" s="0" t="n">
        <f aca="false">(IF(B19="L",1,0))</f>
        <v>1</v>
      </c>
      <c r="M19" s="0" t="n">
        <f aca="false">(IF(C19="V",1,0))</f>
        <v>0</v>
      </c>
      <c r="N19" s="0" t="n">
        <f aca="false">(IF(C19="E",1,0))</f>
        <v>1</v>
      </c>
      <c r="O19" s="0" t="n">
        <f aca="false">(IF(C19="O",1,0))</f>
        <v>0</v>
      </c>
      <c r="P19" s="0" t="n">
        <f aca="false">(IF(C19="L",1,0))</f>
        <v>0</v>
      </c>
      <c r="Q19" s="0" t="n">
        <f aca="false">(IF(D19="V",1,0))</f>
        <v>0</v>
      </c>
      <c r="R19" s="0" t="n">
        <f aca="false">(IF(D19="E",1,0))</f>
        <v>1</v>
      </c>
      <c r="S19" s="0" t="n">
        <f aca="false">(IF(D19="O",1,0))</f>
        <v>0</v>
      </c>
      <c r="T19" s="0" t="n">
        <f aca="false">(IF(D19="L",1,0))</f>
        <v>0</v>
      </c>
      <c r="U19" s="0" t="n">
        <f aca="false">MAX(E19-1,0)</f>
        <v>0</v>
      </c>
      <c r="V19" s="0" t="n">
        <f aca="false">MAX(U19-1+F19,0)</f>
        <v>1</v>
      </c>
      <c r="W19" s="0" t="n">
        <f aca="false">MAX(V19-1+G19,0)</f>
        <v>0</v>
      </c>
      <c r="X19" s="0" t="n">
        <f aca="false">MAX(W19-1+H19,0)</f>
        <v>0</v>
      </c>
      <c r="Y19" s="1" t="n">
        <f aca="false">0.5*(E19*I19+F19*J19+G19*K19+H19*L19-1)+(0+$U19*J19+$V19*K19+$W19*L19)</f>
        <v>0</v>
      </c>
      <c r="Z19" s="1" t="n">
        <f aca="false">0.5*(E19*M19+F19*N19+G19*O19+H19*P19-1)+(0+$U19*N19+$V19*O19+$W19*P19)</f>
        <v>0.5</v>
      </c>
      <c r="AA19" s="1" t="n">
        <f aca="false">0.5*(E19*Q19+F19*R19+G19*S19+H19*T19-1)+(0+$U19*R19+$V19*S19+$W19*T19)</f>
        <v>0.5</v>
      </c>
      <c r="AB19" s="0" t="n">
        <f aca="false">IF(B19="V",-2,0)+IF(B19="E",-1,0)+IF(B19="O",0,0)+IF(B19="L",1,0)+Y19</f>
        <v>1</v>
      </c>
      <c r="AC19" s="0" t="n">
        <f aca="false">IF(C19="V",-2,0)+IF(C19="E",-1,0)+IF(C19="O",0,0)+IF(C19="L",1,0)+Z19</f>
        <v>-0.5</v>
      </c>
      <c r="AD19" s="0" t="n">
        <f aca="false">IF(D19="V",-2,0)+IF(D19="E",-1,0)+IF(D19="O",0,0)+IF(D19="L",1,0)+AA19</f>
        <v>-0.5</v>
      </c>
      <c r="AE19" s="1" t="n">
        <f aca="false">IF(B19="V",-2,0)+IF(B19="E",-1,0)+IF(B19="O",0,0)+IF(B19="L",1,0)</f>
        <v>1</v>
      </c>
      <c r="AF19" s="1" t="n">
        <f aca="false">IF(B19="V",-2,0)+IF(B19="E",-1,0)+IF(B19="O",0,0)+IF(B19="L",1,0)+Y19</f>
        <v>1</v>
      </c>
      <c r="AG19" s="1" t="n">
        <f aca="false">IF(B19="V",-2,0)+IF(B19="E",-1,0)+IF(B19="O",0,0)+IF(B19="L",1,0)+Y19*2</f>
        <v>1</v>
      </c>
      <c r="AH19" s="1" t="n">
        <f aca="false">IF(C19="V",-2,0)+IF(C19="E",-1,0)+IF(C19="O",0,0)+IF(C19="L",1,0)</f>
        <v>-1</v>
      </c>
      <c r="AI19" s="1" t="n">
        <f aca="false">IF(C19="V",-2,0)+IF(C19="E",-1,0)+IF(C19="O",0,0)+IF(C19="L",1,0)+Z19</f>
        <v>-0.5</v>
      </c>
      <c r="AJ19" s="1" t="n">
        <f aca="false">IF(C19="V",-2,0)+IF(C19="E",-1,0)+IF(C19="O",0,0)+IF(C19="L",1,0)+Z19*2</f>
        <v>0</v>
      </c>
      <c r="AK19" s="1" t="n">
        <f aca="false">IF(D19="V",-2,0)+IF(D19="E",-1,0)+IF(D19="O",0,0)+IF(D19="L",1,0)</f>
        <v>-1</v>
      </c>
      <c r="AL19" s="1" t="n">
        <f aca="false">IF(D19="V",-2,0)+IF(D19="E",-1,0)+IF(D19="O",0,0)+IF(D19="L",1,0)+AA19</f>
        <v>-0.5</v>
      </c>
      <c r="AM19" s="1" t="n">
        <f aca="false">IF(D19="V",-2,0)+IF(D19="E",-1,0)+IF(D19="O",0,0)+IF(D19="L",1,0)+AA19*2</f>
        <v>0</v>
      </c>
      <c r="AN19" s="1" t="n">
        <f aca="false">(ABS(IF(AE19&lt;0,AE19*Early,AE19*Late))+ABS(IF(AF19&lt;0,AF19*Early,AF19*Late))+ABS(IF(AG19&lt;0,AG19*Early,AG19*Late)))/3</f>
        <v>4</v>
      </c>
      <c r="AO19" s="1" t="n">
        <f aca="false">(ABS(IF(AH19&lt;0,AH19*Early,AH19*Late))+ABS(IF(AI19&lt;0,AI19*Early,AI19*Late))+ABS(IF(AJ19&lt;0,AJ19*Early,AJ19*Late)))/3</f>
        <v>1.5</v>
      </c>
      <c r="AP19" s="1" t="n">
        <f aca="false">(ABS(IF(AK19&lt;0,AK19*Early,AK19*Late))+ABS(IF(AL19&lt;0,AL19*Early,AL19*Late))+ABS(IF(AM19&lt;0,AM19*Early,AM19*Late)))/3</f>
        <v>1.5</v>
      </c>
      <c r="AQ19" s="0" t="n">
        <f aca="false">Y19*Delay+AN19</f>
        <v>4</v>
      </c>
      <c r="AR19" s="0" t="n">
        <f aca="false">Z19*Delay+AO19</f>
        <v>2</v>
      </c>
      <c r="AS19" s="0" t="n">
        <f aca="false">AA19*Delay+AP19</f>
        <v>2</v>
      </c>
      <c r="AT19" s="0" t="n">
        <f aca="false">IF(AR19=MIN(AR18:AR21),1,0)</f>
        <v>0</v>
      </c>
      <c r="AX19" s="0" t="str">
        <f aca="false">B19&amp;C19&amp;D19</f>
        <v>LEE</v>
      </c>
      <c r="AY19" s="1" t="n">
        <f aca="false">AQ19+AR19+AS19</f>
        <v>8</v>
      </c>
      <c r="AZ19" s="1" t="str">
        <f aca="false">RIGHT(AX19,2)</f>
        <v>EE</v>
      </c>
      <c r="BA19" s="1" t="str">
        <f aca="false">LEFT(AX19,1)&amp;RIGHT(AX19,1)</f>
        <v>LE</v>
      </c>
      <c r="BB19" s="1" t="str">
        <f aca="false">LEFT(AX19,2)</f>
        <v>LE</v>
      </c>
      <c r="BC19" s="1" t="n">
        <f aca="false">VLOOKUP(AZ19,TwoPlayers!$AG$1:$AH$17,2,FALSE())</f>
        <v>4</v>
      </c>
      <c r="BD19" s="1" t="n">
        <f aca="false">VLOOKUP(BA19,TwoPlayers!$AG$1:$AH$17,2,FALSE())</f>
        <v>7</v>
      </c>
      <c r="BE19" s="1" t="n">
        <f aca="false">VLOOKUP(BB19,TwoPlayers!$AG$1:$AH$17,2,FALSE())</f>
        <v>7</v>
      </c>
      <c r="BF19" s="1" t="n">
        <f aca="false">$AY19-BC19</f>
        <v>4</v>
      </c>
      <c r="BG19" s="1" t="n">
        <f aca="false">$AY19-BD19</f>
        <v>1</v>
      </c>
      <c r="BH19" s="1" t="n">
        <f aca="false">$AY19-BE19</f>
        <v>1</v>
      </c>
      <c r="BJ19" s="0" t="n">
        <f aca="false">AQ19+BF19</f>
        <v>8</v>
      </c>
      <c r="BK19" s="0" t="n">
        <f aca="false">AR19+BG19</f>
        <v>3</v>
      </c>
      <c r="BL19" s="0" t="n">
        <f aca="false">AS19+BH19</f>
        <v>3</v>
      </c>
      <c r="BM19" s="0" t="n">
        <f aca="false">IF(BK19=MIN(BK18:BK22),1,0)</f>
        <v>0</v>
      </c>
    </row>
    <row r="20" customFormat="false" ht="13" hidden="false" customHeight="false" outlineLevel="0" collapsed="false">
      <c r="A20" s="0" t="n">
        <v>58</v>
      </c>
      <c r="B20" s="0" t="s">
        <v>4</v>
      </c>
      <c r="C20" s="0" t="s">
        <v>3</v>
      </c>
      <c r="D20" s="0" t="s">
        <v>2</v>
      </c>
      <c r="E20" s="0" t="n">
        <f aca="false">(IF($B20="V",1,0))+IF($C20="V",1,0)+IF($D20="V",1,0)</f>
        <v>0</v>
      </c>
      <c r="F20" s="0" t="n">
        <f aca="false">(IF($B20="E",1,0))+IF($C20="E",1,0)+IF($D20="E",1,0)</f>
        <v>1</v>
      </c>
      <c r="G20" s="0" t="n">
        <f aca="false">(IF($B20="O",1,0))+IF($C20="O",1,0)+IF($D20="O",1,0)</f>
        <v>1</v>
      </c>
      <c r="H20" s="0" t="n">
        <f aca="false">(IF($B20="L",1,0))+IF($C20="L",1,0)+IF($D20="L",1,0)</f>
        <v>1</v>
      </c>
      <c r="I20" s="0" t="n">
        <f aca="false">(IF(B20="V",1,0))</f>
        <v>0</v>
      </c>
      <c r="J20" s="0" t="n">
        <f aca="false">(IF(B20="E",1,0))</f>
        <v>0</v>
      </c>
      <c r="K20" s="0" t="n">
        <f aca="false">(IF(B20="O",1,0))</f>
        <v>0</v>
      </c>
      <c r="L20" s="0" t="n">
        <f aca="false">(IF(B20="L",1,0))</f>
        <v>1</v>
      </c>
      <c r="M20" s="0" t="n">
        <f aca="false">(IF(C20="V",1,0))</f>
        <v>0</v>
      </c>
      <c r="N20" s="0" t="n">
        <f aca="false">(IF(C20="E",1,0))</f>
        <v>0</v>
      </c>
      <c r="O20" s="0" t="n">
        <f aca="false">(IF(C20="O",1,0))</f>
        <v>1</v>
      </c>
      <c r="P20" s="0" t="n">
        <f aca="false">(IF(C20="L",1,0))</f>
        <v>0</v>
      </c>
      <c r="Q20" s="0" t="n">
        <f aca="false">(IF(D20="V",1,0))</f>
        <v>0</v>
      </c>
      <c r="R20" s="0" t="n">
        <f aca="false">(IF(D20="E",1,0))</f>
        <v>1</v>
      </c>
      <c r="S20" s="0" t="n">
        <f aca="false">(IF(D20="O",1,0))</f>
        <v>0</v>
      </c>
      <c r="T20" s="0" t="n">
        <f aca="false">(IF(D20="L",1,0))</f>
        <v>0</v>
      </c>
      <c r="U20" s="0" t="n">
        <f aca="false">MAX(E20-1,0)</f>
        <v>0</v>
      </c>
      <c r="V20" s="0" t="n">
        <f aca="false">MAX(U20-1+F20,0)</f>
        <v>0</v>
      </c>
      <c r="W20" s="0" t="n">
        <f aca="false">MAX(V20-1+G20,0)</f>
        <v>0</v>
      </c>
      <c r="X20" s="0" t="n">
        <f aca="false">MAX(W20-1+H20,0)</f>
        <v>0</v>
      </c>
      <c r="Y20" s="1" t="n">
        <f aca="false">0.5*(E20*I20+F20*J20+G20*K20+H20*L20-1)+(0+$U20*J20+$V20*K20+$W20*L20)</f>
        <v>0</v>
      </c>
      <c r="Z20" s="1" t="n">
        <f aca="false">0.5*(E20*M20+F20*N20+G20*O20+H20*P20-1)+(0+$U20*N20+$V20*O20+$W20*P20)</f>
        <v>0</v>
      </c>
      <c r="AA20" s="1" t="n">
        <f aca="false">0.5*(E20*Q20+F20*R20+G20*S20+H20*T20-1)+(0+$U20*R20+$V20*S20+$W20*T20)</f>
        <v>0</v>
      </c>
      <c r="AB20" s="0" t="n">
        <f aca="false">IF(B20="V",-2,0)+IF(B20="E",-1,0)+IF(B20="O",0,0)+IF(B20="L",1,0)+Y20</f>
        <v>1</v>
      </c>
      <c r="AC20" s="0" t="n">
        <f aca="false">IF(C20="V",-2,0)+IF(C20="E",-1,0)+IF(C20="O",0,0)+IF(C20="L",1,0)+Z20</f>
        <v>0</v>
      </c>
      <c r="AD20" s="0" t="n">
        <f aca="false">IF(D20="V",-2,0)+IF(D20="E",-1,0)+IF(D20="O",0,0)+IF(D20="L",1,0)+AA20</f>
        <v>-1</v>
      </c>
      <c r="AE20" s="1" t="n">
        <f aca="false">IF(B20="V",-2,0)+IF(B20="E",-1,0)+IF(B20="O",0,0)+IF(B20="L",1,0)</f>
        <v>1</v>
      </c>
      <c r="AF20" s="1" t="n">
        <f aca="false">IF(B20="V",-2,0)+IF(B20="E",-1,0)+IF(B20="O",0,0)+IF(B20="L",1,0)+Y20</f>
        <v>1</v>
      </c>
      <c r="AG20" s="1" t="n">
        <f aca="false">IF(B20="V",-2,0)+IF(B20="E",-1,0)+IF(B20="O",0,0)+IF(B20="L",1,0)+Y20*2</f>
        <v>1</v>
      </c>
      <c r="AH20" s="1" t="n">
        <f aca="false">IF(C20="V",-2,0)+IF(C20="E",-1,0)+IF(C20="O",0,0)+IF(C20="L",1,0)</f>
        <v>0</v>
      </c>
      <c r="AI20" s="1" t="n">
        <f aca="false">IF(C20="V",-2,0)+IF(C20="E",-1,0)+IF(C20="O",0,0)+IF(C20="L",1,0)+Z20</f>
        <v>0</v>
      </c>
      <c r="AJ20" s="1" t="n">
        <f aca="false">IF(C20="V",-2,0)+IF(C20="E",-1,0)+IF(C20="O",0,0)+IF(C20="L",1,0)+Z20*2</f>
        <v>0</v>
      </c>
      <c r="AK20" s="1" t="n">
        <f aca="false">IF(D20="V",-2,0)+IF(D20="E",-1,0)+IF(D20="O",0,0)+IF(D20="L",1,0)</f>
        <v>-1</v>
      </c>
      <c r="AL20" s="1" t="n">
        <f aca="false">IF(D20="V",-2,0)+IF(D20="E",-1,0)+IF(D20="O",0,0)+IF(D20="L",1,0)+AA20</f>
        <v>-1</v>
      </c>
      <c r="AM20" s="1" t="n">
        <f aca="false">IF(D20="V",-2,0)+IF(D20="E",-1,0)+IF(D20="O",0,0)+IF(D20="L",1,0)+AA20*2</f>
        <v>-1</v>
      </c>
      <c r="AN20" s="1" t="n">
        <f aca="false">(ABS(IF(AE20&lt;0,AE20*Early,AE20*Late))+ABS(IF(AF20&lt;0,AF20*Early,AF20*Late))+ABS(IF(AG20&lt;0,AG20*Early,AG20*Late)))/3</f>
        <v>4</v>
      </c>
      <c r="AO20" s="1" t="n">
        <f aca="false">(ABS(IF(AH20&lt;0,AH20*Early,AH20*Late))+ABS(IF(AI20&lt;0,AI20*Early,AI20*Late))+ABS(IF(AJ20&lt;0,AJ20*Early,AJ20*Late)))/3</f>
        <v>0</v>
      </c>
      <c r="AP20" s="1" t="n">
        <f aca="false">(ABS(IF(AK20&lt;0,AK20*Early,AK20*Late))+ABS(IF(AL20&lt;0,AL20*Early,AL20*Late))+ABS(IF(AM20&lt;0,AM20*Early,AM20*Late)))/3</f>
        <v>3</v>
      </c>
      <c r="AQ20" s="0" t="n">
        <f aca="false">Y20*Delay+AN20</f>
        <v>4</v>
      </c>
      <c r="AR20" s="0" t="n">
        <f aca="false">Z20*Delay+AO20</f>
        <v>0</v>
      </c>
      <c r="AS20" s="0" t="n">
        <f aca="false">AA20*Delay+AP20</f>
        <v>3</v>
      </c>
      <c r="AT20" s="0" t="n">
        <f aca="false">IF(AR20=MIN(AR18:AR21),1,0)</f>
        <v>1</v>
      </c>
      <c r="AX20" s="0" t="str">
        <f aca="false">B20&amp;C20&amp;D20</f>
        <v>LOE</v>
      </c>
      <c r="AY20" s="1" t="n">
        <f aca="false">AQ20+AR20+AS20</f>
        <v>7</v>
      </c>
      <c r="AZ20" s="1" t="str">
        <f aca="false">RIGHT(AX20,2)</f>
        <v>OE</v>
      </c>
      <c r="BA20" s="1" t="str">
        <f aca="false">LEFT(AX20,1)&amp;RIGHT(AX20,1)</f>
        <v>LE</v>
      </c>
      <c r="BB20" s="1" t="str">
        <f aca="false">LEFT(AX20,2)</f>
        <v>LO</v>
      </c>
      <c r="BC20" s="1" t="n">
        <f aca="false">VLOOKUP(AZ20,TwoPlayers!$AG$1:$AH$17,2,FALSE())</f>
        <v>3</v>
      </c>
      <c r="BD20" s="1" t="n">
        <f aca="false">VLOOKUP(BA20,TwoPlayers!$AG$1:$AH$17,2,FALSE())</f>
        <v>7</v>
      </c>
      <c r="BE20" s="1" t="n">
        <f aca="false">VLOOKUP(BB20,TwoPlayers!$AG$1:$AH$17,2,FALSE())</f>
        <v>4</v>
      </c>
      <c r="BF20" s="1" t="n">
        <f aca="false">$AY20-BC20</f>
        <v>4</v>
      </c>
      <c r="BG20" s="1" t="n">
        <f aca="false">$AY20-BD20</f>
        <v>0</v>
      </c>
      <c r="BH20" s="1" t="n">
        <f aca="false">$AY20-BE20</f>
        <v>3</v>
      </c>
      <c r="BJ20" s="0" t="n">
        <f aca="false">AQ20+BF20</f>
        <v>8</v>
      </c>
      <c r="BK20" s="0" t="n">
        <f aca="false">AR20+BG20</f>
        <v>0</v>
      </c>
      <c r="BL20" s="0" t="n">
        <f aca="false">AS20+BH20</f>
        <v>6</v>
      </c>
      <c r="BM20" s="0" t="n">
        <f aca="false">IF(BK20=MIN(BK18:BK22),1,0)</f>
        <v>1</v>
      </c>
    </row>
    <row r="21" customFormat="false" ht="13" hidden="false" customHeight="false" outlineLevel="0" collapsed="false">
      <c r="A21" s="0" t="n">
        <v>62</v>
      </c>
      <c r="B21" s="0" t="s">
        <v>4</v>
      </c>
      <c r="C21" s="0" t="s">
        <v>4</v>
      </c>
      <c r="D21" s="0" t="s">
        <v>2</v>
      </c>
      <c r="E21" s="0" t="n">
        <f aca="false">(IF($B21="V",1,0))+IF($C21="V",1,0)+IF($D21="V",1,0)</f>
        <v>0</v>
      </c>
      <c r="F21" s="0" t="n">
        <f aca="false">(IF($B21="E",1,0))+IF($C21="E",1,0)+IF($D21="E",1,0)</f>
        <v>1</v>
      </c>
      <c r="G21" s="0" t="n">
        <f aca="false">(IF($B21="O",1,0))+IF($C21="O",1,0)+IF($D21="O",1,0)</f>
        <v>0</v>
      </c>
      <c r="H21" s="0" t="n">
        <f aca="false">(IF($B21="L",1,0))+IF($C21="L",1,0)+IF($D21="L",1,0)</f>
        <v>2</v>
      </c>
      <c r="I21" s="0" t="n">
        <f aca="false">(IF(B21="V",1,0))</f>
        <v>0</v>
      </c>
      <c r="J21" s="0" t="n">
        <f aca="false">(IF(B21="E",1,0))</f>
        <v>0</v>
      </c>
      <c r="K21" s="0" t="n">
        <f aca="false">(IF(B21="O",1,0))</f>
        <v>0</v>
      </c>
      <c r="L21" s="0" t="n">
        <f aca="false">(IF(B21="L",1,0))</f>
        <v>1</v>
      </c>
      <c r="M21" s="0" t="n">
        <f aca="false">(IF(C21="V",1,0))</f>
        <v>0</v>
      </c>
      <c r="N21" s="0" t="n">
        <f aca="false">(IF(C21="E",1,0))</f>
        <v>0</v>
      </c>
      <c r="O21" s="0" t="n">
        <f aca="false">(IF(C21="O",1,0))</f>
        <v>0</v>
      </c>
      <c r="P21" s="0" t="n">
        <f aca="false">(IF(C21="L",1,0))</f>
        <v>1</v>
      </c>
      <c r="Q21" s="0" t="n">
        <f aca="false">(IF(D21="V",1,0))</f>
        <v>0</v>
      </c>
      <c r="R21" s="0" t="n">
        <f aca="false">(IF(D21="E",1,0))</f>
        <v>1</v>
      </c>
      <c r="S21" s="0" t="n">
        <f aca="false">(IF(D21="O",1,0))</f>
        <v>0</v>
      </c>
      <c r="T21" s="0" t="n">
        <f aca="false">(IF(D21="L",1,0))</f>
        <v>0</v>
      </c>
      <c r="U21" s="0" t="n">
        <f aca="false">MAX(E21-1,0)</f>
        <v>0</v>
      </c>
      <c r="V21" s="0" t="n">
        <f aca="false">MAX(U21-1+F21,0)</f>
        <v>0</v>
      </c>
      <c r="W21" s="0" t="n">
        <f aca="false">MAX(V21-1+G21,0)</f>
        <v>0</v>
      </c>
      <c r="X21" s="0" t="n">
        <f aca="false">MAX(W21-1+H21,0)</f>
        <v>1</v>
      </c>
      <c r="Y21" s="1" t="n">
        <f aca="false">0.5*(E21*I21+F21*J21+G21*K21+H21*L21-1)+(0+$U21*J21+$V21*K21+$W21*L21)</f>
        <v>0.5</v>
      </c>
      <c r="Z21" s="1" t="n">
        <f aca="false">0.5*(E21*M21+F21*N21+G21*O21+H21*P21-1)+(0+$U21*N21+$V21*O21+$W21*P21)</f>
        <v>0.5</v>
      </c>
      <c r="AA21" s="1" t="n">
        <f aca="false">0.5*(E21*Q21+F21*R21+G21*S21+H21*T21-1)+(0+$U21*R21+$V21*S21+$W21*T21)</f>
        <v>0</v>
      </c>
      <c r="AB21" s="0" t="n">
        <f aca="false">IF(B21="V",-2,0)+IF(B21="E",-1,0)+IF(B21="O",0,0)+IF(B21="L",1,0)+Y21</f>
        <v>1.5</v>
      </c>
      <c r="AC21" s="0" t="n">
        <f aca="false">IF(C21="V",-2,0)+IF(C21="E",-1,0)+IF(C21="O",0,0)+IF(C21="L",1,0)+Z21</f>
        <v>1.5</v>
      </c>
      <c r="AD21" s="0" t="n">
        <f aca="false">IF(D21="V",-2,0)+IF(D21="E",-1,0)+IF(D21="O",0,0)+IF(D21="L",1,0)+AA21</f>
        <v>-1</v>
      </c>
      <c r="AE21" s="1" t="n">
        <f aca="false">IF(B21="V",-2,0)+IF(B21="E",-1,0)+IF(B21="O",0,0)+IF(B21="L",1,0)</f>
        <v>1</v>
      </c>
      <c r="AF21" s="1" t="n">
        <f aca="false">IF(B21="V",-2,0)+IF(B21="E",-1,0)+IF(B21="O",0,0)+IF(B21="L",1,0)+Y21</f>
        <v>1.5</v>
      </c>
      <c r="AG21" s="1" t="n">
        <f aca="false">IF(B21="V",-2,0)+IF(B21="E",-1,0)+IF(B21="O",0,0)+IF(B21="L",1,0)+Y21*2</f>
        <v>2</v>
      </c>
      <c r="AH21" s="1" t="n">
        <f aca="false">IF(C21="V",-2,0)+IF(C21="E",-1,0)+IF(C21="O",0,0)+IF(C21="L",1,0)</f>
        <v>1</v>
      </c>
      <c r="AI21" s="1" t="n">
        <f aca="false">IF(C21="V",-2,0)+IF(C21="E",-1,0)+IF(C21="O",0,0)+IF(C21="L",1,0)+Z21</f>
        <v>1.5</v>
      </c>
      <c r="AJ21" s="1" t="n">
        <f aca="false">IF(C21="V",-2,0)+IF(C21="E",-1,0)+IF(C21="O",0,0)+IF(C21="L",1,0)+Z21*2</f>
        <v>2</v>
      </c>
      <c r="AK21" s="1" t="n">
        <f aca="false">IF(D21="V",-2,0)+IF(D21="E",-1,0)+IF(D21="O",0,0)+IF(D21="L",1,0)</f>
        <v>-1</v>
      </c>
      <c r="AL21" s="1" t="n">
        <f aca="false">IF(D21="V",-2,0)+IF(D21="E",-1,0)+IF(D21="O",0,0)+IF(D21="L",1,0)+AA21</f>
        <v>-1</v>
      </c>
      <c r="AM21" s="1" t="n">
        <f aca="false">IF(D21="V",-2,0)+IF(D21="E",-1,0)+IF(D21="O",0,0)+IF(D21="L",1,0)+AA21*2</f>
        <v>-1</v>
      </c>
      <c r="AN21" s="1" t="n">
        <f aca="false">(ABS(IF(AE21&lt;0,AE21*Early,AE21*Late))+ABS(IF(AF21&lt;0,AF21*Early,AF21*Late))+ABS(IF(AG21&lt;0,AG21*Early,AG21*Late)))/3</f>
        <v>6</v>
      </c>
      <c r="AO21" s="1" t="n">
        <f aca="false">(ABS(IF(AH21&lt;0,AH21*Early,AH21*Late))+ABS(IF(AI21&lt;0,AI21*Early,AI21*Late))+ABS(IF(AJ21&lt;0,AJ21*Early,AJ21*Late)))/3</f>
        <v>6</v>
      </c>
      <c r="AP21" s="1" t="n">
        <f aca="false">(ABS(IF(AK21&lt;0,AK21*Early,AK21*Late))+ABS(IF(AL21&lt;0,AL21*Early,AL21*Late))+ABS(IF(AM21&lt;0,AM21*Early,AM21*Late)))/3</f>
        <v>3</v>
      </c>
      <c r="AQ21" s="0" t="n">
        <f aca="false">Y21*Delay+AN21</f>
        <v>6.5</v>
      </c>
      <c r="AR21" s="0" t="n">
        <f aca="false">Z21*Delay+AO21</f>
        <v>6.5</v>
      </c>
      <c r="AS21" s="0" t="n">
        <f aca="false">AA21*Delay+AP21</f>
        <v>3</v>
      </c>
      <c r="AT21" s="0" t="n">
        <f aca="false">IF(AR21=MIN(AR18:AR21),1,0)</f>
        <v>0</v>
      </c>
      <c r="AX21" s="0" t="str">
        <f aca="false">B21&amp;C21&amp;D21</f>
        <v>LLE</v>
      </c>
      <c r="AY21" s="1" t="n">
        <f aca="false">AQ21+AR21+AS21</f>
        <v>16</v>
      </c>
      <c r="AZ21" s="1" t="str">
        <f aca="false">RIGHT(AX21,2)</f>
        <v>LE</v>
      </c>
      <c r="BA21" s="1" t="str">
        <f aca="false">LEFT(AX21,1)&amp;RIGHT(AX21,1)</f>
        <v>LE</v>
      </c>
      <c r="BB21" s="1" t="str">
        <f aca="false">LEFT(AX21,2)</f>
        <v>LL</v>
      </c>
      <c r="BC21" s="1" t="n">
        <f aca="false">VLOOKUP(AZ21,TwoPlayers!$AG$1:$AH$17,2,FALSE())</f>
        <v>7</v>
      </c>
      <c r="BD21" s="1" t="n">
        <f aca="false">VLOOKUP(BA21,TwoPlayers!$AG$1:$AH$17,2,FALSE())</f>
        <v>7</v>
      </c>
      <c r="BE21" s="1" t="n">
        <f aca="false">VLOOKUP(BB21,TwoPlayers!$AG$1:$AH$17,2,FALSE())</f>
        <v>13</v>
      </c>
      <c r="BF21" s="1" t="n">
        <f aca="false">$AY21-BC21</f>
        <v>9</v>
      </c>
      <c r="BG21" s="1" t="n">
        <f aca="false">$AY21-BD21</f>
        <v>9</v>
      </c>
      <c r="BH21" s="1" t="n">
        <f aca="false">$AY21-BE21</f>
        <v>3</v>
      </c>
      <c r="BJ21" s="0" t="n">
        <f aca="false">AQ21+BF21</f>
        <v>15.5</v>
      </c>
      <c r="BK21" s="0" t="n">
        <f aca="false">AR21+BG21</f>
        <v>15.5</v>
      </c>
      <c r="BL21" s="0" t="n">
        <f aca="false">AS21+BH21</f>
        <v>6</v>
      </c>
      <c r="BM21" s="0" t="n">
        <f aca="false">IF(BK21=MIN(BK18:BK22),1,0)</f>
        <v>0</v>
      </c>
    </row>
    <row r="22" customFormat="false" ht="13" hidden="false" customHeight="false" outlineLevel="0" collapsed="false">
      <c r="A22" s="0" t="n">
        <v>52</v>
      </c>
      <c r="B22" s="0" t="s">
        <v>4</v>
      </c>
      <c r="C22" s="0" t="s">
        <v>1</v>
      </c>
      <c r="D22" s="0" t="s">
        <v>4</v>
      </c>
      <c r="E22" s="0" t="n">
        <f aca="false">(IF($B22="V",1,0))+IF($C22="V",1,0)+IF($D22="V",1,0)</f>
        <v>1</v>
      </c>
      <c r="F22" s="0" t="n">
        <f aca="false">(IF($B22="E",1,0))+IF($C22="E",1,0)+IF($D22="E",1,0)</f>
        <v>0</v>
      </c>
      <c r="G22" s="0" t="n">
        <f aca="false">(IF($B22="O",1,0))+IF($C22="O",1,0)+IF($D22="O",1,0)</f>
        <v>0</v>
      </c>
      <c r="H22" s="0" t="n">
        <f aca="false">(IF($B22="L",1,0))+IF($C22="L",1,0)+IF($D22="L",1,0)</f>
        <v>2</v>
      </c>
      <c r="I22" s="0" t="n">
        <f aca="false">(IF(B22="V",1,0))</f>
        <v>0</v>
      </c>
      <c r="J22" s="0" t="n">
        <f aca="false">(IF(B22="E",1,0))</f>
        <v>0</v>
      </c>
      <c r="K22" s="0" t="n">
        <f aca="false">(IF(B22="O",1,0))</f>
        <v>0</v>
      </c>
      <c r="L22" s="0" t="n">
        <f aca="false">(IF(B22="L",1,0))</f>
        <v>1</v>
      </c>
      <c r="M22" s="0" t="n">
        <f aca="false">(IF(C22="V",1,0))</f>
        <v>1</v>
      </c>
      <c r="N22" s="0" t="n">
        <f aca="false">(IF(C22="E",1,0))</f>
        <v>0</v>
      </c>
      <c r="O22" s="0" t="n">
        <f aca="false">(IF(C22="O",1,0))</f>
        <v>0</v>
      </c>
      <c r="P22" s="0" t="n">
        <f aca="false">(IF(C22="L",1,0))</f>
        <v>0</v>
      </c>
      <c r="Q22" s="0" t="n">
        <f aca="false">(IF(D22="V",1,0))</f>
        <v>0</v>
      </c>
      <c r="R22" s="0" t="n">
        <f aca="false">(IF(D22="E",1,0))</f>
        <v>0</v>
      </c>
      <c r="S22" s="0" t="n">
        <f aca="false">(IF(D22="O",1,0))</f>
        <v>0</v>
      </c>
      <c r="T22" s="0" t="n">
        <f aca="false">(IF(D22="L",1,0))</f>
        <v>1</v>
      </c>
      <c r="U22" s="0" t="n">
        <f aca="false">MAX(E22-1,0)</f>
        <v>0</v>
      </c>
      <c r="V22" s="0" t="n">
        <f aca="false">MAX(U22-1+F22,0)</f>
        <v>0</v>
      </c>
      <c r="W22" s="0" t="n">
        <f aca="false">MAX(V22-1+G22,0)</f>
        <v>0</v>
      </c>
      <c r="X22" s="0" t="n">
        <f aca="false">MAX(W22-1+H22,0)</f>
        <v>1</v>
      </c>
      <c r="Y22" s="1" t="n">
        <f aca="false">0.5*(E22*I22+F22*J22+G22*K22+H22*L22-1)+(0+$U22*J22+$V22*K22+$W22*L22)</f>
        <v>0.5</v>
      </c>
      <c r="Z22" s="1" t="n">
        <f aca="false">0.5*(E22*M22+F22*N22+G22*O22+H22*P22-1)+(0+$U22*N22+$V22*O22+$W22*P22)</f>
        <v>0</v>
      </c>
      <c r="AA22" s="1" t="n">
        <f aca="false">0.5*(E22*Q22+F22*R22+G22*S22+H22*T22-1)+(0+$U22*R22+$V22*S22+$W22*T22)</f>
        <v>0.5</v>
      </c>
      <c r="AB22" s="0" t="n">
        <f aca="false">IF(B22="V",-2,0)+IF(B22="E",-1,0)+IF(B22="O",0,0)+IF(B22="L",1,0)+Y22</f>
        <v>1.5</v>
      </c>
      <c r="AC22" s="0" t="n">
        <f aca="false">IF(C22="V",-2,0)+IF(C22="E",-1,0)+IF(C22="O",0,0)+IF(C22="L",1,0)+Z22</f>
        <v>-2</v>
      </c>
      <c r="AD22" s="0" t="n">
        <f aca="false">IF(D22="V",-2,0)+IF(D22="E",-1,0)+IF(D22="O",0,0)+IF(D22="L",1,0)+AA22</f>
        <v>1.5</v>
      </c>
      <c r="AE22" s="1" t="n">
        <f aca="false">IF(B22="V",-2,0)+IF(B22="E",-1,0)+IF(B22="O",0,0)+IF(B22="L",1,0)</f>
        <v>1</v>
      </c>
      <c r="AF22" s="1" t="n">
        <f aca="false">IF(B22="V",-2,0)+IF(B22="E",-1,0)+IF(B22="O",0,0)+IF(B22="L",1,0)+Y22</f>
        <v>1.5</v>
      </c>
      <c r="AG22" s="1" t="n">
        <f aca="false">IF(B22="V",-2,0)+IF(B22="E",-1,0)+IF(B22="O",0,0)+IF(B22="L",1,0)+Y22*2</f>
        <v>2</v>
      </c>
      <c r="AH22" s="1" t="n">
        <f aca="false">IF(C22="V",-2,0)+IF(C22="E",-1,0)+IF(C22="O",0,0)+IF(C22="L",1,0)</f>
        <v>-2</v>
      </c>
      <c r="AI22" s="1" t="n">
        <f aca="false">IF(C22="V",-2,0)+IF(C22="E",-1,0)+IF(C22="O",0,0)+IF(C22="L",1,0)+Z22</f>
        <v>-2</v>
      </c>
      <c r="AJ22" s="1" t="n">
        <f aca="false">IF(C22="V",-2,0)+IF(C22="E",-1,0)+IF(C22="O",0,0)+IF(C22="L",1,0)+Z22*2</f>
        <v>-2</v>
      </c>
      <c r="AK22" s="1" t="n">
        <f aca="false">IF(D22="V",-2,0)+IF(D22="E",-1,0)+IF(D22="O",0,0)+IF(D22="L",1,0)</f>
        <v>1</v>
      </c>
      <c r="AL22" s="1" t="n">
        <f aca="false">IF(D22="V",-2,0)+IF(D22="E",-1,0)+IF(D22="O",0,0)+IF(D22="L",1,0)+AA22</f>
        <v>1.5</v>
      </c>
      <c r="AM22" s="1" t="n">
        <f aca="false">IF(D22="V",-2,0)+IF(D22="E",-1,0)+IF(D22="O",0,0)+IF(D22="L",1,0)+AA22*2</f>
        <v>2</v>
      </c>
      <c r="AN22" s="1" t="n">
        <f aca="false">(ABS(IF(AE22&lt;0,AE22*Early,AE22*Late))+ABS(IF(AF22&lt;0,AF22*Early,AF22*Late))+ABS(IF(AG22&lt;0,AG22*Early,AG22*Late)))/3</f>
        <v>6</v>
      </c>
      <c r="AO22" s="1" t="n">
        <f aca="false">(ABS(IF(AH22&lt;0,AH22*Early,AH22*Late))+ABS(IF(AI22&lt;0,AI22*Early,AI22*Late))+ABS(IF(AJ22&lt;0,AJ22*Early,AJ22*Late)))/3</f>
        <v>6</v>
      </c>
      <c r="AP22" s="1" t="n">
        <f aca="false">(ABS(IF(AK22&lt;0,AK22*Early,AK22*Late))+ABS(IF(AL22&lt;0,AL22*Early,AL22*Late))+ABS(IF(AM22&lt;0,AM22*Early,AM22*Late)))/3</f>
        <v>6</v>
      </c>
      <c r="AQ22" s="0" t="n">
        <f aca="false">Y22*Delay+AN22</f>
        <v>6.5</v>
      </c>
      <c r="AR22" s="0" t="n">
        <f aca="false">Z22*Delay+AO22</f>
        <v>6</v>
      </c>
      <c r="AS22" s="0" t="n">
        <f aca="false">AA22*Delay+AP22</f>
        <v>6.5</v>
      </c>
      <c r="AT22" s="0" t="n">
        <f aca="false">IF(AR22=MIN(AR22:AR25),1,0)</f>
        <v>0</v>
      </c>
      <c r="AX22" s="0" t="str">
        <f aca="false">B22&amp;C22&amp;D22</f>
        <v>LVL</v>
      </c>
      <c r="AY22" s="1" t="n">
        <f aca="false">AQ22+AR22+AS22</f>
        <v>19</v>
      </c>
      <c r="AZ22" s="1" t="str">
        <f aca="false">RIGHT(AX22,2)</f>
        <v>VL</v>
      </c>
      <c r="BA22" s="1" t="str">
        <f aca="false">LEFT(AX22,1)&amp;RIGHT(AX22,1)</f>
        <v>LL</v>
      </c>
      <c r="BB22" s="1" t="str">
        <f aca="false">LEFT(AX22,2)</f>
        <v>LV</v>
      </c>
      <c r="BC22" s="1" t="n">
        <f aca="false">VLOOKUP(AZ22,TwoPlayers!$AG$1:$AH$17,2,FALSE())</f>
        <v>10</v>
      </c>
      <c r="BD22" s="1" t="n">
        <f aca="false">VLOOKUP(BA22,TwoPlayers!$AG$1:$AH$17,2,FALSE())</f>
        <v>13</v>
      </c>
      <c r="BE22" s="1" t="n">
        <f aca="false">VLOOKUP(BB22,TwoPlayers!$AG$1:$AH$17,2,FALSE())</f>
        <v>10</v>
      </c>
      <c r="BF22" s="1" t="n">
        <f aca="false">$AY22-BC22</f>
        <v>9</v>
      </c>
      <c r="BG22" s="1" t="n">
        <f aca="false">$AY22-BD22</f>
        <v>6</v>
      </c>
      <c r="BH22" s="1" t="n">
        <f aca="false">$AY22-BE22</f>
        <v>9</v>
      </c>
      <c r="BJ22" s="0" t="n">
        <f aca="false">AQ22+BF22</f>
        <v>15.5</v>
      </c>
      <c r="BK22" s="0" t="n">
        <f aca="false">AR22+BG22</f>
        <v>12</v>
      </c>
      <c r="BL22" s="0" t="n">
        <f aca="false">AS22+BH22</f>
        <v>15.5</v>
      </c>
      <c r="BM22" s="0" t="n">
        <f aca="false">IF(BK22=MIN(BK22:BK26),1,0)</f>
        <v>0</v>
      </c>
    </row>
    <row r="23" customFormat="false" ht="13" hidden="false" customHeight="false" outlineLevel="0" collapsed="false">
      <c r="A23" s="0" t="n">
        <v>56</v>
      </c>
      <c r="B23" s="0" t="s">
        <v>4</v>
      </c>
      <c r="C23" s="0" t="s">
        <v>2</v>
      </c>
      <c r="D23" s="0" t="s">
        <v>4</v>
      </c>
      <c r="E23" s="0" t="n">
        <f aca="false">(IF($B23="V",1,0))+IF($C23="V",1,0)+IF($D23="V",1,0)</f>
        <v>0</v>
      </c>
      <c r="F23" s="0" t="n">
        <f aca="false">(IF($B23="E",1,0))+IF($C23="E",1,0)+IF($D23="E",1,0)</f>
        <v>1</v>
      </c>
      <c r="G23" s="0" t="n">
        <f aca="false">(IF($B23="O",1,0))+IF($C23="O",1,0)+IF($D23="O",1,0)</f>
        <v>0</v>
      </c>
      <c r="H23" s="0" t="n">
        <f aca="false">(IF($B23="L",1,0))+IF($C23="L",1,0)+IF($D23="L",1,0)</f>
        <v>2</v>
      </c>
      <c r="I23" s="0" t="n">
        <f aca="false">(IF(B23="V",1,0))</f>
        <v>0</v>
      </c>
      <c r="J23" s="0" t="n">
        <f aca="false">(IF(B23="E",1,0))</f>
        <v>0</v>
      </c>
      <c r="K23" s="0" t="n">
        <f aca="false">(IF(B23="O",1,0))</f>
        <v>0</v>
      </c>
      <c r="L23" s="0" t="n">
        <f aca="false">(IF(B23="L",1,0))</f>
        <v>1</v>
      </c>
      <c r="M23" s="0" t="n">
        <f aca="false">(IF(C23="V",1,0))</f>
        <v>0</v>
      </c>
      <c r="N23" s="0" t="n">
        <f aca="false">(IF(C23="E",1,0))</f>
        <v>1</v>
      </c>
      <c r="O23" s="0" t="n">
        <f aca="false">(IF(C23="O",1,0))</f>
        <v>0</v>
      </c>
      <c r="P23" s="0" t="n">
        <f aca="false">(IF(C23="L",1,0))</f>
        <v>0</v>
      </c>
      <c r="Q23" s="0" t="n">
        <f aca="false">(IF(D23="V",1,0))</f>
        <v>0</v>
      </c>
      <c r="R23" s="0" t="n">
        <f aca="false">(IF(D23="E",1,0))</f>
        <v>0</v>
      </c>
      <c r="S23" s="0" t="n">
        <f aca="false">(IF(D23="O",1,0))</f>
        <v>0</v>
      </c>
      <c r="T23" s="0" t="n">
        <f aca="false">(IF(D23="L",1,0))</f>
        <v>1</v>
      </c>
      <c r="U23" s="0" t="n">
        <f aca="false">MAX(E23-1,0)</f>
        <v>0</v>
      </c>
      <c r="V23" s="0" t="n">
        <f aca="false">MAX(U23-1+F23,0)</f>
        <v>0</v>
      </c>
      <c r="W23" s="0" t="n">
        <f aca="false">MAX(V23-1+G23,0)</f>
        <v>0</v>
      </c>
      <c r="X23" s="0" t="n">
        <f aca="false">MAX(W23-1+H23,0)</f>
        <v>1</v>
      </c>
      <c r="Y23" s="1" t="n">
        <f aca="false">0.5*(E23*I23+F23*J23+G23*K23+H23*L23-1)+(0+$U23*J23+$V23*K23+$W23*L23)</f>
        <v>0.5</v>
      </c>
      <c r="Z23" s="1" t="n">
        <f aca="false">0.5*(E23*M23+F23*N23+G23*O23+H23*P23-1)+(0+$U23*N23+$V23*O23+$W23*P23)</f>
        <v>0</v>
      </c>
      <c r="AA23" s="1" t="n">
        <f aca="false">0.5*(E23*Q23+F23*R23+G23*S23+H23*T23-1)+(0+$U23*R23+$V23*S23+$W23*T23)</f>
        <v>0.5</v>
      </c>
      <c r="AB23" s="0" t="n">
        <f aca="false">IF(B23="V",-2,0)+IF(B23="E",-1,0)+IF(B23="O",0,0)+IF(B23="L",1,0)+Y23</f>
        <v>1.5</v>
      </c>
      <c r="AC23" s="0" t="n">
        <f aca="false">IF(C23="V",-2,0)+IF(C23="E",-1,0)+IF(C23="O",0,0)+IF(C23="L",1,0)+Z23</f>
        <v>-1</v>
      </c>
      <c r="AD23" s="0" t="n">
        <f aca="false">IF(D23="V",-2,0)+IF(D23="E",-1,0)+IF(D23="O",0,0)+IF(D23="L",1,0)+AA23</f>
        <v>1.5</v>
      </c>
      <c r="AE23" s="1" t="n">
        <f aca="false">IF(B23="V",-2,0)+IF(B23="E",-1,0)+IF(B23="O",0,0)+IF(B23="L",1,0)</f>
        <v>1</v>
      </c>
      <c r="AF23" s="1" t="n">
        <f aca="false">IF(B23="V",-2,0)+IF(B23="E",-1,0)+IF(B23="O",0,0)+IF(B23="L",1,0)+Y23</f>
        <v>1.5</v>
      </c>
      <c r="AG23" s="1" t="n">
        <f aca="false">IF(B23="V",-2,0)+IF(B23="E",-1,0)+IF(B23="O",0,0)+IF(B23="L",1,0)+Y23*2</f>
        <v>2</v>
      </c>
      <c r="AH23" s="1" t="n">
        <f aca="false">IF(C23="V",-2,0)+IF(C23="E",-1,0)+IF(C23="O",0,0)+IF(C23="L",1,0)</f>
        <v>-1</v>
      </c>
      <c r="AI23" s="1" t="n">
        <f aca="false">IF(C23="V",-2,0)+IF(C23="E",-1,0)+IF(C23="O",0,0)+IF(C23="L",1,0)+Z23</f>
        <v>-1</v>
      </c>
      <c r="AJ23" s="1" t="n">
        <f aca="false">IF(C23="V",-2,0)+IF(C23="E",-1,0)+IF(C23="O",0,0)+IF(C23="L",1,0)+Z23*2</f>
        <v>-1</v>
      </c>
      <c r="AK23" s="1" t="n">
        <f aca="false">IF(D23="V",-2,0)+IF(D23="E",-1,0)+IF(D23="O",0,0)+IF(D23="L",1,0)</f>
        <v>1</v>
      </c>
      <c r="AL23" s="1" t="n">
        <f aca="false">IF(D23="V",-2,0)+IF(D23="E",-1,0)+IF(D23="O",0,0)+IF(D23="L",1,0)+AA23</f>
        <v>1.5</v>
      </c>
      <c r="AM23" s="1" t="n">
        <f aca="false">IF(D23="V",-2,0)+IF(D23="E",-1,0)+IF(D23="O",0,0)+IF(D23="L",1,0)+AA23*2</f>
        <v>2</v>
      </c>
      <c r="AN23" s="1" t="n">
        <f aca="false">(ABS(IF(AE23&lt;0,AE23*Early,AE23*Late))+ABS(IF(AF23&lt;0,AF23*Early,AF23*Late))+ABS(IF(AG23&lt;0,AG23*Early,AG23*Late)))/3</f>
        <v>6</v>
      </c>
      <c r="AO23" s="1" t="n">
        <f aca="false">(ABS(IF(AH23&lt;0,AH23*Early,AH23*Late))+ABS(IF(AI23&lt;0,AI23*Early,AI23*Late))+ABS(IF(AJ23&lt;0,AJ23*Early,AJ23*Late)))/3</f>
        <v>3</v>
      </c>
      <c r="AP23" s="1" t="n">
        <f aca="false">(ABS(IF(AK23&lt;0,AK23*Early,AK23*Late))+ABS(IF(AL23&lt;0,AL23*Early,AL23*Late))+ABS(IF(AM23&lt;0,AM23*Early,AM23*Late)))/3</f>
        <v>6</v>
      </c>
      <c r="AQ23" s="0" t="n">
        <f aca="false">Y23*Delay+AN23</f>
        <v>6.5</v>
      </c>
      <c r="AR23" s="0" t="n">
        <f aca="false">Z23*Delay+AO23</f>
        <v>3</v>
      </c>
      <c r="AS23" s="0" t="n">
        <f aca="false">AA23*Delay+AP23</f>
        <v>6.5</v>
      </c>
      <c r="AT23" s="0" t="n">
        <f aca="false">IF(AR23=MIN(AR22:AR25),1,0)</f>
        <v>0</v>
      </c>
      <c r="AX23" s="1" t="str">
        <f aca="false">B23&amp;C23&amp;D23</f>
        <v>LEL</v>
      </c>
      <c r="AY23" s="1" t="n">
        <f aca="false">AQ23+AR23+AS23</f>
        <v>16</v>
      </c>
      <c r="AZ23" s="1" t="str">
        <f aca="false">RIGHT(AX23,2)</f>
        <v>EL</v>
      </c>
      <c r="BA23" s="1" t="str">
        <f aca="false">LEFT(AX23,1)&amp;RIGHT(AX23,1)</f>
        <v>LL</v>
      </c>
      <c r="BB23" s="1" t="str">
        <f aca="false">LEFT(AX23,2)</f>
        <v>LE</v>
      </c>
      <c r="BC23" s="1" t="n">
        <f aca="false">VLOOKUP(AZ23,TwoPlayers!$AG$1:$AH$17,2,FALSE())</f>
        <v>7</v>
      </c>
      <c r="BD23" s="1" t="n">
        <f aca="false">VLOOKUP(BA23,TwoPlayers!$AG$1:$AH$17,2,FALSE())</f>
        <v>13</v>
      </c>
      <c r="BE23" s="1" t="n">
        <f aca="false">VLOOKUP(BB23,TwoPlayers!$AG$1:$AH$17,2,FALSE())</f>
        <v>7</v>
      </c>
      <c r="BF23" s="1" t="n">
        <f aca="false">$AY23-BC23</f>
        <v>9</v>
      </c>
      <c r="BG23" s="1" t="n">
        <f aca="false">$AY23-BD23</f>
        <v>3</v>
      </c>
      <c r="BH23" s="1" t="n">
        <f aca="false">$AY23-BE23</f>
        <v>9</v>
      </c>
      <c r="BJ23" s="0" t="n">
        <f aca="false">AQ23+BF23</f>
        <v>15.5</v>
      </c>
      <c r="BK23" s="0" t="n">
        <f aca="false">AR23+BG23</f>
        <v>6</v>
      </c>
      <c r="BL23" s="0" t="n">
        <f aca="false">AS23+BH23</f>
        <v>15.5</v>
      </c>
      <c r="BM23" s="0" t="n">
        <f aca="false">IF(BK23=MIN(BK22:BK26),1,0)</f>
        <v>0</v>
      </c>
    </row>
    <row r="24" customFormat="false" ht="13" hidden="false" customHeight="false" outlineLevel="0" collapsed="false">
      <c r="A24" s="0" t="n">
        <v>60</v>
      </c>
      <c r="B24" s="0" t="s">
        <v>4</v>
      </c>
      <c r="C24" s="0" t="s">
        <v>3</v>
      </c>
      <c r="D24" s="0" t="s">
        <v>4</v>
      </c>
      <c r="E24" s="0" t="n">
        <f aca="false">(IF($B24="V",1,0))+IF($C24="V",1,0)+IF($D24="V",1,0)</f>
        <v>0</v>
      </c>
      <c r="F24" s="0" t="n">
        <f aca="false">(IF($B24="E",1,0))+IF($C24="E",1,0)+IF($D24="E",1,0)</f>
        <v>0</v>
      </c>
      <c r="G24" s="0" t="n">
        <f aca="false">(IF($B24="O",1,0))+IF($C24="O",1,0)+IF($D24="O",1,0)</f>
        <v>1</v>
      </c>
      <c r="H24" s="0" t="n">
        <f aca="false">(IF($B24="L",1,0))+IF($C24="L",1,0)+IF($D24="L",1,0)</f>
        <v>2</v>
      </c>
      <c r="I24" s="0" t="n">
        <f aca="false">(IF(B24="V",1,0))</f>
        <v>0</v>
      </c>
      <c r="J24" s="0" t="n">
        <f aca="false">(IF(B24="E",1,0))</f>
        <v>0</v>
      </c>
      <c r="K24" s="0" t="n">
        <f aca="false">(IF(B24="O",1,0))</f>
        <v>0</v>
      </c>
      <c r="L24" s="0" t="n">
        <f aca="false">(IF(B24="L",1,0))</f>
        <v>1</v>
      </c>
      <c r="M24" s="0" t="n">
        <f aca="false">(IF(C24="V",1,0))</f>
        <v>0</v>
      </c>
      <c r="N24" s="0" t="n">
        <f aca="false">(IF(C24="E",1,0))</f>
        <v>0</v>
      </c>
      <c r="O24" s="0" t="n">
        <f aca="false">(IF(C24="O",1,0))</f>
        <v>1</v>
      </c>
      <c r="P24" s="0" t="n">
        <f aca="false">(IF(C24="L",1,0))</f>
        <v>0</v>
      </c>
      <c r="Q24" s="0" t="n">
        <f aca="false">(IF(D24="V",1,0))</f>
        <v>0</v>
      </c>
      <c r="R24" s="0" t="n">
        <f aca="false">(IF(D24="E",1,0))</f>
        <v>0</v>
      </c>
      <c r="S24" s="0" t="n">
        <f aca="false">(IF(D24="O",1,0))</f>
        <v>0</v>
      </c>
      <c r="T24" s="0" t="n">
        <f aca="false">(IF(D24="L",1,0))</f>
        <v>1</v>
      </c>
      <c r="U24" s="0" t="n">
        <f aca="false">MAX(E24-1,0)</f>
        <v>0</v>
      </c>
      <c r="V24" s="0" t="n">
        <f aca="false">MAX(U24-1+F24,0)</f>
        <v>0</v>
      </c>
      <c r="W24" s="0" t="n">
        <f aca="false">MAX(V24-1+G24,0)</f>
        <v>0</v>
      </c>
      <c r="X24" s="0" t="n">
        <f aca="false">MAX(W24-1+H24,0)</f>
        <v>1</v>
      </c>
      <c r="Y24" s="1" t="n">
        <f aca="false">0.5*(E24*I24+F24*J24+G24*K24+H24*L24-1)+(0+$U24*J24+$V24*K24+$W24*L24)</f>
        <v>0.5</v>
      </c>
      <c r="Z24" s="1" t="n">
        <f aca="false">0.5*(E24*M24+F24*N24+G24*O24+H24*P24-1)+(0+$U24*N24+$V24*O24+$W24*P24)</f>
        <v>0</v>
      </c>
      <c r="AA24" s="1" t="n">
        <f aca="false">0.5*(E24*Q24+F24*R24+G24*S24+H24*T24-1)+(0+$U24*R24+$V24*S24+$W24*T24)</f>
        <v>0.5</v>
      </c>
      <c r="AB24" s="0" t="n">
        <f aca="false">IF(B24="V",-2,0)+IF(B24="E",-1,0)+IF(B24="O",0,0)+IF(B24="L",1,0)+Y24</f>
        <v>1.5</v>
      </c>
      <c r="AC24" s="0" t="n">
        <f aca="false">IF(C24="V",-2,0)+IF(C24="E",-1,0)+IF(C24="O",0,0)+IF(C24="L",1,0)+Z24</f>
        <v>0</v>
      </c>
      <c r="AD24" s="0" t="n">
        <f aca="false">IF(D24="V",-2,0)+IF(D24="E",-1,0)+IF(D24="O",0,0)+IF(D24="L",1,0)+AA24</f>
        <v>1.5</v>
      </c>
      <c r="AE24" s="1" t="n">
        <f aca="false">IF(B24="V",-2,0)+IF(B24="E",-1,0)+IF(B24="O",0,0)+IF(B24="L",1,0)</f>
        <v>1</v>
      </c>
      <c r="AF24" s="1" t="n">
        <f aca="false">IF(B24="V",-2,0)+IF(B24="E",-1,0)+IF(B24="O",0,0)+IF(B24="L",1,0)+Y24</f>
        <v>1.5</v>
      </c>
      <c r="AG24" s="1" t="n">
        <f aca="false">IF(B24="V",-2,0)+IF(B24="E",-1,0)+IF(B24="O",0,0)+IF(B24="L",1,0)+Y24*2</f>
        <v>2</v>
      </c>
      <c r="AH24" s="1" t="n">
        <f aca="false">IF(C24="V",-2,0)+IF(C24="E",-1,0)+IF(C24="O",0,0)+IF(C24="L",1,0)</f>
        <v>0</v>
      </c>
      <c r="AI24" s="1" t="n">
        <f aca="false">IF(C24="V",-2,0)+IF(C24="E",-1,0)+IF(C24="O",0,0)+IF(C24="L",1,0)+Z24</f>
        <v>0</v>
      </c>
      <c r="AJ24" s="1" t="n">
        <f aca="false">IF(C24="V",-2,0)+IF(C24="E",-1,0)+IF(C24="O",0,0)+IF(C24="L",1,0)+Z24*2</f>
        <v>0</v>
      </c>
      <c r="AK24" s="1" t="n">
        <f aca="false">IF(D24="V",-2,0)+IF(D24="E",-1,0)+IF(D24="O",0,0)+IF(D24="L",1,0)</f>
        <v>1</v>
      </c>
      <c r="AL24" s="1" t="n">
        <f aca="false">IF(D24="V",-2,0)+IF(D24="E",-1,0)+IF(D24="O",0,0)+IF(D24="L",1,0)+AA24</f>
        <v>1.5</v>
      </c>
      <c r="AM24" s="1" t="n">
        <f aca="false">IF(D24="V",-2,0)+IF(D24="E",-1,0)+IF(D24="O",0,0)+IF(D24="L",1,0)+AA24*2</f>
        <v>2</v>
      </c>
      <c r="AN24" s="1" t="n">
        <f aca="false">(ABS(IF(AE24&lt;0,AE24*Early,AE24*Late))+ABS(IF(AF24&lt;0,AF24*Early,AF24*Late))+ABS(IF(AG24&lt;0,AG24*Early,AG24*Late)))/3</f>
        <v>6</v>
      </c>
      <c r="AO24" s="1" t="n">
        <f aca="false">(ABS(IF(AH24&lt;0,AH24*Early,AH24*Late))+ABS(IF(AI24&lt;0,AI24*Early,AI24*Late))+ABS(IF(AJ24&lt;0,AJ24*Early,AJ24*Late)))/3</f>
        <v>0</v>
      </c>
      <c r="AP24" s="1" t="n">
        <f aca="false">(ABS(IF(AK24&lt;0,AK24*Early,AK24*Late))+ABS(IF(AL24&lt;0,AL24*Early,AL24*Late))+ABS(IF(AM24&lt;0,AM24*Early,AM24*Late)))/3</f>
        <v>6</v>
      </c>
      <c r="AQ24" s="0" t="n">
        <f aca="false">Y24*Delay+AN24</f>
        <v>6.5</v>
      </c>
      <c r="AR24" s="0" t="n">
        <f aca="false">Z24*Delay+AO24</f>
        <v>0</v>
      </c>
      <c r="AS24" s="0" t="n">
        <f aca="false">AA24*Delay+AP24</f>
        <v>6.5</v>
      </c>
      <c r="AT24" s="0" t="n">
        <f aca="false">IF(AR24=MIN(AR22:AR25),1,0)</f>
        <v>1</v>
      </c>
      <c r="AX24" s="0" t="str">
        <f aca="false">B24&amp;C24&amp;D24</f>
        <v>LOL</v>
      </c>
      <c r="AY24" s="1" t="n">
        <f aca="false">AQ24+AR24+AS24</f>
        <v>13</v>
      </c>
      <c r="AZ24" s="1" t="str">
        <f aca="false">RIGHT(AX24,2)</f>
        <v>OL</v>
      </c>
      <c r="BA24" s="1" t="str">
        <f aca="false">LEFT(AX24,1)&amp;RIGHT(AX24,1)</f>
        <v>LL</v>
      </c>
      <c r="BB24" s="1" t="str">
        <f aca="false">LEFT(AX24,2)</f>
        <v>LO</v>
      </c>
      <c r="BC24" s="1" t="n">
        <f aca="false">VLOOKUP(AZ24,TwoPlayers!$AG$1:$AH$17,2,FALSE())</f>
        <v>4</v>
      </c>
      <c r="BD24" s="1" t="n">
        <f aca="false">VLOOKUP(BA24,TwoPlayers!$AG$1:$AH$17,2,FALSE())</f>
        <v>13</v>
      </c>
      <c r="BE24" s="1" t="n">
        <f aca="false">VLOOKUP(BB24,TwoPlayers!$AG$1:$AH$17,2,FALSE())</f>
        <v>4</v>
      </c>
      <c r="BF24" s="1" t="n">
        <f aca="false">$AY24-BC24</f>
        <v>9</v>
      </c>
      <c r="BG24" s="1" t="n">
        <f aca="false">$AY24-BD24</f>
        <v>0</v>
      </c>
      <c r="BH24" s="1" t="n">
        <f aca="false">$AY24-BE24</f>
        <v>9</v>
      </c>
      <c r="BJ24" s="0" t="n">
        <f aca="false">AQ24+BF24</f>
        <v>15.5</v>
      </c>
      <c r="BK24" s="0" t="n">
        <f aca="false">AR24+BG24</f>
        <v>0</v>
      </c>
      <c r="BL24" s="0" t="n">
        <f aca="false">AS24+BH24</f>
        <v>15.5</v>
      </c>
      <c r="BM24" s="0" t="n">
        <f aca="false">IF(BK24=MIN(BK22:BK26),1,0)</f>
        <v>1</v>
      </c>
    </row>
    <row r="25" customFormat="false" ht="13" hidden="false" customHeight="false" outlineLevel="0" collapsed="false">
      <c r="A25" s="0" t="n">
        <v>64</v>
      </c>
      <c r="B25" s="0" t="s">
        <v>4</v>
      </c>
      <c r="C25" s="0" t="s">
        <v>4</v>
      </c>
      <c r="D25" s="0" t="s">
        <v>4</v>
      </c>
      <c r="E25" s="0" t="n">
        <f aca="false">(IF($B25="V",1,0))+IF($C25="V",1,0)+IF($D25="V",1,0)</f>
        <v>0</v>
      </c>
      <c r="F25" s="0" t="n">
        <f aca="false">(IF($B25="E",1,0))+IF($C25="E",1,0)+IF($D25="E",1,0)</f>
        <v>0</v>
      </c>
      <c r="G25" s="0" t="n">
        <f aca="false">(IF($B25="O",1,0))+IF($C25="O",1,0)+IF($D25="O",1,0)</f>
        <v>0</v>
      </c>
      <c r="H25" s="0" t="n">
        <f aca="false">(IF($B25="L",1,0))+IF($C25="L",1,0)+IF($D25="L",1,0)</f>
        <v>3</v>
      </c>
      <c r="I25" s="0" t="n">
        <f aca="false">(IF(B25="V",1,0))</f>
        <v>0</v>
      </c>
      <c r="J25" s="0" t="n">
        <f aca="false">(IF(B25="E",1,0))</f>
        <v>0</v>
      </c>
      <c r="K25" s="0" t="n">
        <f aca="false">(IF(B25="O",1,0))</f>
        <v>0</v>
      </c>
      <c r="L25" s="0" t="n">
        <f aca="false">(IF(B25="L",1,0))</f>
        <v>1</v>
      </c>
      <c r="M25" s="0" t="n">
        <f aca="false">(IF(C25="V",1,0))</f>
        <v>0</v>
      </c>
      <c r="N25" s="0" t="n">
        <f aca="false">(IF(C25="E",1,0))</f>
        <v>0</v>
      </c>
      <c r="O25" s="0" t="n">
        <f aca="false">(IF(C25="O",1,0))</f>
        <v>0</v>
      </c>
      <c r="P25" s="0" t="n">
        <f aca="false">(IF(C25="L",1,0))</f>
        <v>1</v>
      </c>
      <c r="Q25" s="0" t="n">
        <f aca="false">(IF(D25="V",1,0))</f>
        <v>0</v>
      </c>
      <c r="R25" s="0" t="n">
        <f aca="false">(IF(D25="E",1,0))</f>
        <v>0</v>
      </c>
      <c r="S25" s="0" t="n">
        <f aca="false">(IF(D25="O",1,0))</f>
        <v>0</v>
      </c>
      <c r="T25" s="0" t="n">
        <f aca="false">(IF(D25="L",1,0))</f>
        <v>1</v>
      </c>
      <c r="U25" s="0" t="n">
        <f aca="false">MAX(E25-1,0)</f>
        <v>0</v>
      </c>
      <c r="V25" s="0" t="n">
        <f aca="false">MAX(U25-1+F25,0)</f>
        <v>0</v>
      </c>
      <c r="W25" s="0" t="n">
        <f aca="false">MAX(V25-1+G25,0)</f>
        <v>0</v>
      </c>
      <c r="X25" s="0" t="n">
        <f aca="false">MAX(W25-1+H25,0)</f>
        <v>2</v>
      </c>
      <c r="Y25" s="1" t="n">
        <f aca="false">0.5*(E25*I25+F25*J25+G25*K25+H25*L25-1)+(0+$U25*J25+$V25*K25+$W25*L25)</f>
        <v>1</v>
      </c>
      <c r="Z25" s="1" t="n">
        <f aca="false">0.5*(E25*M25+F25*N25+G25*O25+H25*P25-1)+(0+$U25*N25+$V25*O25+$W25*P25)</f>
        <v>1</v>
      </c>
      <c r="AA25" s="1" t="n">
        <f aca="false">0.5*(E25*Q25+F25*R25+G25*S25+H25*T25-1)+(0+$U25*R25+$V25*S25+$W25*T25)</f>
        <v>1</v>
      </c>
      <c r="AB25" s="0" t="n">
        <f aca="false">IF(B25="V",-2,0)+IF(B25="E",-1,0)+IF(B25="O",0,0)+IF(B25="L",1,0)+Y25</f>
        <v>2</v>
      </c>
      <c r="AC25" s="0" t="n">
        <f aca="false">IF(C25="V",-2,0)+IF(C25="E",-1,0)+IF(C25="O",0,0)+IF(C25="L",1,0)+Z25</f>
        <v>2</v>
      </c>
      <c r="AD25" s="0" t="n">
        <f aca="false">IF(D25="V",-2,0)+IF(D25="E",-1,0)+IF(D25="O",0,0)+IF(D25="L",1,0)+AA25</f>
        <v>2</v>
      </c>
      <c r="AE25" s="1" t="n">
        <f aca="false">IF(B25="V",-2,0)+IF(B25="E",-1,0)+IF(B25="O",0,0)+IF(B25="L",1,0)</f>
        <v>1</v>
      </c>
      <c r="AF25" s="1" t="n">
        <f aca="false">IF(B25="V",-2,0)+IF(B25="E",-1,0)+IF(B25="O",0,0)+IF(B25="L",1,0)+Y25</f>
        <v>2</v>
      </c>
      <c r="AG25" s="1" t="n">
        <f aca="false">IF(B25="V",-2,0)+IF(B25="E",-1,0)+IF(B25="O",0,0)+IF(B25="L",1,0)+Y25*2</f>
        <v>3</v>
      </c>
      <c r="AH25" s="1" t="n">
        <f aca="false">IF(C25="V",-2,0)+IF(C25="E",-1,0)+IF(C25="O",0,0)+IF(C25="L",1,0)</f>
        <v>1</v>
      </c>
      <c r="AI25" s="1" t="n">
        <f aca="false">IF(C25="V",-2,0)+IF(C25="E",-1,0)+IF(C25="O",0,0)+IF(C25="L",1,0)+Z25</f>
        <v>2</v>
      </c>
      <c r="AJ25" s="1" t="n">
        <f aca="false">IF(C25="V",-2,0)+IF(C25="E",-1,0)+IF(C25="O",0,0)+IF(C25="L",1,0)+Z25*2</f>
        <v>3</v>
      </c>
      <c r="AK25" s="1" t="n">
        <f aca="false">IF(D25="V",-2,0)+IF(D25="E",-1,0)+IF(D25="O",0,0)+IF(D25="L",1,0)</f>
        <v>1</v>
      </c>
      <c r="AL25" s="1" t="n">
        <f aca="false">IF(D25="V",-2,0)+IF(D25="E",-1,0)+IF(D25="O",0,0)+IF(D25="L",1,0)+AA25</f>
        <v>2</v>
      </c>
      <c r="AM25" s="1" t="n">
        <f aca="false">IF(D25="V",-2,0)+IF(D25="E",-1,0)+IF(D25="O",0,0)+IF(D25="L",1,0)+AA25*2</f>
        <v>3</v>
      </c>
      <c r="AN25" s="1" t="n">
        <f aca="false">(ABS(IF(AE25&lt;0,AE25*Early,AE25*Late))+ABS(IF(AF25&lt;0,AF25*Early,AF25*Late))+ABS(IF(AG25&lt;0,AG25*Early,AG25*Late)))/3</f>
        <v>8</v>
      </c>
      <c r="AO25" s="1" t="n">
        <f aca="false">(ABS(IF(AH25&lt;0,AH25*Early,AH25*Late))+ABS(IF(AI25&lt;0,AI25*Early,AI25*Late))+ABS(IF(AJ25&lt;0,AJ25*Early,AJ25*Late)))/3</f>
        <v>8</v>
      </c>
      <c r="AP25" s="1" t="n">
        <f aca="false">(ABS(IF(AK25&lt;0,AK25*Early,AK25*Late))+ABS(IF(AL25&lt;0,AL25*Early,AL25*Late))+ABS(IF(AM25&lt;0,AM25*Early,AM25*Late)))/3</f>
        <v>8</v>
      </c>
      <c r="AQ25" s="0" t="n">
        <f aca="false">Y25*Delay+AN25</f>
        <v>9</v>
      </c>
      <c r="AR25" s="0" t="n">
        <f aca="false">Z25*Delay+AO25</f>
        <v>9</v>
      </c>
      <c r="AS25" s="0" t="n">
        <f aca="false">AA25*Delay+AP25</f>
        <v>9</v>
      </c>
      <c r="AT25" s="0" t="n">
        <f aca="false">IF(AR25=MIN(AR22:AR25),1,0)</f>
        <v>0</v>
      </c>
      <c r="AX25" s="0" t="str">
        <f aca="false">B25&amp;C25&amp;D25</f>
        <v>LLL</v>
      </c>
      <c r="AY25" s="1" t="n">
        <f aca="false">AQ25+AR25+AS25</f>
        <v>27</v>
      </c>
      <c r="AZ25" s="1" t="str">
        <f aca="false">RIGHT(AX25,2)</f>
        <v>LL</v>
      </c>
      <c r="BA25" s="1" t="str">
        <f aca="false">LEFT(AX25,1)&amp;RIGHT(AX25,1)</f>
        <v>LL</v>
      </c>
      <c r="BB25" s="1" t="str">
        <f aca="false">LEFT(AX25,2)</f>
        <v>LL</v>
      </c>
      <c r="BC25" s="1" t="n">
        <f aca="false">VLOOKUP(AZ25,TwoPlayers!$AG$1:$AH$17,2,FALSE())</f>
        <v>13</v>
      </c>
      <c r="BD25" s="1" t="n">
        <f aca="false">VLOOKUP(BA25,TwoPlayers!$AG$1:$AH$17,2,FALSE())</f>
        <v>13</v>
      </c>
      <c r="BE25" s="1" t="n">
        <f aca="false">VLOOKUP(BB25,TwoPlayers!$AG$1:$AH$17,2,FALSE())</f>
        <v>13</v>
      </c>
      <c r="BF25" s="1" t="n">
        <f aca="false">$AY25-BC25</f>
        <v>14</v>
      </c>
      <c r="BG25" s="1" t="n">
        <f aca="false">$AY25-BD25</f>
        <v>14</v>
      </c>
      <c r="BH25" s="1" t="n">
        <f aca="false">$AY25-BE25</f>
        <v>14</v>
      </c>
      <c r="BJ25" s="0" t="n">
        <f aca="false">AQ25+BF25</f>
        <v>23</v>
      </c>
      <c r="BK25" s="0" t="n">
        <f aca="false">AR25+BG25</f>
        <v>23</v>
      </c>
      <c r="BL25" s="0" t="n">
        <f aca="false">AS25+BH25</f>
        <v>23</v>
      </c>
      <c r="BM25" s="0" t="n">
        <f aca="false">IF(BK25=MIN(BK22:BK26),1,0)</f>
        <v>0</v>
      </c>
    </row>
    <row r="26" customFormat="false" ht="13" hidden="false" customHeight="false" outlineLevel="0" collapsed="false">
      <c r="A26" s="0" t="n">
        <v>51</v>
      </c>
      <c r="B26" s="0" t="s">
        <v>4</v>
      </c>
      <c r="C26" s="0" t="s">
        <v>1</v>
      </c>
      <c r="D26" s="0" t="s">
        <v>3</v>
      </c>
      <c r="E26" s="0" t="n">
        <f aca="false">(IF($B26="V",1,0))+IF($C26="V",1,0)+IF($D26="V",1,0)</f>
        <v>1</v>
      </c>
      <c r="F26" s="0" t="n">
        <f aca="false">(IF($B26="E",1,0))+IF($C26="E",1,0)+IF($D26="E",1,0)</f>
        <v>0</v>
      </c>
      <c r="G26" s="0" t="n">
        <f aca="false">(IF($B26="O",1,0))+IF($C26="O",1,0)+IF($D26="O",1,0)</f>
        <v>1</v>
      </c>
      <c r="H26" s="0" t="n">
        <f aca="false">(IF($B26="L",1,0))+IF($C26="L",1,0)+IF($D26="L",1,0)</f>
        <v>1</v>
      </c>
      <c r="I26" s="0" t="n">
        <f aca="false">(IF(B26="V",1,0))</f>
        <v>0</v>
      </c>
      <c r="J26" s="0" t="n">
        <f aca="false">(IF(B26="E",1,0))</f>
        <v>0</v>
      </c>
      <c r="K26" s="0" t="n">
        <f aca="false">(IF(B26="O",1,0))</f>
        <v>0</v>
      </c>
      <c r="L26" s="0" t="n">
        <f aca="false">(IF(B26="L",1,0))</f>
        <v>1</v>
      </c>
      <c r="M26" s="0" t="n">
        <f aca="false">(IF(C26="V",1,0))</f>
        <v>1</v>
      </c>
      <c r="N26" s="0" t="n">
        <f aca="false">(IF(C26="E",1,0))</f>
        <v>0</v>
      </c>
      <c r="O26" s="0" t="n">
        <f aca="false">(IF(C26="O",1,0))</f>
        <v>0</v>
      </c>
      <c r="P26" s="0" t="n">
        <f aca="false">(IF(C26="L",1,0))</f>
        <v>0</v>
      </c>
      <c r="Q26" s="0" t="n">
        <f aca="false">(IF(D26="V",1,0))</f>
        <v>0</v>
      </c>
      <c r="R26" s="0" t="n">
        <f aca="false">(IF(D26="E",1,0))</f>
        <v>0</v>
      </c>
      <c r="S26" s="0" t="n">
        <f aca="false">(IF(D26="O",1,0))</f>
        <v>1</v>
      </c>
      <c r="T26" s="0" t="n">
        <f aca="false">(IF(D26="L",1,0))</f>
        <v>0</v>
      </c>
      <c r="U26" s="0" t="n">
        <f aca="false">MAX(E26-1,0)</f>
        <v>0</v>
      </c>
      <c r="V26" s="0" t="n">
        <f aca="false">MAX(U26-1+F26,0)</f>
        <v>0</v>
      </c>
      <c r="W26" s="0" t="n">
        <f aca="false">MAX(V26-1+G26,0)</f>
        <v>0</v>
      </c>
      <c r="X26" s="0" t="n">
        <f aca="false">MAX(W26-1+H26,0)</f>
        <v>0</v>
      </c>
      <c r="Y26" s="1" t="n">
        <f aca="false">0.5*(E26*I26+F26*J26+G26*K26+H26*L26-1)+(0+$U26*J26+$V26*K26+$W26*L26)</f>
        <v>0</v>
      </c>
      <c r="Z26" s="1" t="n">
        <f aca="false">0.5*(E26*M26+F26*N26+G26*O26+H26*P26-1)+(0+$U26*N26+$V26*O26+$W26*P26)</f>
        <v>0</v>
      </c>
      <c r="AA26" s="1" t="n">
        <f aca="false">0.5*(E26*Q26+F26*R26+G26*S26+H26*T26-1)+(0+$U26*R26+$V26*S26+$W26*T26)</f>
        <v>0</v>
      </c>
      <c r="AB26" s="0" t="n">
        <f aca="false">IF(B26="V",-2,0)+IF(B26="E",-1,0)+IF(B26="O",0,0)+IF(B26="L",1,0)+Y26</f>
        <v>1</v>
      </c>
      <c r="AC26" s="0" t="n">
        <f aca="false">IF(C26="V",-2,0)+IF(C26="E",-1,0)+IF(C26="O",0,0)+IF(C26="L",1,0)+Z26</f>
        <v>-2</v>
      </c>
      <c r="AD26" s="0" t="n">
        <f aca="false">IF(D26="V",-2,0)+IF(D26="E",-1,0)+IF(D26="O",0,0)+IF(D26="L",1,0)+AA26</f>
        <v>0</v>
      </c>
      <c r="AE26" s="1" t="n">
        <f aca="false">IF(B26="V",-2,0)+IF(B26="E",-1,0)+IF(B26="O",0,0)+IF(B26="L",1,0)</f>
        <v>1</v>
      </c>
      <c r="AF26" s="1" t="n">
        <f aca="false">IF(B26="V",-2,0)+IF(B26="E",-1,0)+IF(B26="O",0,0)+IF(B26="L",1,0)+Y26</f>
        <v>1</v>
      </c>
      <c r="AG26" s="1" t="n">
        <f aca="false">IF(B26="V",-2,0)+IF(B26="E",-1,0)+IF(B26="O",0,0)+IF(B26="L",1,0)+Y26*2</f>
        <v>1</v>
      </c>
      <c r="AH26" s="1" t="n">
        <f aca="false">IF(C26="V",-2,0)+IF(C26="E",-1,0)+IF(C26="O",0,0)+IF(C26="L",1,0)</f>
        <v>-2</v>
      </c>
      <c r="AI26" s="1" t="n">
        <f aca="false">IF(C26="V",-2,0)+IF(C26="E",-1,0)+IF(C26="O",0,0)+IF(C26="L",1,0)+Z26</f>
        <v>-2</v>
      </c>
      <c r="AJ26" s="1" t="n">
        <f aca="false">IF(C26="V",-2,0)+IF(C26="E",-1,0)+IF(C26="O",0,0)+IF(C26="L",1,0)+Z26*2</f>
        <v>-2</v>
      </c>
      <c r="AK26" s="1" t="n">
        <f aca="false">IF(D26="V",-2,0)+IF(D26="E",-1,0)+IF(D26="O",0,0)+IF(D26="L",1,0)</f>
        <v>0</v>
      </c>
      <c r="AL26" s="1" t="n">
        <f aca="false">IF(D26="V",-2,0)+IF(D26="E",-1,0)+IF(D26="O",0,0)+IF(D26="L",1,0)+AA26</f>
        <v>0</v>
      </c>
      <c r="AM26" s="1" t="n">
        <f aca="false">IF(D26="V",-2,0)+IF(D26="E",-1,0)+IF(D26="O",0,0)+IF(D26="L",1,0)+AA26*2</f>
        <v>0</v>
      </c>
      <c r="AN26" s="1" t="n">
        <f aca="false">(ABS(IF(AE26&lt;0,AE26*Early,AE26*Late))+ABS(IF(AF26&lt;0,AF26*Early,AF26*Late))+ABS(IF(AG26&lt;0,AG26*Early,AG26*Late)))/3</f>
        <v>4</v>
      </c>
      <c r="AO26" s="1" t="n">
        <f aca="false">(ABS(IF(AH26&lt;0,AH26*Early,AH26*Late))+ABS(IF(AI26&lt;0,AI26*Early,AI26*Late))+ABS(IF(AJ26&lt;0,AJ26*Early,AJ26*Late)))/3</f>
        <v>6</v>
      </c>
      <c r="AP26" s="1" t="n">
        <f aca="false">(ABS(IF(AK26&lt;0,AK26*Early,AK26*Late))+ABS(IF(AL26&lt;0,AL26*Early,AL26*Late))+ABS(IF(AM26&lt;0,AM26*Early,AM26*Late)))/3</f>
        <v>0</v>
      </c>
      <c r="AQ26" s="0" t="n">
        <f aca="false">Y26*Delay+AN26</f>
        <v>4</v>
      </c>
      <c r="AR26" s="0" t="n">
        <f aca="false">Z26*Delay+AO26</f>
        <v>6</v>
      </c>
      <c r="AS26" s="0" t="n">
        <f aca="false">AA26*Delay+AP26</f>
        <v>0</v>
      </c>
      <c r="AT26" s="0" t="n">
        <f aca="false">IF(AR26=MIN(AR26:AR29),1,0)</f>
        <v>0</v>
      </c>
      <c r="AX26" s="0" t="str">
        <f aca="false">B26&amp;C26&amp;D26</f>
        <v>LVO</v>
      </c>
      <c r="AY26" s="1" t="n">
        <f aca="false">AQ26+AR26+AS26</f>
        <v>10</v>
      </c>
      <c r="AZ26" s="1" t="str">
        <f aca="false">RIGHT(AX26,2)</f>
        <v>VO</v>
      </c>
      <c r="BA26" s="1" t="str">
        <f aca="false">LEFT(AX26,1)&amp;RIGHT(AX26,1)</f>
        <v>LO</v>
      </c>
      <c r="BB26" s="1" t="str">
        <f aca="false">LEFT(AX26,2)</f>
        <v>LV</v>
      </c>
      <c r="BC26" s="1" t="n">
        <f aca="false">VLOOKUP(AZ26,TwoPlayers!$AG$1:$AH$17,2,FALSE())</f>
        <v>6</v>
      </c>
      <c r="BD26" s="1" t="n">
        <f aca="false">VLOOKUP(BA26,TwoPlayers!$AG$1:$AH$17,2,FALSE())</f>
        <v>4</v>
      </c>
      <c r="BE26" s="1" t="n">
        <f aca="false">VLOOKUP(BB26,TwoPlayers!$AG$1:$AH$17,2,FALSE())</f>
        <v>10</v>
      </c>
      <c r="BF26" s="1" t="n">
        <f aca="false">$AY26-BC26</f>
        <v>4</v>
      </c>
      <c r="BG26" s="1" t="n">
        <f aca="false">$AY26-BD26</f>
        <v>6</v>
      </c>
      <c r="BH26" s="1" t="n">
        <f aca="false">$AY26-BE26</f>
        <v>0</v>
      </c>
      <c r="BJ26" s="0" t="n">
        <f aca="false">AQ26+BF26</f>
        <v>8</v>
      </c>
      <c r="BK26" s="0" t="n">
        <f aca="false">AR26+BG26</f>
        <v>12</v>
      </c>
      <c r="BL26" s="0" t="n">
        <f aca="false">AS26+BH26</f>
        <v>0</v>
      </c>
      <c r="BM26" s="0" t="n">
        <f aca="false">IF(BK26=MIN(BK26:BK30),1,0)</f>
        <v>0</v>
      </c>
    </row>
    <row r="27" customFormat="false" ht="13" hidden="false" customHeight="false" outlineLevel="0" collapsed="false">
      <c r="A27" s="0" t="n">
        <v>55</v>
      </c>
      <c r="B27" s="0" t="s">
        <v>4</v>
      </c>
      <c r="C27" s="0" t="s">
        <v>2</v>
      </c>
      <c r="D27" s="0" t="s">
        <v>3</v>
      </c>
      <c r="E27" s="0" t="n">
        <f aca="false">(IF($B27="V",1,0))+IF($C27="V",1,0)+IF($D27="V",1,0)</f>
        <v>0</v>
      </c>
      <c r="F27" s="0" t="n">
        <f aca="false">(IF($B27="E",1,0))+IF($C27="E",1,0)+IF($D27="E",1,0)</f>
        <v>1</v>
      </c>
      <c r="G27" s="0" t="n">
        <f aca="false">(IF($B27="O",1,0))+IF($C27="O",1,0)+IF($D27="O",1,0)</f>
        <v>1</v>
      </c>
      <c r="H27" s="0" t="n">
        <f aca="false">(IF($B27="L",1,0))+IF($C27="L",1,0)+IF($D27="L",1,0)</f>
        <v>1</v>
      </c>
      <c r="I27" s="0" t="n">
        <f aca="false">(IF(B27="V",1,0))</f>
        <v>0</v>
      </c>
      <c r="J27" s="0" t="n">
        <f aca="false">(IF(B27="E",1,0))</f>
        <v>0</v>
      </c>
      <c r="K27" s="0" t="n">
        <f aca="false">(IF(B27="O",1,0))</f>
        <v>0</v>
      </c>
      <c r="L27" s="0" t="n">
        <f aca="false">(IF(B27="L",1,0))</f>
        <v>1</v>
      </c>
      <c r="M27" s="0" t="n">
        <f aca="false">(IF(C27="V",1,0))</f>
        <v>0</v>
      </c>
      <c r="N27" s="0" t="n">
        <f aca="false">(IF(C27="E",1,0))</f>
        <v>1</v>
      </c>
      <c r="O27" s="0" t="n">
        <f aca="false">(IF(C27="O",1,0))</f>
        <v>0</v>
      </c>
      <c r="P27" s="0" t="n">
        <f aca="false">(IF(C27="L",1,0))</f>
        <v>0</v>
      </c>
      <c r="Q27" s="0" t="n">
        <f aca="false">(IF(D27="V",1,0))</f>
        <v>0</v>
      </c>
      <c r="R27" s="0" t="n">
        <f aca="false">(IF(D27="E",1,0))</f>
        <v>0</v>
      </c>
      <c r="S27" s="0" t="n">
        <f aca="false">(IF(D27="O",1,0))</f>
        <v>1</v>
      </c>
      <c r="T27" s="0" t="n">
        <f aca="false">(IF(D27="L",1,0))</f>
        <v>0</v>
      </c>
      <c r="U27" s="0" t="n">
        <f aca="false">MAX(E27-1,0)</f>
        <v>0</v>
      </c>
      <c r="V27" s="0" t="n">
        <f aca="false">MAX(U27-1+F27,0)</f>
        <v>0</v>
      </c>
      <c r="W27" s="0" t="n">
        <f aca="false">MAX(V27-1+G27,0)</f>
        <v>0</v>
      </c>
      <c r="X27" s="0" t="n">
        <f aca="false">MAX(W27-1+H27,0)</f>
        <v>0</v>
      </c>
      <c r="Y27" s="1" t="n">
        <f aca="false">0.5*(E27*I27+F27*J27+G27*K27+H27*L27-1)+(0+$U27*J27+$V27*K27+$W27*L27)</f>
        <v>0</v>
      </c>
      <c r="Z27" s="1" t="n">
        <f aca="false">0.5*(E27*M27+F27*N27+G27*O27+H27*P27-1)+(0+$U27*N27+$V27*O27+$W27*P27)</f>
        <v>0</v>
      </c>
      <c r="AA27" s="1" t="n">
        <f aca="false">0.5*(E27*Q27+F27*R27+G27*S27+H27*T27-1)+(0+$U27*R27+$V27*S27+$W27*T27)</f>
        <v>0</v>
      </c>
      <c r="AB27" s="0" t="n">
        <f aca="false">IF(B27="V",-2,0)+IF(B27="E",-1,0)+IF(B27="O",0,0)+IF(B27="L",1,0)+Y27</f>
        <v>1</v>
      </c>
      <c r="AC27" s="0" t="n">
        <f aca="false">IF(C27="V",-2,0)+IF(C27="E",-1,0)+IF(C27="O",0,0)+IF(C27="L",1,0)+Z27</f>
        <v>-1</v>
      </c>
      <c r="AD27" s="0" t="n">
        <f aca="false">IF(D27="V",-2,0)+IF(D27="E",-1,0)+IF(D27="O",0,0)+IF(D27="L",1,0)+AA27</f>
        <v>0</v>
      </c>
      <c r="AE27" s="1" t="n">
        <f aca="false">IF(B27="V",-2,0)+IF(B27="E",-1,0)+IF(B27="O",0,0)+IF(B27="L",1,0)</f>
        <v>1</v>
      </c>
      <c r="AF27" s="1" t="n">
        <f aca="false">IF(B27="V",-2,0)+IF(B27="E",-1,0)+IF(B27="O",0,0)+IF(B27="L",1,0)+Y27</f>
        <v>1</v>
      </c>
      <c r="AG27" s="1" t="n">
        <f aca="false">IF(B27="V",-2,0)+IF(B27="E",-1,0)+IF(B27="O",0,0)+IF(B27="L",1,0)+Y27*2</f>
        <v>1</v>
      </c>
      <c r="AH27" s="1" t="n">
        <f aca="false">IF(C27="V",-2,0)+IF(C27="E",-1,0)+IF(C27="O",0,0)+IF(C27="L",1,0)</f>
        <v>-1</v>
      </c>
      <c r="AI27" s="1" t="n">
        <f aca="false">IF(C27="V",-2,0)+IF(C27="E",-1,0)+IF(C27="O",0,0)+IF(C27="L",1,0)+Z27</f>
        <v>-1</v>
      </c>
      <c r="AJ27" s="1" t="n">
        <f aca="false">IF(C27="V",-2,0)+IF(C27="E",-1,0)+IF(C27="O",0,0)+IF(C27="L",1,0)+Z27*2</f>
        <v>-1</v>
      </c>
      <c r="AK27" s="1" t="n">
        <f aca="false">IF(D27="V",-2,0)+IF(D27="E",-1,0)+IF(D27="O",0,0)+IF(D27="L",1,0)</f>
        <v>0</v>
      </c>
      <c r="AL27" s="1" t="n">
        <f aca="false">IF(D27="V",-2,0)+IF(D27="E",-1,0)+IF(D27="O",0,0)+IF(D27="L",1,0)+AA27</f>
        <v>0</v>
      </c>
      <c r="AM27" s="1" t="n">
        <f aca="false">IF(D27="V",-2,0)+IF(D27="E",-1,0)+IF(D27="O",0,0)+IF(D27="L",1,0)+AA27*2</f>
        <v>0</v>
      </c>
      <c r="AN27" s="1" t="n">
        <f aca="false">(ABS(IF(AE27&lt;0,AE27*Early,AE27*Late))+ABS(IF(AF27&lt;0,AF27*Early,AF27*Late))+ABS(IF(AG27&lt;0,AG27*Early,AG27*Late)))/3</f>
        <v>4</v>
      </c>
      <c r="AO27" s="1" t="n">
        <f aca="false">(ABS(IF(AH27&lt;0,AH27*Early,AH27*Late))+ABS(IF(AI27&lt;0,AI27*Early,AI27*Late))+ABS(IF(AJ27&lt;0,AJ27*Early,AJ27*Late)))/3</f>
        <v>3</v>
      </c>
      <c r="AP27" s="1" t="n">
        <f aca="false">(ABS(IF(AK27&lt;0,AK27*Early,AK27*Late))+ABS(IF(AL27&lt;0,AL27*Early,AL27*Late))+ABS(IF(AM27&lt;0,AM27*Early,AM27*Late)))/3</f>
        <v>0</v>
      </c>
      <c r="AQ27" s="0" t="n">
        <f aca="false">Y27*Delay+AN27</f>
        <v>4</v>
      </c>
      <c r="AR27" s="0" t="n">
        <f aca="false">Z27*Delay+AO27</f>
        <v>3</v>
      </c>
      <c r="AS27" s="0" t="n">
        <f aca="false">AA27*Delay+AP27</f>
        <v>0</v>
      </c>
      <c r="AT27" s="0" t="n">
        <f aca="false">IF(AR27=MIN(AR26:AR29),1,0)</f>
        <v>0</v>
      </c>
      <c r="AX27" s="0" t="str">
        <f aca="false">B27&amp;C27&amp;D27</f>
        <v>LEO</v>
      </c>
      <c r="AY27" s="1" t="n">
        <f aca="false">AQ27+AR27+AS27</f>
        <v>7</v>
      </c>
      <c r="AZ27" s="1" t="str">
        <f aca="false">RIGHT(AX27,2)</f>
        <v>EO</v>
      </c>
      <c r="BA27" s="1" t="str">
        <f aca="false">LEFT(AX27,1)&amp;RIGHT(AX27,1)</f>
        <v>LO</v>
      </c>
      <c r="BB27" s="1" t="str">
        <f aca="false">LEFT(AX27,2)</f>
        <v>LE</v>
      </c>
      <c r="BC27" s="1" t="n">
        <f aca="false">VLOOKUP(AZ27,TwoPlayers!$AG$1:$AH$17,2,FALSE())</f>
        <v>3</v>
      </c>
      <c r="BD27" s="1" t="n">
        <f aca="false">VLOOKUP(BA27,TwoPlayers!$AG$1:$AH$17,2,FALSE())</f>
        <v>4</v>
      </c>
      <c r="BE27" s="1" t="n">
        <f aca="false">VLOOKUP(BB27,TwoPlayers!$AG$1:$AH$17,2,FALSE())</f>
        <v>7</v>
      </c>
      <c r="BF27" s="1" t="n">
        <f aca="false">$AY27-BC27</f>
        <v>4</v>
      </c>
      <c r="BG27" s="1" t="n">
        <f aca="false">$AY27-BD27</f>
        <v>3</v>
      </c>
      <c r="BH27" s="1" t="n">
        <f aca="false">$AY27-BE27</f>
        <v>0</v>
      </c>
      <c r="BJ27" s="0" t="n">
        <f aca="false">AQ27+BF27</f>
        <v>8</v>
      </c>
      <c r="BK27" s="0" t="n">
        <f aca="false">AR27+BG27</f>
        <v>6</v>
      </c>
      <c r="BL27" s="0" t="n">
        <f aca="false">AS27+BH27</f>
        <v>0</v>
      </c>
      <c r="BM27" s="0" t="n">
        <f aca="false">IF(BK27=MIN(BK26:BK30),1,0)</f>
        <v>1</v>
      </c>
    </row>
    <row r="28" customFormat="false" ht="13" hidden="false" customHeight="false" outlineLevel="0" collapsed="false">
      <c r="A28" s="0" t="n">
        <v>59</v>
      </c>
      <c r="B28" s="0" t="s">
        <v>4</v>
      </c>
      <c r="C28" s="0" t="s">
        <v>3</v>
      </c>
      <c r="D28" s="0" t="s">
        <v>3</v>
      </c>
      <c r="E28" s="0" t="n">
        <f aca="false">(IF($B28="V",1,0))+IF($C28="V",1,0)+IF($D28="V",1,0)</f>
        <v>0</v>
      </c>
      <c r="F28" s="0" t="n">
        <f aca="false">(IF($B28="E",1,0))+IF($C28="E",1,0)+IF($D28="E",1,0)</f>
        <v>0</v>
      </c>
      <c r="G28" s="0" t="n">
        <f aca="false">(IF($B28="O",1,0))+IF($C28="O",1,0)+IF($D28="O",1,0)</f>
        <v>2</v>
      </c>
      <c r="H28" s="0" t="n">
        <f aca="false">(IF($B28="L",1,0))+IF($C28="L",1,0)+IF($D28="L",1,0)</f>
        <v>1</v>
      </c>
      <c r="I28" s="0" t="n">
        <f aca="false">(IF(B28="V",1,0))</f>
        <v>0</v>
      </c>
      <c r="J28" s="0" t="n">
        <f aca="false">(IF(B28="E",1,0))</f>
        <v>0</v>
      </c>
      <c r="K28" s="0" t="n">
        <f aca="false">(IF(B28="O",1,0))</f>
        <v>0</v>
      </c>
      <c r="L28" s="0" t="n">
        <f aca="false">(IF(B28="L",1,0))</f>
        <v>1</v>
      </c>
      <c r="M28" s="0" t="n">
        <f aca="false">(IF(C28="V",1,0))</f>
        <v>0</v>
      </c>
      <c r="N28" s="0" t="n">
        <f aca="false">(IF(C28="E",1,0))</f>
        <v>0</v>
      </c>
      <c r="O28" s="0" t="n">
        <f aca="false">(IF(C28="O",1,0))</f>
        <v>1</v>
      </c>
      <c r="P28" s="0" t="n">
        <f aca="false">(IF(C28="L",1,0))</f>
        <v>0</v>
      </c>
      <c r="Q28" s="0" t="n">
        <f aca="false">(IF(D28="V",1,0))</f>
        <v>0</v>
      </c>
      <c r="R28" s="0" t="n">
        <f aca="false">(IF(D28="E",1,0))</f>
        <v>0</v>
      </c>
      <c r="S28" s="0" t="n">
        <f aca="false">(IF(D28="O",1,0))</f>
        <v>1</v>
      </c>
      <c r="T28" s="0" t="n">
        <f aca="false">(IF(D28="L",1,0))</f>
        <v>0</v>
      </c>
      <c r="U28" s="0" t="n">
        <f aca="false">MAX(E28-1,0)</f>
        <v>0</v>
      </c>
      <c r="V28" s="0" t="n">
        <f aca="false">MAX(U28-1+F28,0)</f>
        <v>0</v>
      </c>
      <c r="W28" s="0" t="n">
        <f aca="false">MAX(V28-1+G28,0)</f>
        <v>1</v>
      </c>
      <c r="X28" s="0" t="n">
        <f aca="false">MAX(W28-1+H28,0)</f>
        <v>1</v>
      </c>
      <c r="Y28" s="1" t="n">
        <f aca="false">0.5*(E28*I28+F28*J28+G28*K28+H28*L28-1)+(0+$U28*J28+$V28*K28+$W28*L28)</f>
        <v>1</v>
      </c>
      <c r="Z28" s="1" t="n">
        <f aca="false">0.5*(E28*M28+F28*N28+G28*O28+H28*P28-1)+(0+$U28*N28+$V28*O28+$W28*P28)</f>
        <v>0.5</v>
      </c>
      <c r="AA28" s="1" t="n">
        <f aca="false">0.5*(E28*Q28+F28*R28+G28*S28+H28*T28-1)+(0+$U28*R28+$V28*S28+$W28*T28)</f>
        <v>0.5</v>
      </c>
      <c r="AB28" s="0" t="n">
        <f aca="false">IF(B28="V",-2,0)+IF(B28="E",-1,0)+IF(B28="O",0,0)+IF(B28="L",1,0)+Y28</f>
        <v>2</v>
      </c>
      <c r="AC28" s="0" t="n">
        <f aca="false">IF(C28="V",-2,0)+IF(C28="E",-1,0)+IF(C28="O",0,0)+IF(C28="L",1,0)+Z28</f>
        <v>0.5</v>
      </c>
      <c r="AD28" s="0" t="n">
        <f aca="false">IF(D28="V",-2,0)+IF(D28="E",-1,0)+IF(D28="O",0,0)+IF(D28="L",1,0)+AA28</f>
        <v>0.5</v>
      </c>
      <c r="AE28" s="1" t="n">
        <f aca="false">IF(B28="V",-2,0)+IF(B28="E",-1,0)+IF(B28="O",0,0)+IF(B28="L",1,0)</f>
        <v>1</v>
      </c>
      <c r="AF28" s="1" t="n">
        <f aca="false">IF(B28="V",-2,0)+IF(B28="E",-1,0)+IF(B28="O",0,0)+IF(B28="L",1,0)+Y28</f>
        <v>2</v>
      </c>
      <c r="AG28" s="1" t="n">
        <f aca="false">IF(B28="V",-2,0)+IF(B28="E",-1,0)+IF(B28="O",0,0)+IF(B28="L",1,0)+Y28*2</f>
        <v>3</v>
      </c>
      <c r="AH28" s="1" t="n">
        <f aca="false">IF(C28="V",-2,0)+IF(C28="E",-1,0)+IF(C28="O",0,0)+IF(C28="L",1,0)</f>
        <v>0</v>
      </c>
      <c r="AI28" s="1" t="n">
        <f aca="false">IF(C28="V",-2,0)+IF(C28="E",-1,0)+IF(C28="O",0,0)+IF(C28="L",1,0)+Z28</f>
        <v>0.5</v>
      </c>
      <c r="AJ28" s="1" t="n">
        <f aca="false">IF(C28="V",-2,0)+IF(C28="E",-1,0)+IF(C28="O",0,0)+IF(C28="L",1,0)+Z28*2</f>
        <v>1</v>
      </c>
      <c r="AK28" s="1" t="n">
        <f aca="false">IF(D28="V",-2,0)+IF(D28="E",-1,0)+IF(D28="O",0,0)+IF(D28="L",1,0)</f>
        <v>0</v>
      </c>
      <c r="AL28" s="1" t="n">
        <f aca="false">IF(D28="V",-2,0)+IF(D28="E",-1,0)+IF(D28="O",0,0)+IF(D28="L",1,0)+AA28</f>
        <v>0.5</v>
      </c>
      <c r="AM28" s="1" t="n">
        <f aca="false">IF(D28="V",-2,0)+IF(D28="E",-1,0)+IF(D28="O",0,0)+IF(D28="L",1,0)+AA28*2</f>
        <v>1</v>
      </c>
      <c r="AN28" s="1" t="n">
        <f aca="false">(ABS(IF(AE28&lt;0,AE28*Early,AE28*Late))+ABS(IF(AF28&lt;0,AF28*Early,AF28*Late))+ABS(IF(AG28&lt;0,AG28*Early,AG28*Late)))/3</f>
        <v>8</v>
      </c>
      <c r="AO28" s="1" t="n">
        <f aca="false">(ABS(IF(AH28&lt;0,AH28*Early,AH28*Late))+ABS(IF(AI28&lt;0,AI28*Early,AI28*Late))+ABS(IF(AJ28&lt;0,AJ28*Early,AJ28*Late)))/3</f>
        <v>2</v>
      </c>
      <c r="AP28" s="1" t="n">
        <f aca="false">(ABS(IF(AK28&lt;0,AK28*Early,AK28*Late))+ABS(IF(AL28&lt;0,AL28*Early,AL28*Late))+ABS(IF(AM28&lt;0,AM28*Early,AM28*Late)))/3</f>
        <v>2</v>
      </c>
      <c r="AQ28" s="0" t="n">
        <f aca="false">Y28*Delay+AN28</f>
        <v>9</v>
      </c>
      <c r="AR28" s="0" t="n">
        <f aca="false">Z28*Delay+AO28</f>
        <v>2.5</v>
      </c>
      <c r="AS28" s="0" t="n">
        <f aca="false">AA28*Delay+AP28</f>
        <v>2.5</v>
      </c>
      <c r="AT28" s="0" t="n">
        <f aca="false">IF(AR28=MIN(AR26:AR29),1,0)</f>
        <v>1</v>
      </c>
      <c r="AX28" s="0" t="str">
        <f aca="false">B28&amp;C28&amp;D28</f>
        <v>LOO</v>
      </c>
      <c r="AY28" s="1" t="n">
        <f aca="false">AQ28+AR28+AS28</f>
        <v>14</v>
      </c>
      <c r="AZ28" s="1" t="str">
        <f aca="false">RIGHT(AX28,2)</f>
        <v>OO</v>
      </c>
      <c r="BA28" s="1" t="str">
        <f aca="false">LEFT(AX28,1)&amp;RIGHT(AX28,1)</f>
        <v>LO</v>
      </c>
      <c r="BB28" s="1" t="str">
        <f aca="false">LEFT(AX28,2)</f>
        <v>LO</v>
      </c>
      <c r="BC28" s="1" t="n">
        <f aca="false">VLOOKUP(AZ28,TwoPlayers!$AG$1:$AH$17,2,FALSE())</f>
        <v>5</v>
      </c>
      <c r="BD28" s="1" t="n">
        <f aca="false">VLOOKUP(BA28,TwoPlayers!$AG$1:$AH$17,2,FALSE())</f>
        <v>4</v>
      </c>
      <c r="BE28" s="1" t="n">
        <f aca="false">VLOOKUP(BB28,TwoPlayers!$AG$1:$AH$17,2,FALSE())</f>
        <v>4</v>
      </c>
      <c r="BF28" s="1" t="n">
        <f aca="false">$AY28-BC28</f>
        <v>9</v>
      </c>
      <c r="BG28" s="1" t="n">
        <f aca="false">$AY28-BD28</f>
        <v>10</v>
      </c>
      <c r="BH28" s="1" t="n">
        <f aca="false">$AY28-BE28</f>
        <v>10</v>
      </c>
      <c r="BJ28" s="0" t="n">
        <f aca="false">AQ28+BF28</f>
        <v>18</v>
      </c>
      <c r="BK28" s="0" t="n">
        <f aca="false">AR28+BG28</f>
        <v>12.5</v>
      </c>
      <c r="BL28" s="0" t="n">
        <f aca="false">AS28+BH28</f>
        <v>12.5</v>
      </c>
      <c r="BM28" s="0" t="n">
        <f aca="false">IF(BK28=MIN(BK26:BK30),1,0)</f>
        <v>0</v>
      </c>
    </row>
    <row r="29" customFormat="false" ht="13" hidden="false" customHeight="false" outlineLevel="0" collapsed="false">
      <c r="A29" s="0" t="n">
        <v>63</v>
      </c>
      <c r="B29" s="0" t="s">
        <v>4</v>
      </c>
      <c r="C29" s="0" t="s">
        <v>4</v>
      </c>
      <c r="D29" s="0" t="s">
        <v>3</v>
      </c>
      <c r="E29" s="0" t="n">
        <f aca="false">(IF($B29="V",1,0))+IF($C29="V",1,0)+IF($D29="V",1,0)</f>
        <v>0</v>
      </c>
      <c r="F29" s="0" t="n">
        <f aca="false">(IF($B29="E",1,0))+IF($C29="E",1,0)+IF($D29="E",1,0)</f>
        <v>0</v>
      </c>
      <c r="G29" s="0" t="n">
        <f aca="false">(IF($B29="O",1,0))+IF($C29="O",1,0)+IF($D29="O",1,0)</f>
        <v>1</v>
      </c>
      <c r="H29" s="0" t="n">
        <f aca="false">(IF($B29="L",1,0))+IF($C29="L",1,0)+IF($D29="L",1,0)</f>
        <v>2</v>
      </c>
      <c r="I29" s="0" t="n">
        <f aca="false">(IF(B29="V",1,0))</f>
        <v>0</v>
      </c>
      <c r="J29" s="0" t="n">
        <f aca="false">(IF(B29="E",1,0))</f>
        <v>0</v>
      </c>
      <c r="K29" s="0" t="n">
        <f aca="false">(IF(B29="O",1,0))</f>
        <v>0</v>
      </c>
      <c r="L29" s="0" t="n">
        <f aca="false">(IF(B29="L",1,0))</f>
        <v>1</v>
      </c>
      <c r="M29" s="0" t="n">
        <f aca="false">(IF(C29="V",1,0))</f>
        <v>0</v>
      </c>
      <c r="N29" s="0" t="n">
        <f aca="false">(IF(C29="E",1,0))</f>
        <v>0</v>
      </c>
      <c r="O29" s="0" t="n">
        <f aca="false">(IF(C29="O",1,0))</f>
        <v>0</v>
      </c>
      <c r="P29" s="0" t="n">
        <f aca="false">(IF(C29="L",1,0))</f>
        <v>1</v>
      </c>
      <c r="Q29" s="0" t="n">
        <f aca="false">(IF(D29="V",1,0))</f>
        <v>0</v>
      </c>
      <c r="R29" s="0" t="n">
        <f aca="false">(IF(D29="E",1,0))</f>
        <v>0</v>
      </c>
      <c r="S29" s="0" t="n">
        <f aca="false">(IF(D29="O",1,0))</f>
        <v>1</v>
      </c>
      <c r="T29" s="0" t="n">
        <f aca="false">(IF(D29="L",1,0))</f>
        <v>0</v>
      </c>
      <c r="U29" s="0" t="n">
        <f aca="false">MAX(E29-1,0)</f>
        <v>0</v>
      </c>
      <c r="V29" s="0" t="n">
        <f aca="false">MAX(U29-1+F29,0)</f>
        <v>0</v>
      </c>
      <c r="W29" s="0" t="n">
        <f aca="false">MAX(V29-1+G29,0)</f>
        <v>0</v>
      </c>
      <c r="X29" s="0" t="n">
        <f aca="false">MAX(W29-1+H29,0)</f>
        <v>1</v>
      </c>
      <c r="Y29" s="1" t="n">
        <f aca="false">0.5*(E29*I29+F29*J29+G29*K29+H29*L29-1)+(0+$U29*J29+$V29*K29+$W29*L29)</f>
        <v>0.5</v>
      </c>
      <c r="Z29" s="1" t="n">
        <f aca="false">0.5*(E29*M29+F29*N29+G29*O29+H29*P29-1)+(0+$U29*N29+$V29*O29+$W29*P29)</f>
        <v>0.5</v>
      </c>
      <c r="AA29" s="1" t="n">
        <f aca="false">0.5*(E29*Q29+F29*R29+G29*S29+H29*T29-1)+(0+$U29*R29+$V29*S29+$W29*T29)</f>
        <v>0</v>
      </c>
      <c r="AB29" s="0" t="n">
        <f aca="false">IF(B29="V",-2,0)+IF(B29="E",-1,0)+IF(B29="O",0,0)+IF(B29="L",1,0)+Y29</f>
        <v>1.5</v>
      </c>
      <c r="AC29" s="0" t="n">
        <f aca="false">IF(C29="V",-2,0)+IF(C29="E",-1,0)+IF(C29="O",0,0)+IF(C29="L",1,0)+Z29</f>
        <v>1.5</v>
      </c>
      <c r="AD29" s="0" t="n">
        <f aca="false">IF(D29="V",-2,0)+IF(D29="E",-1,0)+IF(D29="O",0,0)+IF(D29="L",1,0)+AA29</f>
        <v>0</v>
      </c>
      <c r="AE29" s="1" t="n">
        <f aca="false">IF(B29="V",-2,0)+IF(B29="E",-1,0)+IF(B29="O",0,0)+IF(B29="L",1,0)</f>
        <v>1</v>
      </c>
      <c r="AF29" s="1" t="n">
        <f aca="false">IF(B29="V",-2,0)+IF(B29="E",-1,0)+IF(B29="O",0,0)+IF(B29="L",1,0)+Y29</f>
        <v>1.5</v>
      </c>
      <c r="AG29" s="1" t="n">
        <f aca="false">IF(B29="V",-2,0)+IF(B29="E",-1,0)+IF(B29="O",0,0)+IF(B29="L",1,0)+Y29*2</f>
        <v>2</v>
      </c>
      <c r="AH29" s="1" t="n">
        <f aca="false">IF(C29="V",-2,0)+IF(C29="E",-1,0)+IF(C29="O",0,0)+IF(C29="L",1,0)</f>
        <v>1</v>
      </c>
      <c r="AI29" s="1" t="n">
        <f aca="false">IF(C29="V",-2,0)+IF(C29="E",-1,0)+IF(C29="O",0,0)+IF(C29="L",1,0)+Z29</f>
        <v>1.5</v>
      </c>
      <c r="AJ29" s="1" t="n">
        <f aca="false">IF(C29="V",-2,0)+IF(C29="E",-1,0)+IF(C29="O",0,0)+IF(C29="L",1,0)+Z29*2</f>
        <v>2</v>
      </c>
      <c r="AK29" s="1" t="n">
        <f aca="false">IF(D29="V",-2,0)+IF(D29="E",-1,0)+IF(D29="O",0,0)+IF(D29="L",1,0)</f>
        <v>0</v>
      </c>
      <c r="AL29" s="1" t="n">
        <f aca="false">IF(D29="V",-2,0)+IF(D29="E",-1,0)+IF(D29="O",0,0)+IF(D29="L",1,0)+AA29</f>
        <v>0</v>
      </c>
      <c r="AM29" s="1" t="n">
        <f aca="false">IF(D29="V",-2,0)+IF(D29="E",-1,0)+IF(D29="O",0,0)+IF(D29="L",1,0)+AA29*2</f>
        <v>0</v>
      </c>
      <c r="AN29" s="1" t="n">
        <f aca="false">(ABS(IF(AE29&lt;0,AE29*Early,AE29*Late))+ABS(IF(AF29&lt;0,AF29*Early,AF29*Late))+ABS(IF(AG29&lt;0,AG29*Early,AG29*Late)))/3</f>
        <v>6</v>
      </c>
      <c r="AO29" s="1" t="n">
        <f aca="false">(ABS(IF(AH29&lt;0,AH29*Early,AH29*Late))+ABS(IF(AI29&lt;0,AI29*Early,AI29*Late))+ABS(IF(AJ29&lt;0,AJ29*Early,AJ29*Late)))/3</f>
        <v>6</v>
      </c>
      <c r="AP29" s="1" t="n">
        <f aca="false">(ABS(IF(AK29&lt;0,AK29*Early,AK29*Late))+ABS(IF(AL29&lt;0,AL29*Early,AL29*Late))+ABS(IF(AM29&lt;0,AM29*Early,AM29*Late)))/3</f>
        <v>0</v>
      </c>
      <c r="AQ29" s="0" t="n">
        <f aca="false">Y29*Delay+AN29</f>
        <v>6.5</v>
      </c>
      <c r="AR29" s="0" t="n">
        <f aca="false">Z29*Delay+AO29</f>
        <v>6.5</v>
      </c>
      <c r="AS29" s="0" t="n">
        <f aca="false">AA29*Delay+AP29</f>
        <v>0</v>
      </c>
      <c r="AT29" s="0" t="n">
        <f aca="false">IF(AR29=MIN(AR26:AR29),1,0)</f>
        <v>0</v>
      </c>
      <c r="AX29" s="0" t="str">
        <f aca="false">B29&amp;C29&amp;D29</f>
        <v>LLO</v>
      </c>
      <c r="AY29" s="1" t="n">
        <f aca="false">AQ29+AR29+AS29</f>
        <v>13</v>
      </c>
      <c r="AZ29" s="1" t="str">
        <f aca="false">RIGHT(AX29,2)</f>
        <v>LO</v>
      </c>
      <c r="BA29" s="1" t="str">
        <f aca="false">LEFT(AX29,1)&amp;RIGHT(AX29,1)</f>
        <v>LO</v>
      </c>
      <c r="BB29" s="1" t="str">
        <f aca="false">LEFT(AX29,2)</f>
        <v>LL</v>
      </c>
      <c r="BC29" s="1" t="n">
        <f aca="false">VLOOKUP(AZ29,TwoPlayers!$AG$1:$AH$17,2,FALSE())</f>
        <v>4</v>
      </c>
      <c r="BD29" s="1" t="n">
        <f aca="false">VLOOKUP(BA29,TwoPlayers!$AG$1:$AH$17,2,FALSE())</f>
        <v>4</v>
      </c>
      <c r="BE29" s="1" t="n">
        <f aca="false">VLOOKUP(BB29,TwoPlayers!$AG$1:$AH$17,2,FALSE())</f>
        <v>13</v>
      </c>
      <c r="BF29" s="1" t="n">
        <f aca="false">$AY29-BC29</f>
        <v>9</v>
      </c>
      <c r="BG29" s="1" t="n">
        <f aca="false">$AY29-BD29</f>
        <v>9</v>
      </c>
      <c r="BH29" s="1" t="n">
        <f aca="false">$AY29-BE29</f>
        <v>0</v>
      </c>
      <c r="BJ29" s="0" t="n">
        <f aca="false">AQ29+BF29</f>
        <v>15.5</v>
      </c>
      <c r="BK29" s="0" t="n">
        <f aca="false">AR29+BG29</f>
        <v>15.5</v>
      </c>
      <c r="BL29" s="0" t="n">
        <f aca="false">AS29+BH29</f>
        <v>0</v>
      </c>
      <c r="BM29" s="0" t="n">
        <f aca="false">IF(BK29=MIN(BK26:BK30),1,0)</f>
        <v>0</v>
      </c>
    </row>
    <row r="30" customFormat="false" ht="13" hidden="false" customHeight="false" outlineLevel="0" collapsed="false">
      <c r="A30" s="0" t="n">
        <v>49</v>
      </c>
      <c r="B30" s="0" t="s">
        <v>4</v>
      </c>
      <c r="C30" s="0" t="s">
        <v>1</v>
      </c>
      <c r="D30" s="0" t="s">
        <v>1</v>
      </c>
      <c r="E30" s="0" t="n">
        <f aca="false">(IF($B30="V",1,0))+IF($C30="V",1,0)+IF($D30="V",1,0)</f>
        <v>2</v>
      </c>
      <c r="F30" s="0" t="n">
        <f aca="false">(IF($B30="E",1,0))+IF($C30="E",1,0)+IF($D30="E",1,0)</f>
        <v>0</v>
      </c>
      <c r="G30" s="0" t="n">
        <f aca="false">(IF($B30="O",1,0))+IF($C30="O",1,0)+IF($D30="O",1,0)</f>
        <v>0</v>
      </c>
      <c r="H30" s="0" t="n">
        <f aca="false">(IF($B30="L",1,0))+IF($C30="L",1,0)+IF($D30="L",1,0)</f>
        <v>1</v>
      </c>
      <c r="I30" s="0" t="n">
        <f aca="false">(IF(B30="V",1,0))</f>
        <v>0</v>
      </c>
      <c r="J30" s="0" t="n">
        <f aca="false">(IF(B30="E",1,0))</f>
        <v>0</v>
      </c>
      <c r="K30" s="0" t="n">
        <f aca="false">(IF(B30="O",1,0))</f>
        <v>0</v>
      </c>
      <c r="L30" s="0" t="n">
        <f aca="false">(IF(B30="L",1,0))</f>
        <v>1</v>
      </c>
      <c r="M30" s="0" t="n">
        <f aca="false">(IF(C30="V",1,0))</f>
        <v>1</v>
      </c>
      <c r="N30" s="0" t="n">
        <f aca="false">(IF(C30="E",1,0))</f>
        <v>0</v>
      </c>
      <c r="O30" s="0" t="n">
        <f aca="false">(IF(C30="O",1,0))</f>
        <v>0</v>
      </c>
      <c r="P30" s="0" t="n">
        <f aca="false">(IF(C30="L",1,0))</f>
        <v>0</v>
      </c>
      <c r="Q30" s="0" t="n">
        <f aca="false">(IF(D30="V",1,0))</f>
        <v>1</v>
      </c>
      <c r="R30" s="0" t="n">
        <f aca="false">(IF(D30="E",1,0))</f>
        <v>0</v>
      </c>
      <c r="S30" s="0" t="n">
        <f aca="false">(IF(D30="O",1,0))</f>
        <v>0</v>
      </c>
      <c r="T30" s="0" t="n">
        <f aca="false">(IF(D30="L",1,0))</f>
        <v>0</v>
      </c>
      <c r="U30" s="0" t="n">
        <f aca="false">MAX(E30-1,0)</f>
        <v>1</v>
      </c>
      <c r="V30" s="0" t="n">
        <f aca="false">MAX(U30-1+F30,0)</f>
        <v>0</v>
      </c>
      <c r="W30" s="0" t="n">
        <f aca="false">MAX(V30-1+G30,0)</f>
        <v>0</v>
      </c>
      <c r="X30" s="0" t="n">
        <f aca="false">MAX(W30-1+H30,0)</f>
        <v>0</v>
      </c>
      <c r="Y30" s="1" t="n">
        <f aca="false">0.5*(E30*I30+F30*J30+G30*K30+H30*L30-1)+(0+$U30*J30+$V30*K30+$W30*L30)</f>
        <v>0</v>
      </c>
      <c r="Z30" s="1" t="n">
        <f aca="false">0.5*(E30*M30+F30*N30+G30*O30+H30*P30-1)+(0+$U30*N30+$V30*O30+$W30*P30)</f>
        <v>0.5</v>
      </c>
      <c r="AA30" s="1" t="n">
        <f aca="false">0.5*(E30*Q30+F30*R30+G30*S30+H30*T30-1)+(0+$U30*R30+$V30*S30+$W30*T30)</f>
        <v>0.5</v>
      </c>
      <c r="AB30" s="0" t="n">
        <f aca="false">IF(B30="V",-2,0)+IF(B30="E",-1,0)+IF(B30="O",0,0)+IF(B30="L",1,0)+Y30</f>
        <v>1</v>
      </c>
      <c r="AC30" s="0" t="n">
        <f aca="false">IF(C30="V",-2,0)+IF(C30="E",-1,0)+IF(C30="O",0,0)+IF(C30="L",1,0)+Z30</f>
        <v>-1.5</v>
      </c>
      <c r="AD30" s="0" t="n">
        <f aca="false">IF(D30="V",-2,0)+IF(D30="E",-1,0)+IF(D30="O",0,0)+IF(D30="L",1,0)+AA30</f>
        <v>-1.5</v>
      </c>
      <c r="AE30" s="1" t="n">
        <f aca="false">IF(B30="V",-2,0)+IF(B30="E",-1,0)+IF(B30="O",0,0)+IF(B30="L",1,0)</f>
        <v>1</v>
      </c>
      <c r="AF30" s="1" t="n">
        <f aca="false">IF(B30="V",-2,0)+IF(B30="E",-1,0)+IF(B30="O",0,0)+IF(B30="L",1,0)+Y30</f>
        <v>1</v>
      </c>
      <c r="AG30" s="1" t="n">
        <f aca="false">IF(B30="V",-2,0)+IF(B30="E",-1,0)+IF(B30="O",0,0)+IF(B30="L",1,0)+Y30*2</f>
        <v>1</v>
      </c>
      <c r="AH30" s="1" t="n">
        <f aca="false">IF(C30="V",-2,0)+IF(C30="E",-1,0)+IF(C30="O",0,0)+IF(C30="L",1,0)</f>
        <v>-2</v>
      </c>
      <c r="AI30" s="1" t="n">
        <f aca="false">IF(C30="V",-2,0)+IF(C30="E",-1,0)+IF(C30="O",0,0)+IF(C30="L",1,0)+Z30</f>
        <v>-1.5</v>
      </c>
      <c r="AJ30" s="1" t="n">
        <f aca="false">IF(C30="V",-2,0)+IF(C30="E",-1,0)+IF(C30="O",0,0)+IF(C30="L",1,0)+Z30*2</f>
        <v>-1</v>
      </c>
      <c r="AK30" s="1" t="n">
        <f aca="false">IF(D30="V",-2,0)+IF(D30="E",-1,0)+IF(D30="O",0,0)+IF(D30="L",1,0)</f>
        <v>-2</v>
      </c>
      <c r="AL30" s="1" t="n">
        <f aca="false">IF(D30="V",-2,0)+IF(D30="E",-1,0)+IF(D30="O",0,0)+IF(D30="L",1,0)+AA30</f>
        <v>-1.5</v>
      </c>
      <c r="AM30" s="1" t="n">
        <f aca="false">IF(D30="V",-2,0)+IF(D30="E",-1,0)+IF(D30="O",0,0)+IF(D30="L",1,0)+AA30*2</f>
        <v>-1</v>
      </c>
      <c r="AN30" s="1" t="n">
        <f aca="false">(ABS(IF(AE30&lt;0,AE30*Early,AE30*Late))+ABS(IF(AF30&lt;0,AF30*Early,AF30*Late))+ABS(IF(AG30&lt;0,AG30*Early,AG30*Late)))/3</f>
        <v>4</v>
      </c>
      <c r="AO30" s="1" t="n">
        <f aca="false">(ABS(IF(AH30&lt;0,AH30*Early,AH30*Late))+ABS(IF(AI30&lt;0,AI30*Early,AI30*Late))+ABS(IF(AJ30&lt;0,AJ30*Early,AJ30*Late)))/3</f>
        <v>4.5</v>
      </c>
      <c r="AP30" s="1" t="n">
        <f aca="false">(ABS(IF(AK30&lt;0,AK30*Early,AK30*Late))+ABS(IF(AL30&lt;0,AL30*Early,AL30*Late))+ABS(IF(AM30&lt;0,AM30*Early,AM30*Late)))/3</f>
        <v>4.5</v>
      </c>
      <c r="AQ30" s="0" t="n">
        <f aca="false">Y30*Delay+AN30</f>
        <v>4</v>
      </c>
      <c r="AR30" s="0" t="n">
        <f aca="false">Z30*Delay+AO30</f>
        <v>5</v>
      </c>
      <c r="AS30" s="0" t="n">
        <f aca="false">AA30*Delay+AP30</f>
        <v>5</v>
      </c>
      <c r="AT30" s="0" t="n">
        <f aca="false">IF(AR30=MIN(AR30:AR33),1,0)</f>
        <v>0</v>
      </c>
      <c r="AX30" s="0" t="str">
        <f aca="false">B30&amp;C30&amp;D30</f>
        <v>LVV</v>
      </c>
      <c r="AY30" s="1" t="n">
        <f aca="false">AQ30+AR30+AS30</f>
        <v>14</v>
      </c>
      <c r="AZ30" s="1" t="str">
        <f aca="false">RIGHT(AX30,2)</f>
        <v>VV</v>
      </c>
      <c r="BA30" s="1" t="str">
        <f aca="false">LEFT(AX30,1)&amp;RIGHT(AX30,1)</f>
        <v>LV</v>
      </c>
      <c r="BB30" s="1" t="str">
        <f aca="false">LEFT(AX30,2)</f>
        <v>LV</v>
      </c>
      <c r="BC30" s="1" t="n">
        <f aca="false">VLOOKUP(AZ30,TwoPlayers!$AG$1:$AH$17,2,FALSE())</f>
        <v>10</v>
      </c>
      <c r="BD30" s="1" t="n">
        <f aca="false">VLOOKUP(BA30,TwoPlayers!$AG$1:$AH$17,2,FALSE())</f>
        <v>10</v>
      </c>
      <c r="BE30" s="1" t="n">
        <f aca="false">VLOOKUP(BB30,TwoPlayers!$AG$1:$AH$17,2,FALSE())</f>
        <v>10</v>
      </c>
      <c r="BF30" s="1" t="n">
        <f aca="false">$AY30-BC30</f>
        <v>4</v>
      </c>
      <c r="BG30" s="1" t="n">
        <f aca="false">$AY30-BD30</f>
        <v>4</v>
      </c>
      <c r="BH30" s="1" t="n">
        <f aca="false">$AY30-BE30</f>
        <v>4</v>
      </c>
      <c r="BJ30" s="0" t="n">
        <f aca="false">AQ30+BF30</f>
        <v>8</v>
      </c>
      <c r="BK30" s="0" t="n">
        <f aca="false">AR30+BG30</f>
        <v>9</v>
      </c>
      <c r="BL30" s="0" t="n">
        <f aca="false">AS30+BH30</f>
        <v>9</v>
      </c>
      <c r="BM30" s="0" t="n">
        <f aca="false">IF(BK30=MIN(BK30:BK34),1,0)</f>
        <v>0</v>
      </c>
    </row>
    <row r="31" customFormat="false" ht="13" hidden="false" customHeight="false" outlineLevel="0" collapsed="false">
      <c r="A31" s="0" t="n">
        <v>53</v>
      </c>
      <c r="B31" s="0" t="s">
        <v>4</v>
      </c>
      <c r="C31" s="0" t="s">
        <v>2</v>
      </c>
      <c r="D31" s="0" t="s">
        <v>1</v>
      </c>
      <c r="E31" s="0" t="n">
        <f aca="false">(IF($B31="V",1,0))+IF($C31="V",1,0)+IF($D31="V",1,0)</f>
        <v>1</v>
      </c>
      <c r="F31" s="0" t="n">
        <f aca="false">(IF($B31="E",1,0))+IF($C31="E",1,0)+IF($D31="E",1,0)</f>
        <v>1</v>
      </c>
      <c r="G31" s="0" t="n">
        <f aca="false">(IF($B31="O",1,0))+IF($C31="O",1,0)+IF($D31="O",1,0)</f>
        <v>0</v>
      </c>
      <c r="H31" s="0" t="n">
        <f aca="false">(IF($B31="L",1,0))+IF($C31="L",1,0)+IF($D31="L",1,0)</f>
        <v>1</v>
      </c>
      <c r="I31" s="0" t="n">
        <f aca="false">(IF(B31="V",1,0))</f>
        <v>0</v>
      </c>
      <c r="J31" s="0" t="n">
        <f aca="false">(IF(B31="E",1,0))</f>
        <v>0</v>
      </c>
      <c r="K31" s="0" t="n">
        <f aca="false">(IF(B31="O",1,0))</f>
        <v>0</v>
      </c>
      <c r="L31" s="0" t="n">
        <f aca="false">(IF(B31="L",1,0))</f>
        <v>1</v>
      </c>
      <c r="M31" s="0" t="n">
        <f aca="false">(IF(C31="V",1,0))</f>
        <v>0</v>
      </c>
      <c r="N31" s="0" t="n">
        <f aca="false">(IF(C31="E",1,0))</f>
        <v>1</v>
      </c>
      <c r="O31" s="0" t="n">
        <f aca="false">(IF(C31="O",1,0))</f>
        <v>0</v>
      </c>
      <c r="P31" s="0" t="n">
        <f aca="false">(IF(C31="L",1,0))</f>
        <v>0</v>
      </c>
      <c r="Q31" s="0" t="n">
        <f aca="false">(IF(D31="V",1,0))</f>
        <v>1</v>
      </c>
      <c r="R31" s="0" t="n">
        <f aca="false">(IF(D31="E",1,0))</f>
        <v>0</v>
      </c>
      <c r="S31" s="0" t="n">
        <f aca="false">(IF(D31="O",1,0))</f>
        <v>0</v>
      </c>
      <c r="T31" s="0" t="n">
        <f aca="false">(IF(D31="L",1,0))</f>
        <v>0</v>
      </c>
      <c r="U31" s="0" t="n">
        <f aca="false">MAX(E31-1,0)</f>
        <v>0</v>
      </c>
      <c r="V31" s="0" t="n">
        <f aca="false">MAX(U31-1+F31,0)</f>
        <v>0</v>
      </c>
      <c r="W31" s="0" t="n">
        <f aca="false">MAX(V31-1+G31,0)</f>
        <v>0</v>
      </c>
      <c r="X31" s="0" t="n">
        <f aca="false">MAX(W31-1+H31,0)</f>
        <v>0</v>
      </c>
      <c r="Y31" s="1" t="n">
        <f aca="false">0.5*(E31*I31+F31*J31+G31*K31+H31*L31-1)+(0+$U31*J31+$V31*K31+$W31*L31)</f>
        <v>0</v>
      </c>
      <c r="Z31" s="1" t="n">
        <f aca="false">0.5*(E31*M31+F31*N31+G31*O31+H31*P31-1)+(0+$U31*N31+$V31*O31+$W31*P31)</f>
        <v>0</v>
      </c>
      <c r="AA31" s="1" t="n">
        <f aca="false">0.5*(E31*Q31+F31*R31+G31*S31+H31*T31-1)+(0+$U31*R31+$V31*S31+$W31*T31)</f>
        <v>0</v>
      </c>
      <c r="AB31" s="0" t="n">
        <f aca="false">IF(B31="V",-2,0)+IF(B31="E",-1,0)+IF(B31="O",0,0)+IF(B31="L",1,0)+Y31</f>
        <v>1</v>
      </c>
      <c r="AC31" s="0" t="n">
        <f aca="false">IF(C31="V",-2,0)+IF(C31="E",-1,0)+IF(C31="O",0,0)+IF(C31="L",1,0)+Z31</f>
        <v>-1</v>
      </c>
      <c r="AD31" s="0" t="n">
        <f aca="false">IF(D31="V",-2,0)+IF(D31="E",-1,0)+IF(D31="O",0,0)+IF(D31="L",1,0)+AA31</f>
        <v>-2</v>
      </c>
      <c r="AE31" s="1" t="n">
        <f aca="false">IF(B31="V",-2,0)+IF(B31="E",-1,0)+IF(B31="O",0,0)+IF(B31="L",1,0)</f>
        <v>1</v>
      </c>
      <c r="AF31" s="1" t="n">
        <f aca="false">IF(B31="V",-2,0)+IF(B31="E",-1,0)+IF(B31="O",0,0)+IF(B31="L",1,0)+Y31</f>
        <v>1</v>
      </c>
      <c r="AG31" s="1" t="n">
        <f aca="false">IF(B31="V",-2,0)+IF(B31="E",-1,0)+IF(B31="O",0,0)+IF(B31="L",1,0)+Y31*2</f>
        <v>1</v>
      </c>
      <c r="AH31" s="1" t="n">
        <f aca="false">IF(C31="V",-2,0)+IF(C31="E",-1,0)+IF(C31="O",0,0)+IF(C31="L",1,0)</f>
        <v>-1</v>
      </c>
      <c r="AI31" s="1" t="n">
        <f aca="false">IF(C31="V",-2,0)+IF(C31="E",-1,0)+IF(C31="O",0,0)+IF(C31="L",1,0)+Z31</f>
        <v>-1</v>
      </c>
      <c r="AJ31" s="1" t="n">
        <f aca="false">IF(C31="V",-2,0)+IF(C31="E",-1,0)+IF(C31="O",0,0)+IF(C31="L",1,0)+Z31*2</f>
        <v>-1</v>
      </c>
      <c r="AK31" s="1" t="n">
        <f aca="false">IF(D31="V",-2,0)+IF(D31="E",-1,0)+IF(D31="O",0,0)+IF(D31="L",1,0)</f>
        <v>-2</v>
      </c>
      <c r="AL31" s="1" t="n">
        <f aca="false">IF(D31="V",-2,0)+IF(D31="E",-1,0)+IF(D31="O",0,0)+IF(D31="L",1,0)+AA31</f>
        <v>-2</v>
      </c>
      <c r="AM31" s="1" t="n">
        <f aca="false">IF(D31="V",-2,0)+IF(D31="E",-1,0)+IF(D31="O",0,0)+IF(D31="L",1,0)+AA31*2</f>
        <v>-2</v>
      </c>
      <c r="AN31" s="1" t="n">
        <f aca="false">(ABS(IF(AE31&lt;0,AE31*Early,AE31*Late))+ABS(IF(AF31&lt;0,AF31*Early,AF31*Late))+ABS(IF(AG31&lt;0,AG31*Early,AG31*Late)))/3</f>
        <v>4</v>
      </c>
      <c r="AO31" s="1" t="n">
        <f aca="false">(ABS(IF(AH31&lt;0,AH31*Early,AH31*Late))+ABS(IF(AI31&lt;0,AI31*Early,AI31*Late))+ABS(IF(AJ31&lt;0,AJ31*Early,AJ31*Late)))/3</f>
        <v>3</v>
      </c>
      <c r="AP31" s="1" t="n">
        <f aca="false">(ABS(IF(AK31&lt;0,AK31*Early,AK31*Late))+ABS(IF(AL31&lt;0,AL31*Early,AL31*Late))+ABS(IF(AM31&lt;0,AM31*Early,AM31*Late)))/3</f>
        <v>6</v>
      </c>
      <c r="AQ31" s="0" t="n">
        <f aca="false">Y31*Delay+AN31</f>
        <v>4</v>
      </c>
      <c r="AR31" s="0" t="n">
        <f aca="false">Z31*Delay+AO31</f>
        <v>3</v>
      </c>
      <c r="AS31" s="0" t="n">
        <f aca="false">AA31*Delay+AP31</f>
        <v>6</v>
      </c>
      <c r="AT31" s="0" t="n">
        <f aca="false">IF(AR31=MIN(AR30:AR33),1,0)</f>
        <v>0</v>
      </c>
      <c r="AX31" s="0" t="str">
        <f aca="false">B31&amp;C31&amp;D31</f>
        <v>LEV</v>
      </c>
      <c r="AY31" s="1" t="n">
        <f aca="false">AQ31+AR31+AS31</f>
        <v>13</v>
      </c>
      <c r="AZ31" s="1" t="str">
        <f aca="false">RIGHT(AX31,2)</f>
        <v>EV</v>
      </c>
      <c r="BA31" s="1" t="str">
        <f aca="false">LEFT(AX31,1)&amp;RIGHT(AX31,1)</f>
        <v>LV</v>
      </c>
      <c r="BB31" s="1" t="str">
        <f aca="false">LEFT(AX31,2)</f>
        <v>LE</v>
      </c>
      <c r="BC31" s="1" t="n">
        <f aca="false">VLOOKUP(AZ31,TwoPlayers!$AG$1:$AH$17,2,FALSE())</f>
        <v>9</v>
      </c>
      <c r="BD31" s="1" t="n">
        <f aca="false">VLOOKUP(BA31,TwoPlayers!$AG$1:$AH$17,2,FALSE())</f>
        <v>10</v>
      </c>
      <c r="BE31" s="1" t="n">
        <f aca="false">VLOOKUP(BB31,TwoPlayers!$AG$1:$AH$17,2,FALSE())</f>
        <v>7</v>
      </c>
      <c r="BF31" s="1" t="n">
        <f aca="false">$AY31-BC31</f>
        <v>4</v>
      </c>
      <c r="BG31" s="1" t="n">
        <f aca="false">$AY31-BD31</f>
        <v>3</v>
      </c>
      <c r="BH31" s="1" t="n">
        <f aca="false">$AY31-BE31</f>
        <v>6</v>
      </c>
      <c r="BJ31" s="0" t="n">
        <f aca="false">AQ31+BF31</f>
        <v>8</v>
      </c>
      <c r="BK31" s="0" t="n">
        <f aca="false">AR31+BG31</f>
        <v>6</v>
      </c>
      <c r="BL31" s="0" t="n">
        <f aca="false">AS31+BH31</f>
        <v>12</v>
      </c>
      <c r="BM31" s="0" t="n">
        <f aca="false">IF(BK31=MIN(BK30:BK34),1,0)</f>
        <v>0</v>
      </c>
    </row>
    <row r="32" customFormat="false" ht="13" hidden="false" customHeight="false" outlineLevel="0" collapsed="false">
      <c r="A32" s="0" t="n">
        <v>57</v>
      </c>
      <c r="B32" s="0" t="s">
        <v>4</v>
      </c>
      <c r="C32" s="0" t="s">
        <v>3</v>
      </c>
      <c r="D32" s="0" t="s">
        <v>1</v>
      </c>
      <c r="E32" s="0" t="n">
        <f aca="false">(IF($B32="V",1,0))+IF($C32="V",1,0)+IF($D32="V",1,0)</f>
        <v>1</v>
      </c>
      <c r="F32" s="0" t="n">
        <f aca="false">(IF($B32="E",1,0))+IF($C32="E",1,0)+IF($D32="E",1,0)</f>
        <v>0</v>
      </c>
      <c r="G32" s="0" t="n">
        <f aca="false">(IF($B32="O",1,0))+IF($C32="O",1,0)+IF($D32="O",1,0)</f>
        <v>1</v>
      </c>
      <c r="H32" s="0" t="n">
        <f aca="false">(IF($B32="L",1,0))+IF($C32="L",1,0)+IF($D32="L",1,0)</f>
        <v>1</v>
      </c>
      <c r="I32" s="0" t="n">
        <f aca="false">(IF(B32="V",1,0))</f>
        <v>0</v>
      </c>
      <c r="J32" s="0" t="n">
        <f aca="false">(IF(B32="E",1,0))</f>
        <v>0</v>
      </c>
      <c r="K32" s="0" t="n">
        <f aca="false">(IF(B32="O",1,0))</f>
        <v>0</v>
      </c>
      <c r="L32" s="0" t="n">
        <f aca="false">(IF(B32="L",1,0))</f>
        <v>1</v>
      </c>
      <c r="M32" s="0" t="n">
        <f aca="false">(IF(C32="V",1,0))</f>
        <v>0</v>
      </c>
      <c r="N32" s="0" t="n">
        <f aca="false">(IF(C32="E",1,0))</f>
        <v>0</v>
      </c>
      <c r="O32" s="0" t="n">
        <f aca="false">(IF(C32="O",1,0))</f>
        <v>1</v>
      </c>
      <c r="P32" s="0" t="n">
        <f aca="false">(IF(C32="L",1,0))</f>
        <v>0</v>
      </c>
      <c r="Q32" s="0" t="n">
        <f aca="false">(IF(D32="V",1,0))</f>
        <v>1</v>
      </c>
      <c r="R32" s="0" t="n">
        <f aca="false">(IF(D32="E",1,0))</f>
        <v>0</v>
      </c>
      <c r="S32" s="0" t="n">
        <f aca="false">(IF(D32="O",1,0))</f>
        <v>0</v>
      </c>
      <c r="T32" s="0" t="n">
        <f aca="false">(IF(D32="L",1,0))</f>
        <v>0</v>
      </c>
      <c r="U32" s="0" t="n">
        <f aca="false">MAX(E32-1,0)</f>
        <v>0</v>
      </c>
      <c r="V32" s="0" t="n">
        <f aca="false">MAX(U32-1+F32,0)</f>
        <v>0</v>
      </c>
      <c r="W32" s="0" t="n">
        <f aca="false">MAX(V32-1+G32,0)</f>
        <v>0</v>
      </c>
      <c r="X32" s="0" t="n">
        <f aca="false">MAX(W32-1+H32,0)</f>
        <v>0</v>
      </c>
      <c r="Y32" s="1" t="n">
        <f aca="false">0.5*(E32*I32+F32*J32+G32*K32+H32*L32-1)+(0+$U32*J32+$V32*K32+$W32*L32)</f>
        <v>0</v>
      </c>
      <c r="Z32" s="1" t="n">
        <f aca="false">0.5*(E32*M32+F32*N32+G32*O32+H32*P32-1)+(0+$U32*N32+$V32*O32+$W32*P32)</f>
        <v>0</v>
      </c>
      <c r="AA32" s="1" t="n">
        <f aca="false">0.5*(E32*Q32+F32*R32+G32*S32+H32*T32-1)+(0+$U32*R32+$V32*S32+$W32*T32)</f>
        <v>0</v>
      </c>
      <c r="AB32" s="0" t="n">
        <f aca="false">IF(B32="V",-2,0)+IF(B32="E",-1,0)+IF(B32="O",0,0)+IF(B32="L",1,0)+Y32</f>
        <v>1</v>
      </c>
      <c r="AC32" s="0" t="n">
        <f aca="false">IF(C32="V",-2,0)+IF(C32="E",-1,0)+IF(C32="O",0,0)+IF(C32="L",1,0)+Z32</f>
        <v>0</v>
      </c>
      <c r="AD32" s="0" t="n">
        <f aca="false">IF(D32="V",-2,0)+IF(D32="E",-1,0)+IF(D32="O",0,0)+IF(D32="L",1,0)+AA32</f>
        <v>-2</v>
      </c>
      <c r="AE32" s="1" t="n">
        <f aca="false">IF(B32="V",-2,0)+IF(B32="E",-1,0)+IF(B32="O",0,0)+IF(B32="L",1,0)</f>
        <v>1</v>
      </c>
      <c r="AF32" s="1" t="n">
        <f aca="false">IF(B32="V",-2,0)+IF(B32="E",-1,0)+IF(B32="O",0,0)+IF(B32="L",1,0)+Y32</f>
        <v>1</v>
      </c>
      <c r="AG32" s="1" t="n">
        <f aca="false">IF(B32="V",-2,0)+IF(B32="E",-1,0)+IF(B32="O",0,0)+IF(B32="L",1,0)+Y32*2</f>
        <v>1</v>
      </c>
      <c r="AH32" s="1" t="n">
        <f aca="false">IF(C32="V",-2,0)+IF(C32="E",-1,0)+IF(C32="O",0,0)+IF(C32="L",1,0)</f>
        <v>0</v>
      </c>
      <c r="AI32" s="1" t="n">
        <f aca="false">IF(C32="V",-2,0)+IF(C32="E",-1,0)+IF(C32="O",0,0)+IF(C32="L",1,0)+Z32</f>
        <v>0</v>
      </c>
      <c r="AJ32" s="1" t="n">
        <f aca="false">IF(C32="V",-2,0)+IF(C32="E",-1,0)+IF(C32="O",0,0)+IF(C32="L",1,0)+Z32*2</f>
        <v>0</v>
      </c>
      <c r="AK32" s="1" t="n">
        <f aca="false">IF(D32="V",-2,0)+IF(D32="E",-1,0)+IF(D32="O",0,0)+IF(D32="L",1,0)</f>
        <v>-2</v>
      </c>
      <c r="AL32" s="1" t="n">
        <f aca="false">IF(D32="V",-2,0)+IF(D32="E",-1,0)+IF(D32="O",0,0)+IF(D32="L",1,0)+AA32</f>
        <v>-2</v>
      </c>
      <c r="AM32" s="1" t="n">
        <f aca="false">IF(D32="V",-2,0)+IF(D32="E",-1,0)+IF(D32="O",0,0)+IF(D32="L",1,0)+AA32*2</f>
        <v>-2</v>
      </c>
      <c r="AN32" s="1" t="n">
        <f aca="false">(ABS(IF(AE32&lt;0,AE32*Early,AE32*Late))+ABS(IF(AF32&lt;0,AF32*Early,AF32*Late))+ABS(IF(AG32&lt;0,AG32*Early,AG32*Late)))/3</f>
        <v>4</v>
      </c>
      <c r="AO32" s="1" t="n">
        <f aca="false">(ABS(IF(AH32&lt;0,AH32*Early,AH32*Late))+ABS(IF(AI32&lt;0,AI32*Early,AI32*Late))+ABS(IF(AJ32&lt;0,AJ32*Early,AJ32*Late)))/3</f>
        <v>0</v>
      </c>
      <c r="AP32" s="1" t="n">
        <f aca="false">(ABS(IF(AK32&lt;0,AK32*Early,AK32*Late))+ABS(IF(AL32&lt;0,AL32*Early,AL32*Late))+ABS(IF(AM32&lt;0,AM32*Early,AM32*Late)))/3</f>
        <v>6</v>
      </c>
      <c r="AQ32" s="0" t="n">
        <f aca="false">Y32*Delay+AN32</f>
        <v>4</v>
      </c>
      <c r="AR32" s="0" t="n">
        <f aca="false">Z32*Delay+AO32</f>
        <v>0</v>
      </c>
      <c r="AS32" s="0" t="n">
        <f aca="false">AA32*Delay+AP32</f>
        <v>6</v>
      </c>
      <c r="AT32" s="0" t="n">
        <f aca="false">IF(AR32=MIN(AR30:AR33),1,0)</f>
        <v>1</v>
      </c>
      <c r="AX32" s="0" t="str">
        <f aca="false">B32&amp;C32&amp;D32</f>
        <v>LOV</v>
      </c>
      <c r="AY32" s="1" t="n">
        <f aca="false">AQ32+AR32+AS32</f>
        <v>10</v>
      </c>
      <c r="AZ32" s="1" t="str">
        <f aca="false">RIGHT(AX32,2)</f>
        <v>OV</v>
      </c>
      <c r="BA32" s="1" t="str">
        <f aca="false">LEFT(AX32,1)&amp;RIGHT(AX32,1)</f>
        <v>LV</v>
      </c>
      <c r="BB32" s="1" t="str">
        <f aca="false">LEFT(AX32,2)</f>
        <v>LO</v>
      </c>
      <c r="BC32" s="1" t="n">
        <f aca="false">VLOOKUP(AZ32,TwoPlayers!$AG$1:$AH$17,2,FALSE())</f>
        <v>6</v>
      </c>
      <c r="BD32" s="1" t="n">
        <f aca="false">VLOOKUP(BA32,TwoPlayers!$AG$1:$AH$17,2,FALSE())</f>
        <v>10</v>
      </c>
      <c r="BE32" s="1" t="n">
        <f aca="false">VLOOKUP(BB32,TwoPlayers!$AG$1:$AH$17,2,FALSE())</f>
        <v>4</v>
      </c>
      <c r="BF32" s="1" t="n">
        <f aca="false">$AY32-BC32</f>
        <v>4</v>
      </c>
      <c r="BG32" s="1" t="n">
        <f aca="false">$AY32-BD32</f>
        <v>0</v>
      </c>
      <c r="BH32" s="1" t="n">
        <f aca="false">$AY32-BE32</f>
        <v>6</v>
      </c>
      <c r="BJ32" s="0" t="n">
        <f aca="false">AQ32+BF32</f>
        <v>8</v>
      </c>
      <c r="BK32" s="0" t="n">
        <f aca="false">AR32+BG32</f>
        <v>0</v>
      </c>
      <c r="BL32" s="0" t="n">
        <f aca="false">AS32+BH32</f>
        <v>12</v>
      </c>
      <c r="BM32" s="0" t="n">
        <f aca="false">IF(BK32=MIN(BK30:BK34),1,0)</f>
        <v>1</v>
      </c>
    </row>
    <row r="33" customFormat="false" ht="13" hidden="false" customHeight="false" outlineLevel="0" collapsed="false">
      <c r="A33" s="0" t="n">
        <v>61</v>
      </c>
      <c r="B33" s="0" t="s">
        <v>4</v>
      </c>
      <c r="C33" s="0" t="s">
        <v>4</v>
      </c>
      <c r="D33" s="0" t="s">
        <v>1</v>
      </c>
      <c r="E33" s="0" t="n">
        <f aca="false">(IF($B33="V",1,0))+IF($C33="V",1,0)+IF($D33="V",1,0)</f>
        <v>1</v>
      </c>
      <c r="F33" s="0" t="n">
        <f aca="false">(IF($B33="E",1,0))+IF($C33="E",1,0)+IF($D33="E",1,0)</f>
        <v>0</v>
      </c>
      <c r="G33" s="0" t="n">
        <f aca="false">(IF($B33="O",1,0))+IF($C33="O",1,0)+IF($D33="O",1,0)</f>
        <v>0</v>
      </c>
      <c r="H33" s="0" t="n">
        <f aca="false">(IF($B33="L",1,0))+IF($C33="L",1,0)+IF($D33="L",1,0)</f>
        <v>2</v>
      </c>
      <c r="I33" s="0" t="n">
        <f aca="false">(IF(B33="V",1,0))</f>
        <v>0</v>
      </c>
      <c r="J33" s="0" t="n">
        <f aca="false">(IF(B33="E",1,0))</f>
        <v>0</v>
      </c>
      <c r="K33" s="0" t="n">
        <f aca="false">(IF(B33="O",1,0))</f>
        <v>0</v>
      </c>
      <c r="L33" s="0" t="n">
        <f aca="false">(IF(B33="L",1,0))</f>
        <v>1</v>
      </c>
      <c r="M33" s="0" t="n">
        <f aca="false">(IF(C33="V",1,0))</f>
        <v>0</v>
      </c>
      <c r="N33" s="0" t="n">
        <f aca="false">(IF(C33="E",1,0))</f>
        <v>0</v>
      </c>
      <c r="O33" s="0" t="n">
        <f aca="false">(IF(C33="O",1,0))</f>
        <v>0</v>
      </c>
      <c r="P33" s="0" t="n">
        <f aca="false">(IF(C33="L",1,0))</f>
        <v>1</v>
      </c>
      <c r="Q33" s="0" t="n">
        <f aca="false">(IF(D33="V",1,0))</f>
        <v>1</v>
      </c>
      <c r="R33" s="0" t="n">
        <f aca="false">(IF(D33="E",1,0))</f>
        <v>0</v>
      </c>
      <c r="S33" s="0" t="n">
        <f aca="false">(IF(D33="O",1,0))</f>
        <v>0</v>
      </c>
      <c r="T33" s="0" t="n">
        <f aca="false">(IF(D33="L",1,0))</f>
        <v>0</v>
      </c>
      <c r="U33" s="0" t="n">
        <f aca="false">MAX(E33-1,0)</f>
        <v>0</v>
      </c>
      <c r="V33" s="0" t="n">
        <f aca="false">MAX(U33-1+F33,0)</f>
        <v>0</v>
      </c>
      <c r="W33" s="0" t="n">
        <f aca="false">MAX(V33-1+G33,0)</f>
        <v>0</v>
      </c>
      <c r="X33" s="0" t="n">
        <f aca="false">MAX(W33-1+H33,0)</f>
        <v>1</v>
      </c>
      <c r="Y33" s="1" t="n">
        <f aca="false">0.5*(E33*I33+F33*J33+G33*K33+H33*L33-1)+(0+$U33*J33+$V33*K33+$W33*L33)</f>
        <v>0.5</v>
      </c>
      <c r="Z33" s="1" t="n">
        <f aca="false">0.5*(E33*M33+F33*N33+G33*O33+H33*P33-1)+(0+$U33*N33+$V33*O33+$W33*P33)</f>
        <v>0.5</v>
      </c>
      <c r="AA33" s="1" t="n">
        <f aca="false">0.5*(E33*Q33+F33*R33+G33*S33+H33*T33-1)+(0+$U33*R33+$V33*S33+$W33*T33)</f>
        <v>0</v>
      </c>
      <c r="AB33" s="0" t="n">
        <f aca="false">IF(B33="V",-2,0)+IF(B33="E",-1,0)+IF(B33="O",0,0)+IF(B33="L",1,0)+Y33</f>
        <v>1.5</v>
      </c>
      <c r="AC33" s="0" t="n">
        <f aca="false">IF(C33="V",-2,0)+IF(C33="E",-1,0)+IF(C33="O",0,0)+IF(C33="L",1,0)+Z33</f>
        <v>1.5</v>
      </c>
      <c r="AD33" s="0" t="n">
        <f aca="false">IF(D33="V",-2,0)+IF(D33="E",-1,0)+IF(D33="O",0,0)+IF(D33="L",1,0)+AA33</f>
        <v>-2</v>
      </c>
      <c r="AE33" s="1" t="n">
        <f aca="false">IF(B33="V",-2,0)+IF(B33="E",-1,0)+IF(B33="O",0,0)+IF(B33="L",1,0)</f>
        <v>1</v>
      </c>
      <c r="AF33" s="1" t="n">
        <f aca="false">IF(B33="V",-2,0)+IF(B33="E",-1,0)+IF(B33="O",0,0)+IF(B33="L",1,0)+Y33</f>
        <v>1.5</v>
      </c>
      <c r="AG33" s="1" t="n">
        <f aca="false">IF(B33="V",-2,0)+IF(B33="E",-1,0)+IF(B33="O",0,0)+IF(B33="L",1,0)+Y33*2</f>
        <v>2</v>
      </c>
      <c r="AH33" s="1" t="n">
        <f aca="false">IF(C33="V",-2,0)+IF(C33="E",-1,0)+IF(C33="O",0,0)+IF(C33="L",1,0)</f>
        <v>1</v>
      </c>
      <c r="AI33" s="1" t="n">
        <f aca="false">IF(C33="V",-2,0)+IF(C33="E",-1,0)+IF(C33="O",0,0)+IF(C33="L",1,0)+Z33</f>
        <v>1.5</v>
      </c>
      <c r="AJ33" s="1" t="n">
        <f aca="false">IF(C33="V",-2,0)+IF(C33="E",-1,0)+IF(C33="O",0,0)+IF(C33="L",1,0)+Z33*2</f>
        <v>2</v>
      </c>
      <c r="AK33" s="1" t="n">
        <f aca="false">IF(D33="V",-2,0)+IF(D33="E",-1,0)+IF(D33="O",0,0)+IF(D33="L",1,0)</f>
        <v>-2</v>
      </c>
      <c r="AL33" s="1" t="n">
        <f aca="false">IF(D33="V",-2,0)+IF(D33="E",-1,0)+IF(D33="O",0,0)+IF(D33="L",1,0)+AA33</f>
        <v>-2</v>
      </c>
      <c r="AM33" s="1" t="n">
        <f aca="false">IF(D33="V",-2,0)+IF(D33="E",-1,0)+IF(D33="O",0,0)+IF(D33="L",1,0)+AA33*2</f>
        <v>-2</v>
      </c>
      <c r="AN33" s="1" t="n">
        <f aca="false">(ABS(IF(AE33&lt;0,AE33*Early,AE33*Late))+ABS(IF(AF33&lt;0,AF33*Early,AF33*Late))+ABS(IF(AG33&lt;0,AG33*Early,AG33*Late)))/3</f>
        <v>6</v>
      </c>
      <c r="AO33" s="1" t="n">
        <f aca="false">(ABS(IF(AH33&lt;0,AH33*Early,AH33*Late))+ABS(IF(AI33&lt;0,AI33*Early,AI33*Late))+ABS(IF(AJ33&lt;0,AJ33*Early,AJ33*Late)))/3</f>
        <v>6</v>
      </c>
      <c r="AP33" s="1" t="n">
        <f aca="false">(ABS(IF(AK33&lt;0,AK33*Early,AK33*Late))+ABS(IF(AL33&lt;0,AL33*Early,AL33*Late))+ABS(IF(AM33&lt;0,AM33*Early,AM33*Late)))/3</f>
        <v>6</v>
      </c>
      <c r="AQ33" s="0" t="n">
        <f aca="false">Y33*Delay+AN33</f>
        <v>6.5</v>
      </c>
      <c r="AR33" s="0" t="n">
        <f aca="false">Z33*Delay+AO33</f>
        <v>6.5</v>
      </c>
      <c r="AS33" s="0" t="n">
        <f aca="false">AA33*Delay+AP33</f>
        <v>6</v>
      </c>
      <c r="AT33" s="0" t="n">
        <f aca="false">IF(AR33=MIN(AR30:AR33),1,0)</f>
        <v>0</v>
      </c>
      <c r="AX33" s="0" t="str">
        <f aca="false">B33&amp;C33&amp;D33</f>
        <v>LLV</v>
      </c>
      <c r="AY33" s="1" t="n">
        <f aca="false">AQ33+AR33+AS33</f>
        <v>19</v>
      </c>
      <c r="AZ33" s="1" t="str">
        <f aca="false">RIGHT(AX33,2)</f>
        <v>LV</v>
      </c>
      <c r="BA33" s="1" t="str">
        <f aca="false">LEFT(AX33,1)&amp;RIGHT(AX33,1)</f>
        <v>LV</v>
      </c>
      <c r="BB33" s="1" t="str">
        <f aca="false">LEFT(AX33,2)</f>
        <v>LL</v>
      </c>
      <c r="BC33" s="1" t="n">
        <f aca="false">VLOOKUP(AZ33,TwoPlayers!$AG$1:$AH$17,2,FALSE())</f>
        <v>10</v>
      </c>
      <c r="BD33" s="1" t="n">
        <f aca="false">VLOOKUP(BA33,TwoPlayers!$AG$1:$AH$17,2,FALSE())</f>
        <v>10</v>
      </c>
      <c r="BE33" s="1" t="n">
        <f aca="false">VLOOKUP(BB33,TwoPlayers!$AG$1:$AH$17,2,FALSE())</f>
        <v>13</v>
      </c>
      <c r="BF33" s="1" t="n">
        <f aca="false">$AY33-BC33</f>
        <v>9</v>
      </c>
      <c r="BG33" s="1" t="n">
        <f aca="false">$AY33-BD33</f>
        <v>9</v>
      </c>
      <c r="BH33" s="1" t="n">
        <f aca="false">$AY33-BE33</f>
        <v>6</v>
      </c>
      <c r="BJ33" s="0" t="n">
        <f aca="false">AQ33+BF33</f>
        <v>15.5</v>
      </c>
      <c r="BK33" s="0" t="n">
        <f aca="false">AR33+BG33</f>
        <v>15.5</v>
      </c>
      <c r="BL33" s="0" t="n">
        <f aca="false">AS33+BH33</f>
        <v>12</v>
      </c>
      <c r="BM33" s="0" t="n">
        <f aca="false">IF(BK33=MIN(BK30:BK34),1,0)</f>
        <v>0</v>
      </c>
    </row>
    <row r="34" customFormat="false" ht="13" hidden="false" customHeight="false" outlineLevel="0" collapsed="false">
      <c r="A34" s="0" t="n">
        <v>34</v>
      </c>
      <c r="B34" s="0" t="s">
        <v>3</v>
      </c>
      <c r="C34" s="0" t="s">
        <v>1</v>
      </c>
      <c r="D34" s="0" t="s">
        <v>2</v>
      </c>
      <c r="E34" s="0" t="n">
        <f aca="false">(IF($B34="V",1,0))+IF($C34="V",1,0)+IF($D34="V",1,0)</f>
        <v>1</v>
      </c>
      <c r="F34" s="0" t="n">
        <f aca="false">(IF($B34="E",1,0))+IF($C34="E",1,0)+IF($D34="E",1,0)</f>
        <v>1</v>
      </c>
      <c r="G34" s="0" t="n">
        <f aca="false">(IF($B34="O",1,0))+IF($C34="O",1,0)+IF($D34="O",1,0)</f>
        <v>1</v>
      </c>
      <c r="H34" s="0" t="n">
        <f aca="false">(IF($B34="L",1,0))+IF($C34="L",1,0)+IF($D34="L",1,0)</f>
        <v>0</v>
      </c>
      <c r="I34" s="0" t="n">
        <f aca="false">(IF(B34="V",1,0))</f>
        <v>0</v>
      </c>
      <c r="J34" s="0" t="n">
        <f aca="false">(IF(B34="E",1,0))</f>
        <v>0</v>
      </c>
      <c r="K34" s="0" t="n">
        <f aca="false">(IF(B34="O",1,0))</f>
        <v>1</v>
      </c>
      <c r="L34" s="0" t="n">
        <f aca="false">(IF(B34="L",1,0))</f>
        <v>0</v>
      </c>
      <c r="M34" s="0" t="n">
        <f aca="false">(IF(C34="V",1,0))</f>
        <v>1</v>
      </c>
      <c r="N34" s="0" t="n">
        <f aca="false">(IF(C34="E",1,0))</f>
        <v>0</v>
      </c>
      <c r="O34" s="0" t="n">
        <f aca="false">(IF(C34="O",1,0))</f>
        <v>0</v>
      </c>
      <c r="P34" s="0" t="n">
        <f aca="false">(IF(C34="L",1,0))</f>
        <v>0</v>
      </c>
      <c r="Q34" s="0" t="n">
        <f aca="false">(IF(D34="V",1,0))</f>
        <v>0</v>
      </c>
      <c r="R34" s="0" t="n">
        <f aca="false">(IF(D34="E",1,0))</f>
        <v>1</v>
      </c>
      <c r="S34" s="0" t="n">
        <f aca="false">(IF(D34="O",1,0))</f>
        <v>0</v>
      </c>
      <c r="T34" s="0" t="n">
        <f aca="false">(IF(D34="L",1,0))</f>
        <v>0</v>
      </c>
      <c r="U34" s="0" t="n">
        <f aca="false">MAX(E34-1,0)</f>
        <v>0</v>
      </c>
      <c r="V34" s="0" t="n">
        <f aca="false">MAX(U34-1+F34,0)</f>
        <v>0</v>
      </c>
      <c r="W34" s="0" t="n">
        <f aca="false">MAX(V34-1+G34,0)</f>
        <v>0</v>
      </c>
      <c r="X34" s="0" t="n">
        <f aca="false">MAX(W34-1+H34,0)</f>
        <v>0</v>
      </c>
      <c r="Y34" s="1" t="n">
        <f aca="false">0.5*(E34*I34+F34*J34+G34*K34+H34*L34-1)+(0+$U34*J34+$V34*K34+$W34*L34)</f>
        <v>0</v>
      </c>
      <c r="Z34" s="1" t="n">
        <f aca="false">0.5*(E34*M34+F34*N34+G34*O34+H34*P34-1)+(0+$U34*N34+$V34*O34+$W34*P34)</f>
        <v>0</v>
      </c>
      <c r="AA34" s="1" t="n">
        <f aca="false">0.5*(E34*Q34+F34*R34+G34*S34+H34*T34-1)+(0+$U34*R34+$V34*S34+$W34*T34)</f>
        <v>0</v>
      </c>
      <c r="AB34" s="0" t="n">
        <f aca="false">IF(B34="V",-2,0)+IF(B34="E",-1,0)+IF(B34="O",0,0)+IF(B34="L",1,0)+Y34</f>
        <v>0</v>
      </c>
      <c r="AC34" s="0" t="n">
        <f aca="false">IF(C34="V",-2,0)+IF(C34="E",-1,0)+IF(C34="O",0,0)+IF(C34="L",1,0)+Z34</f>
        <v>-2</v>
      </c>
      <c r="AD34" s="0" t="n">
        <f aca="false">IF(D34="V",-2,0)+IF(D34="E",-1,0)+IF(D34="O",0,0)+IF(D34="L",1,0)+AA34</f>
        <v>-1</v>
      </c>
      <c r="AE34" s="1" t="n">
        <f aca="false">IF(B34="V",-2,0)+IF(B34="E",-1,0)+IF(B34="O",0,0)+IF(B34="L",1,0)</f>
        <v>0</v>
      </c>
      <c r="AF34" s="1" t="n">
        <f aca="false">IF(B34="V",-2,0)+IF(B34="E",-1,0)+IF(B34="O",0,0)+IF(B34="L",1,0)+Y34</f>
        <v>0</v>
      </c>
      <c r="AG34" s="1" t="n">
        <f aca="false">IF(B34="V",-2,0)+IF(B34="E",-1,0)+IF(B34="O",0,0)+IF(B34="L",1,0)+Y34*2</f>
        <v>0</v>
      </c>
      <c r="AH34" s="1" t="n">
        <f aca="false">IF(C34="V",-2,0)+IF(C34="E",-1,0)+IF(C34="O",0,0)+IF(C34="L",1,0)</f>
        <v>-2</v>
      </c>
      <c r="AI34" s="1" t="n">
        <f aca="false">IF(C34="V",-2,0)+IF(C34="E",-1,0)+IF(C34="O",0,0)+IF(C34="L",1,0)+Z34</f>
        <v>-2</v>
      </c>
      <c r="AJ34" s="1" t="n">
        <f aca="false">IF(C34="V",-2,0)+IF(C34="E",-1,0)+IF(C34="O",0,0)+IF(C34="L",1,0)+Z34*2</f>
        <v>-2</v>
      </c>
      <c r="AK34" s="1" t="n">
        <f aca="false">IF(D34="V",-2,0)+IF(D34="E",-1,0)+IF(D34="O",0,0)+IF(D34="L",1,0)</f>
        <v>-1</v>
      </c>
      <c r="AL34" s="1" t="n">
        <f aca="false">IF(D34="V",-2,0)+IF(D34="E",-1,0)+IF(D34="O",0,0)+IF(D34="L",1,0)+AA34</f>
        <v>-1</v>
      </c>
      <c r="AM34" s="1" t="n">
        <f aca="false">IF(D34="V",-2,0)+IF(D34="E",-1,0)+IF(D34="O",0,0)+IF(D34="L",1,0)+AA34*2</f>
        <v>-1</v>
      </c>
      <c r="AN34" s="1" t="n">
        <f aca="false">(ABS(IF(AE34&lt;0,AE34*Early,AE34*Late))+ABS(IF(AF34&lt;0,AF34*Early,AF34*Late))+ABS(IF(AG34&lt;0,AG34*Early,AG34*Late)))/3</f>
        <v>0</v>
      </c>
      <c r="AO34" s="1" t="n">
        <f aca="false">(ABS(IF(AH34&lt;0,AH34*Early,AH34*Late))+ABS(IF(AI34&lt;0,AI34*Early,AI34*Late))+ABS(IF(AJ34&lt;0,AJ34*Early,AJ34*Late)))/3</f>
        <v>6</v>
      </c>
      <c r="AP34" s="1" t="n">
        <f aca="false">(ABS(IF(AK34&lt;0,AK34*Early,AK34*Late))+ABS(IF(AL34&lt;0,AL34*Early,AL34*Late))+ABS(IF(AM34&lt;0,AM34*Early,AM34*Late)))/3</f>
        <v>3</v>
      </c>
      <c r="AQ34" s="0" t="n">
        <f aca="false">Y34*Delay+AN34</f>
        <v>0</v>
      </c>
      <c r="AR34" s="0" t="n">
        <f aca="false">Z34*Delay+AO34</f>
        <v>6</v>
      </c>
      <c r="AS34" s="0" t="n">
        <f aca="false">AA34*Delay+AP34</f>
        <v>3</v>
      </c>
      <c r="AT34" s="0" t="n">
        <f aca="false">IF(AR34=MIN(AR34:AR37),1,0)</f>
        <v>0</v>
      </c>
      <c r="AX34" s="0" t="str">
        <f aca="false">B34&amp;C34&amp;D34</f>
        <v>OVE</v>
      </c>
      <c r="AY34" s="1" t="n">
        <f aca="false">AQ34+AR34+AS34</f>
        <v>9</v>
      </c>
      <c r="AZ34" s="1" t="str">
        <f aca="false">RIGHT(AX34,2)</f>
        <v>VE</v>
      </c>
      <c r="BA34" s="1" t="str">
        <f aca="false">LEFT(AX34,1)&amp;RIGHT(AX34,1)</f>
        <v>OE</v>
      </c>
      <c r="BB34" s="1" t="str">
        <f aca="false">LEFT(AX34,2)</f>
        <v>OV</v>
      </c>
      <c r="BC34" s="1" t="n">
        <f aca="false">VLOOKUP(AZ34,TwoPlayers!$AG$1:$AH$17,2,FALSE())</f>
        <v>9</v>
      </c>
      <c r="BD34" s="1" t="n">
        <f aca="false">VLOOKUP(BA34,TwoPlayers!$AG$1:$AH$17,2,FALSE())</f>
        <v>3</v>
      </c>
      <c r="BE34" s="1" t="n">
        <f aca="false">VLOOKUP(BB34,TwoPlayers!$AG$1:$AH$17,2,FALSE())</f>
        <v>6</v>
      </c>
      <c r="BF34" s="1" t="n">
        <f aca="false">$AY34-BC34</f>
        <v>0</v>
      </c>
      <c r="BG34" s="1" t="n">
        <f aca="false">$AY34-BD34</f>
        <v>6</v>
      </c>
      <c r="BH34" s="1" t="n">
        <f aca="false">$AY34-BE34</f>
        <v>3</v>
      </c>
      <c r="BJ34" s="0" t="n">
        <f aca="false">AQ34+BF34</f>
        <v>0</v>
      </c>
      <c r="BK34" s="0" t="n">
        <f aca="false">AR34+BG34</f>
        <v>12</v>
      </c>
      <c r="BL34" s="0" t="n">
        <f aca="false">AS34+BH34</f>
        <v>6</v>
      </c>
      <c r="BM34" s="0" t="n">
        <f aca="false">IF(BK34=MIN(BK34:BK38),1,0)</f>
        <v>0</v>
      </c>
    </row>
    <row r="35" customFormat="false" ht="13" hidden="false" customHeight="false" outlineLevel="0" collapsed="false">
      <c r="A35" s="0" t="n">
        <v>38</v>
      </c>
      <c r="B35" s="0" t="s">
        <v>3</v>
      </c>
      <c r="C35" s="0" t="s">
        <v>2</v>
      </c>
      <c r="D35" s="0" t="s">
        <v>2</v>
      </c>
      <c r="E35" s="0" t="n">
        <f aca="false">(IF($B35="V",1,0))+IF($C35="V",1,0)+IF($D35="V",1,0)</f>
        <v>0</v>
      </c>
      <c r="F35" s="0" t="n">
        <f aca="false">(IF($B35="E",1,0))+IF($C35="E",1,0)+IF($D35="E",1,0)</f>
        <v>2</v>
      </c>
      <c r="G35" s="0" t="n">
        <f aca="false">(IF($B35="O",1,0))+IF($C35="O",1,0)+IF($D35="O",1,0)</f>
        <v>1</v>
      </c>
      <c r="H35" s="0" t="n">
        <f aca="false">(IF($B35="L",1,0))+IF($C35="L",1,0)+IF($D35="L",1,0)</f>
        <v>0</v>
      </c>
      <c r="I35" s="0" t="n">
        <f aca="false">(IF(B35="V",1,0))</f>
        <v>0</v>
      </c>
      <c r="J35" s="0" t="n">
        <f aca="false">(IF(B35="E",1,0))</f>
        <v>0</v>
      </c>
      <c r="K35" s="0" t="n">
        <f aca="false">(IF(B35="O",1,0))</f>
        <v>1</v>
      </c>
      <c r="L35" s="0" t="n">
        <f aca="false">(IF(B35="L",1,0))</f>
        <v>0</v>
      </c>
      <c r="M35" s="0" t="n">
        <f aca="false">(IF(C35="V",1,0))</f>
        <v>0</v>
      </c>
      <c r="N35" s="0" t="n">
        <f aca="false">(IF(C35="E",1,0))</f>
        <v>1</v>
      </c>
      <c r="O35" s="0" t="n">
        <f aca="false">(IF(C35="O",1,0))</f>
        <v>0</v>
      </c>
      <c r="P35" s="0" t="n">
        <f aca="false">(IF(C35="L",1,0))</f>
        <v>0</v>
      </c>
      <c r="Q35" s="0" t="n">
        <f aca="false">(IF(D35="V",1,0))</f>
        <v>0</v>
      </c>
      <c r="R35" s="0" t="n">
        <f aca="false">(IF(D35="E",1,0))</f>
        <v>1</v>
      </c>
      <c r="S35" s="0" t="n">
        <f aca="false">(IF(D35="O",1,0))</f>
        <v>0</v>
      </c>
      <c r="T35" s="0" t="n">
        <f aca="false">(IF(D35="L",1,0))</f>
        <v>0</v>
      </c>
      <c r="U35" s="0" t="n">
        <f aca="false">MAX(E35-1,0)</f>
        <v>0</v>
      </c>
      <c r="V35" s="0" t="n">
        <f aca="false">MAX(U35-1+F35,0)</f>
        <v>1</v>
      </c>
      <c r="W35" s="0" t="n">
        <f aca="false">MAX(V35-1+G35,0)</f>
        <v>1</v>
      </c>
      <c r="X35" s="0" t="n">
        <f aca="false">MAX(W35-1+H35,0)</f>
        <v>0</v>
      </c>
      <c r="Y35" s="1" t="n">
        <f aca="false">0.5*(E35*I35+F35*J35+G35*K35+H35*L35-1)+(0+$U35*J35+$V35*K35+$W35*L35)</f>
        <v>1</v>
      </c>
      <c r="Z35" s="1" t="n">
        <f aca="false">0.5*(E35*M35+F35*N35+G35*O35+H35*P35-1)+(0+$U35*N35+$V35*O35+$W35*P35)</f>
        <v>0.5</v>
      </c>
      <c r="AA35" s="1" t="n">
        <f aca="false">0.5*(E35*Q35+F35*R35+G35*S35+H35*T35-1)+(0+$U35*R35+$V35*S35+$W35*T35)</f>
        <v>0.5</v>
      </c>
      <c r="AB35" s="0" t="n">
        <f aca="false">IF(B35="V",-2,0)+IF(B35="E",-1,0)+IF(B35="O",0,0)+IF(B35="L",1,0)+Y35</f>
        <v>1</v>
      </c>
      <c r="AC35" s="0" t="n">
        <f aca="false">IF(C35="V",-2,0)+IF(C35="E",-1,0)+IF(C35="O",0,0)+IF(C35="L",1,0)+Z35</f>
        <v>-0.5</v>
      </c>
      <c r="AD35" s="0" t="n">
        <f aca="false">IF(D35="V",-2,0)+IF(D35="E",-1,0)+IF(D35="O",0,0)+IF(D35="L",1,0)+AA35</f>
        <v>-0.5</v>
      </c>
      <c r="AE35" s="1" t="n">
        <f aca="false">IF(B35="V",-2,0)+IF(B35="E",-1,0)+IF(B35="O",0,0)+IF(B35="L",1,0)</f>
        <v>0</v>
      </c>
      <c r="AF35" s="1" t="n">
        <f aca="false">IF(B35="V",-2,0)+IF(B35="E",-1,0)+IF(B35="O",0,0)+IF(B35="L",1,0)+Y35</f>
        <v>1</v>
      </c>
      <c r="AG35" s="1" t="n">
        <f aca="false">IF(B35="V",-2,0)+IF(B35="E",-1,0)+IF(B35="O",0,0)+IF(B35="L",1,0)+Y35*2</f>
        <v>2</v>
      </c>
      <c r="AH35" s="1" t="n">
        <f aca="false">IF(C35="V",-2,0)+IF(C35="E",-1,0)+IF(C35="O",0,0)+IF(C35="L",1,0)</f>
        <v>-1</v>
      </c>
      <c r="AI35" s="1" t="n">
        <f aca="false">IF(C35="V",-2,0)+IF(C35="E",-1,0)+IF(C35="O",0,0)+IF(C35="L",1,0)+Z35</f>
        <v>-0.5</v>
      </c>
      <c r="AJ35" s="1" t="n">
        <f aca="false">IF(C35="V",-2,0)+IF(C35="E",-1,0)+IF(C35="O",0,0)+IF(C35="L",1,0)+Z35*2</f>
        <v>0</v>
      </c>
      <c r="AK35" s="1" t="n">
        <f aca="false">IF(D35="V",-2,0)+IF(D35="E",-1,0)+IF(D35="O",0,0)+IF(D35="L",1,0)</f>
        <v>-1</v>
      </c>
      <c r="AL35" s="1" t="n">
        <f aca="false">IF(D35="V",-2,0)+IF(D35="E",-1,0)+IF(D35="O",0,0)+IF(D35="L",1,0)+AA35</f>
        <v>-0.5</v>
      </c>
      <c r="AM35" s="1" t="n">
        <f aca="false">IF(D35="V",-2,0)+IF(D35="E",-1,0)+IF(D35="O",0,0)+IF(D35="L",1,0)+AA35*2</f>
        <v>0</v>
      </c>
      <c r="AN35" s="1" t="n">
        <f aca="false">(ABS(IF(AE35&lt;0,AE35*Early,AE35*Late))+ABS(IF(AF35&lt;0,AF35*Early,AF35*Late))+ABS(IF(AG35&lt;0,AG35*Early,AG35*Late)))/3</f>
        <v>4</v>
      </c>
      <c r="AO35" s="1" t="n">
        <f aca="false">(ABS(IF(AH35&lt;0,AH35*Early,AH35*Late))+ABS(IF(AI35&lt;0,AI35*Early,AI35*Late))+ABS(IF(AJ35&lt;0,AJ35*Early,AJ35*Late)))/3</f>
        <v>1.5</v>
      </c>
      <c r="AP35" s="1" t="n">
        <f aca="false">(ABS(IF(AK35&lt;0,AK35*Early,AK35*Late))+ABS(IF(AL35&lt;0,AL35*Early,AL35*Late))+ABS(IF(AM35&lt;0,AM35*Early,AM35*Late)))/3</f>
        <v>1.5</v>
      </c>
      <c r="AQ35" s="0" t="n">
        <f aca="false">Y35*Delay+AN35</f>
        <v>5</v>
      </c>
      <c r="AR35" s="0" t="n">
        <f aca="false">Z35*Delay+AO35</f>
        <v>2</v>
      </c>
      <c r="AS35" s="0" t="n">
        <f aca="false">AA35*Delay+AP35</f>
        <v>2</v>
      </c>
      <c r="AT35" s="0" t="n">
        <f aca="false">IF(AR35=MIN(AR34:AR37),1,0)</f>
        <v>1</v>
      </c>
      <c r="AX35" s="0" t="str">
        <f aca="false">B35&amp;C35&amp;D35</f>
        <v>OEE</v>
      </c>
      <c r="AY35" s="1" t="n">
        <f aca="false">AQ35+AR35+AS35</f>
        <v>9</v>
      </c>
      <c r="AZ35" s="1" t="str">
        <f aca="false">RIGHT(AX35,2)</f>
        <v>EE</v>
      </c>
      <c r="BA35" s="1" t="str">
        <f aca="false">LEFT(AX35,1)&amp;RIGHT(AX35,1)</f>
        <v>OE</v>
      </c>
      <c r="BB35" s="1" t="str">
        <f aca="false">LEFT(AX35,2)</f>
        <v>OE</v>
      </c>
      <c r="BC35" s="1" t="n">
        <f aca="false">VLOOKUP(AZ35,TwoPlayers!$AG$1:$AH$17,2,FALSE())</f>
        <v>4</v>
      </c>
      <c r="BD35" s="1" t="n">
        <f aca="false">VLOOKUP(BA35,TwoPlayers!$AG$1:$AH$17,2,FALSE())</f>
        <v>3</v>
      </c>
      <c r="BE35" s="1" t="n">
        <f aca="false">VLOOKUP(BB35,TwoPlayers!$AG$1:$AH$17,2,FALSE())</f>
        <v>3</v>
      </c>
      <c r="BF35" s="1" t="n">
        <f aca="false">$AY35-BC35</f>
        <v>5</v>
      </c>
      <c r="BG35" s="1" t="n">
        <f aca="false">$AY35-BD35</f>
        <v>6</v>
      </c>
      <c r="BH35" s="1" t="n">
        <f aca="false">$AY35-BE35</f>
        <v>6</v>
      </c>
      <c r="BJ35" s="0" t="n">
        <f aca="false">AQ35+BF35</f>
        <v>10</v>
      </c>
      <c r="BK35" s="0" t="n">
        <f aca="false">AR35+BG35</f>
        <v>8</v>
      </c>
      <c r="BL35" s="0" t="n">
        <f aca="false">AS35+BH35</f>
        <v>8</v>
      </c>
      <c r="BM35" s="0" t="n">
        <f aca="false">IF(BK35=MIN(BK34:BK38),1,0)</f>
        <v>0</v>
      </c>
    </row>
    <row r="36" customFormat="false" ht="13" hidden="false" customHeight="false" outlineLevel="0" collapsed="false">
      <c r="A36" s="0" t="n">
        <v>42</v>
      </c>
      <c r="B36" s="0" t="s">
        <v>3</v>
      </c>
      <c r="C36" s="0" t="s">
        <v>3</v>
      </c>
      <c r="D36" s="0" t="s">
        <v>2</v>
      </c>
      <c r="E36" s="0" t="n">
        <f aca="false">(IF($B36="V",1,0))+IF($C36="V",1,0)+IF($D36="V",1,0)</f>
        <v>0</v>
      </c>
      <c r="F36" s="0" t="n">
        <f aca="false">(IF($B36="E",1,0))+IF($C36="E",1,0)+IF($D36="E",1,0)</f>
        <v>1</v>
      </c>
      <c r="G36" s="0" t="n">
        <f aca="false">(IF($B36="O",1,0))+IF($C36="O",1,0)+IF($D36="O",1,0)</f>
        <v>2</v>
      </c>
      <c r="H36" s="0" t="n">
        <f aca="false">(IF($B36="L",1,0))+IF($C36="L",1,0)+IF($D36="L",1,0)</f>
        <v>0</v>
      </c>
      <c r="I36" s="0" t="n">
        <f aca="false">(IF(B36="V",1,0))</f>
        <v>0</v>
      </c>
      <c r="J36" s="0" t="n">
        <f aca="false">(IF(B36="E",1,0))</f>
        <v>0</v>
      </c>
      <c r="K36" s="0" t="n">
        <f aca="false">(IF(B36="O",1,0))</f>
        <v>1</v>
      </c>
      <c r="L36" s="0" t="n">
        <f aca="false">(IF(B36="L",1,0))</f>
        <v>0</v>
      </c>
      <c r="M36" s="0" t="n">
        <f aca="false">(IF(C36="V",1,0))</f>
        <v>0</v>
      </c>
      <c r="N36" s="0" t="n">
        <f aca="false">(IF(C36="E",1,0))</f>
        <v>0</v>
      </c>
      <c r="O36" s="0" t="n">
        <f aca="false">(IF(C36="O",1,0))</f>
        <v>1</v>
      </c>
      <c r="P36" s="0" t="n">
        <f aca="false">(IF(C36="L",1,0))</f>
        <v>0</v>
      </c>
      <c r="Q36" s="0" t="n">
        <f aca="false">(IF(D36="V",1,0))</f>
        <v>0</v>
      </c>
      <c r="R36" s="0" t="n">
        <f aca="false">(IF(D36="E",1,0))</f>
        <v>1</v>
      </c>
      <c r="S36" s="0" t="n">
        <f aca="false">(IF(D36="O",1,0))</f>
        <v>0</v>
      </c>
      <c r="T36" s="0" t="n">
        <f aca="false">(IF(D36="L",1,0))</f>
        <v>0</v>
      </c>
      <c r="U36" s="0" t="n">
        <f aca="false">MAX(E36-1,0)</f>
        <v>0</v>
      </c>
      <c r="V36" s="0" t="n">
        <f aca="false">MAX(U36-1+F36,0)</f>
        <v>0</v>
      </c>
      <c r="W36" s="0" t="n">
        <f aca="false">MAX(V36-1+G36,0)</f>
        <v>1</v>
      </c>
      <c r="X36" s="0" t="n">
        <f aca="false">MAX(W36-1+H36,0)</f>
        <v>0</v>
      </c>
      <c r="Y36" s="1" t="n">
        <f aca="false">0.5*(E36*I36+F36*J36+G36*K36+H36*L36-1)+(0+$U36*J36+$V36*K36+$W36*L36)</f>
        <v>0.5</v>
      </c>
      <c r="Z36" s="1" t="n">
        <f aca="false">0.5*(E36*M36+F36*N36+G36*O36+H36*P36-1)+(0+$U36*N36+$V36*O36+$W36*P36)</f>
        <v>0.5</v>
      </c>
      <c r="AA36" s="1" t="n">
        <f aca="false">0.5*(E36*Q36+F36*R36+G36*S36+H36*T36-1)+(0+$U36*R36+$V36*S36+$W36*T36)</f>
        <v>0</v>
      </c>
      <c r="AB36" s="0" t="n">
        <f aca="false">IF(B36="V",-2,0)+IF(B36="E",-1,0)+IF(B36="O",0,0)+IF(B36="L",1,0)+Y36</f>
        <v>0.5</v>
      </c>
      <c r="AC36" s="0" t="n">
        <f aca="false">IF(C36="V",-2,0)+IF(C36="E",-1,0)+IF(C36="O",0,0)+IF(C36="L",1,0)+Z36</f>
        <v>0.5</v>
      </c>
      <c r="AD36" s="0" t="n">
        <f aca="false">IF(D36="V",-2,0)+IF(D36="E",-1,0)+IF(D36="O",0,0)+IF(D36="L",1,0)+AA36</f>
        <v>-1</v>
      </c>
      <c r="AE36" s="1" t="n">
        <f aca="false">IF(B36="V",-2,0)+IF(B36="E",-1,0)+IF(B36="O",0,0)+IF(B36="L",1,0)</f>
        <v>0</v>
      </c>
      <c r="AF36" s="1" t="n">
        <f aca="false">IF(B36="V",-2,0)+IF(B36="E",-1,0)+IF(B36="O",0,0)+IF(B36="L",1,0)+Y36</f>
        <v>0.5</v>
      </c>
      <c r="AG36" s="1" t="n">
        <f aca="false">IF(B36="V",-2,0)+IF(B36="E",-1,0)+IF(B36="O",0,0)+IF(B36="L",1,0)+Y36*2</f>
        <v>1</v>
      </c>
      <c r="AH36" s="1" t="n">
        <f aca="false">IF(C36="V",-2,0)+IF(C36="E",-1,0)+IF(C36="O",0,0)+IF(C36="L",1,0)</f>
        <v>0</v>
      </c>
      <c r="AI36" s="1" t="n">
        <f aca="false">IF(C36="V",-2,0)+IF(C36="E",-1,0)+IF(C36="O",0,0)+IF(C36="L",1,0)+Z36</f>
        <v>0.5</v>
      </c>
      <c r="AJ36" s="1" t="n">
        <f aca="false">IF(C36="V",-2,0)+IF(C36="E",-1,0)+IF(C36="O",0,0)+IF(C36="L",1,0)+Z36*2</f>
        <v>1</v>
      </c>
      <c r="AK36" s="1" t="n">
        <f aca="false">IF(D36="V",-2,0)+IF(D36="E",-1,0)+IF(D36="O",0,0)+IF(D36="L",1,0)</f>
        <v>-1</v>
      </c>
      <c r="AL36" s="1" t="n">
        <f aca="false">IF(D36="V",-2,0)+IF(D36="E",-1,0)+IF(D36="O",0,0)+IF(D36="L",1,0)+AA36</f>
        <v>-1</v>
      </c>
      <c r="AM36" s="1" t="n">
        <f aca="false">IF(D36="V",-2,0)+IF(D36="E",-1,0)+IF(D36="O",0,0)+IF(D36="L",1,0)+AA36*2</f>
        <v>-1</v>
      </c>
      <c r="AN36" s="1" t="n">
        <f aca="false">(ABS(IF(AE36&lt;0,AE36*Early,AE36*Late))+ABS(IF(AF36&lt;0,AF36*Early,AF36*Late))+ABS(IF(AG36&lt;0,AG36*Early,AG36*Late)))/3</f>
        <v>2</v>
      </c>
      <c r="AO36" s="1" t="n">
        <f aca="false">(ABS(IF(AH36&lt;0,AH36*Early,AH36*Late))+ABS(IF(AI36&lt;0,AI36*Early,AI36*Late))+ABS(IF(AJ36&lt;0,AJ36*Early,AJ36*Late)))/3</f>
        <v>2</v>
      </c>
      <c r="AP36" s="1" t="n">
        <f aca="false">(ABS(IF(AK36&lt;0,AK36*Early,AK36*Late))+ABS(IF(AL36&lt;0,AL36*Early,AL36*Late))+ABS(IF(AM36&lt;0,AM36*Early,AM36*Late)))/3</f>
        <v>3</v>
      </c>
      <c r="AQ36" s="0" t="n">
        <f aca="false">Y36*Delay+AN36</f>
        <v>2.5</v>
      </c>
      <c r="AR36" s="0" t="n">
        <f aca="false">Z36*Delay+AO36</f>
        <v>2.5</v>
      </c>
      <c r="AS36" s="0" t="n">
        <f aca="false">AA36*Delay+AP36</f>
        <v>3</v>
      </c>
      <c r="AT36" s="0" t="n">
        <f aca="false">IF(AR36=MIN(AR34:AR37),1,0)</f>
        <v>0</v>
      </c>
      <c r="AX36" s="0" t="str">
        <f aca="false">B36&amp;C36&amp;D36</f>
        <v>OOE</v>
      </c>
      <c r="AY36" s="1" t="n">
        <f aca="false">AQ36+AR36+AS36</f>
        <v>8</v>
      </c>
      <c r="AZ36" s="1" t="str">
        <f aca="false">RIGHT(AX36,2)</f>
        <v>OE</v>
      </c>
      <c r="BA36" s="1" t="str">
        <f aca="false">LEFT(AX36,1)&amp;RIGHT(AX36,1)</f>
        <v>OE</v>
      </c>
      <c r="BB36" s="1" t="str">
        <f aca="false">LEFT(AX36,2)</f>
        <v>OO</v>
      </c>
      <c r="BC36" s="1" t="n">
        <f aca="false">VLOOKUP(AZ36,TwoPlayers!$AG$1:$AH$17,2,FALSE())</f>
        <v>3</v>
      </c>
      <c r="BD36" s="1" t="n">
        <f aca="false">VLOOKUP(BA36,TwoPlayers!$AG$1:$AH$17,2,FALSE())</f>
        <v>3</v>
      </c>
      <c r="BE36" s="1" t="n">
        <f aca="false">VLOOKUP(BB36,TwoPlayers!$AG$1:$AH$17,2,FALSE())</f>
        <v>5</v>
      </c>
      <c r="BF36" s="1" t="n">
        <f aca="false">$AY36-BC36</f>
        <v>5</v>
      </c>
      <c r="BG36" s="1" t="n">
        <f aca="false">$AY36-BD36</f>
        <v>5</v>
      </c>
      <c r="BH36" s="1" t="n">
        <f aca="false">$AY36-BE36</f>
        <v>3</v>
      </c>
      <c r="BJ36" s="0" t="n">
        <f aca="false">AQ36+BF36</f>
        <v>7.5</v>
      </c>
      <c r="BK36" s="0" t="n">
        <f aca="false">AR36+BG36</f>
        <v>7.5</v>
      </c>
      <c r="BL36" s="0" t="n">
        <f aca="false">AS36+BH36</f>
        <v>6</v>
      </c>
      <c r="BM36" s="0" t="n">
        <f aca="false">IF(BK36=MIN(BK34:BK38),1,0)</f>
        <v>1</v>
      </c>
    </row>
    <row r="37" customFormat="false" ht="13" hidden="false" customHeight="false" outlineLevel="0" collapsed="false">
      <c r="A37" s="0" t="n">
        <v>46</v>
      </c>
      <c r="B37" s="0" t="s">
        <v>3</v>
      </c>
      <c r="C37" s="0" t="s">
        <v>4</v>
      </c>
      <c r="D37" s="0" t="s">
        <v>2</v>
      </c>
      <c r="E37" s="0" t="n">
        <f aca="false">(IF($B37="V",1,0))+IF($C37="V",1,0)+IF($D37="V",1,0)</f>
        <v>0</v>
      </c>
      <c r="F37" s="0" t="n">
        <f aca="false">(IF($B37="E",1,0))+IF($C37="E",1,0)+IF($D37="E",1,0)</f>
        <v>1</v>
      </c>
      <c r="G37" s="0" t="n">
        <f aca="false">(IF($B37="O",1,0))+IF($C37="O",1,0)+IF($D37="O",1,0)</f>
        <v>1</v>
      </c>
      <c r="H37" s="0" t="n">
        <f aca="false">(IF($B37="L",1,0))+IF($C37="L",1,0)+IF($D37="L",1,0)</f>
        <v>1</v>
      </c>
      <c r="I37" s="0" t="n">
        <f aca="false">(IF(B37="V",1,0))</f>
        <v>0</v>
      </c>
      <c r="J37" s="0" t="n">
        <f aca="false">(IF(B37="E",1,0))</f>
        <v>0</v>
      </c>
      <c r="K37" s="0" t="n">
        <f aca="false">(IF(B37="O",1,0))</f>
        <v>1</v>
      </c>
      <c r="L37" s="0" t="n">
        <f aca="false">(IF(B37="L",1,0))</f>
        <v>0</v>
      </c>
      <c r="M37" s="0" t="n">
        <f aca="false">(IF(C37="V",1,0))</f>
        <v>0</v>
      </c>
      <c r="N37" s="0" t="n">
        <f aca="false">(IF(C37="E",1,0))</f>
        <v>0</v>
      </c>
      <c r="O37" s="0" t="n">
        <f aca="false">(IF(C37="O",1,0))</f>
        <v>0</v>
      </c>
      <c r="P37" s="0" t="n">
        <f aca="false">(IF(C37="L",1,0))</f>
        <v>1</v>
      </c>
      <c r="Q37" s="0" t="n">
        <f aca="false">(IF(D37="V",1,0))</f>
        <v>0</v>
      </c>
      <c r="R37" s="0" t="n">
        <f aca="false">(IF(D37="E",1,0))</f>
        <v>1</v>
      </c>
      <c r="S37" s="0" t="n">
        <f aca="false">(IF(D37="O",1,0))</f>
        <v>0</v>
      </c>
      <c r="T37" s="0" t="n">
        <f aca="false">(IF(D37="L",1,0))</f>
        <v>0</v>
      </c>
      <c r="U37" s="0" t="n">
        <f aca="false">MAX(E37-1,0)</f>
        <v>0</v>
      </c>
      <c r="V37" s="0" t="n">
        <f aca="false">MAX(U37-1+F37,0)</f>
        <v>0</v>
      </c>
      <c r="W37" s="0" t="n">
        <f aca="false">MAX(V37-1+G37,0)</f>
        <v>0</v>
      </c>
      <c r="X37" s="0" t="n">
        <f aca="false">MAX(W37-1+H37,0)</f>
        <v>0</v>
      </c>
      <c r="Y37" s="1" t="n">
        <f aca="false">0.5*(E37*I37+F37*J37+G37*K37+H37*L37-1)+(0+$U37*J37+$V37*K37+$W37*L37)</f>
        <v>0</v>
      </c>
      <c r="Z37" s="1" t="n">
        <f aca="false">0.5*(E37*M37+F37*N37+G37*O37+H37*P37-1)+(0+$U37*N37+$V37*O37+$W37*P37)</f>
        <v>0</v>
      </c>
      <c r="AA37" s="1" t="n">
        <f aca="false">0.5*(E37*Q37+F37*R37+G37*S37+H37*T37-1)+(0+$U37*R37+$V37*S37+$W37*T37)</f>
        <v>0</v>
      </c>
      <c r="AB37" s="0" t="n">
        <f aca="false">IF(B37="V",-2,0)+IF(B37="E",-1,0)+IF(B37="O",0,0)+IF(B37="L",1,0)+Y37</f>
        <v>0</v>
      </c>
      <c r="AC37" s="0" t="n">
        <f aca="false">IF(C37="V",-2,0)+IF(C37="E",-1,0)+IF(C37="O",0,0)+IF(C37="L",1,0)+Z37</f>
        <v>1</v>
      </c>
      <c r="AD37" s="0" t="n">
        <f aca="false">IF(D37="V",-2,0)+IF(D37="E",-1,0)+IF(D37="O",0,0)+IF(D37="L",1,0)+AA37</f>
        <v>-1</v>
      </c>
      <c r="AE37" s="1" t="n">
        <f aca="false">IF(B37="V",-2,0)+IF(B37="E",-1,0)+IF(B37="O",0,0)+IF(B37="L",1,0)</f>
        <v>0</v>
      </c>
      <c r="AF37" s="1" t="n">
        <f aca="false">IF(B37="V",-2,0)+IF(B37="E",-1,0)+IF(B37="O",0,0)+IF(B37="L",1,0)+Y37</f>
        <v>0</v>
      </c>
      <c r="AG37" s="1" t="n">
        <f aca="false">IF(B37="V",-2,0)+IF(B37="E",-1,0)+IF(B37="O",0,0)+IF(B37="L",1,0)+Y37*2</f>
        <v>0</v>
      </c>
      <c r="AH37" s="1" t="n">
        <f aca="false">IF(C37="V",-2,0)+IF(C37="E",-1,0)+IF(C37="O",0,0)+IF(C37="L",1,0)</f>
        <v>1</v>
      </c>
      <c r="AI37" s="1" t="n">
        <f aca="false">IF(C37="V",-2,0)+IF(C37="E",-1,0)+IF(C37="O",0,0)+IF(C37="L",1,0)+Z37</f>
        <v>1</v>
      </c>
      <c r="AJ37" s="1" t="n">
        <f aca="false">IF(C37="V",-2,0)+IF(C37="E",-1,0)+IF(C37="O",0,0)+IF(C37="L",1,0)+Z37*2</f>
        <v>1</v>
      </c>
      <c r="AK37" s="1" t="n">
        <f aca="false">IF(D37="V",-2,0)+IF(D37="E",-1,0)+IF(D37="O",0,0)+IF(D37="L",1,0)</f>
        <v>-1</v>
      </c>
      <c r="AL37" s="1" t="n">
        <f aca="false">IF(D37="V",-2,0)+IF(D37="E",-1,0)+IF(D37="O",0,0)+IF(D37="L",1,0)+AA37</f>
        <v>-1</v>
      </c>
      <c r="AM37" s="1" t="n">
        <f aca="false">IF(D37="V",-2,0)+IF(D37="E",-1,0)+IF(D37="O",0,0)+IF(D37="L",1,0)+AA37*2</f>
        <v>-1</v>
      </c>
      <c r="AN37" s="1" t="n">
        <f aca="false">(ABS(IF(AE37&lt;0,AE37*Early,AE37*Late))+ABS(IF(AF37&lt;0,AF37*Early,AF37*Late))+ABS(IF(AG37&lt;0,AG37*Early,AG37*Late)))/3</f>
        <v>0</v>
      </c>
      <c r="AO37" s="1" t="n">
        <f aca="false">(ABS(IF(AH37&lt;0,AH37*Early,AH37*Late))+ABS(IF(AI37&lt;0,AI37*Early,AI37*Late))+ABS(IF(AJ37&lt;0,AJ37*Early,AJ37*Late)))/3</f>
        <v>4</v>
      </c>
      <c r="AP37" s="1" t="n">
        <f aca="false">(ABS(IF(AK37&lt;0,AK37*Early,AK37*Late))+ABS(IF(AL37&lt;0,AL37*Early,AL37*Late))+ABS(IF(AM37&lt;0,AM37*Early,AM37*Late)))/3</f>
        <v>3</v>
      </c>
      <c r="AQ37" s="0" t="n">
        <f aca="false">Y37*Delay+AN37</f>
        <v>0</v>
      </c>
      <c r="AR37" s="0" t="n">
        <f aca="false">Z37*Delay+AO37</f>
        <v>4</v>
      </c>
      <c r="AS37" s="0" t="n">
        <f aca="false">AA37*Delay+AP37</f>
        <v>3</v>
      </c>
      <c r="AT37" s="0" t="n">
        <f aca="false">IF(AR37=MIN(AR34:AR37),1,0)</f>
        <v>0</v>
      </c>
      <c r="AX37" s="0" t="str">
        <f aca="false">B37&amp;C37&amp;D37</f>
        <v>OLE</v>
      </c>
      <c r="AY37" s="1" t="n">
        <f aca="false">AQ37+AR37+AS37</f>
        <v>7</v>
      </c>
      <c r="AZ37" s="1" t="str">
        <f aca="false">RIGHT(AX37,2)</f>
        <v>LE</v>
      </c>
      <c r="BA37" s="1" t="str">
        <f aca="false">LEFT(AX37,1)&amp;RIGHT(AX37,1)</f>
        <v>OE</v>
      </c>
      <c r="BB37" s="1" t="str">
        <f aca="false">LEFT(AX37,2)</f>
        <v>OL</v>
      </c>
      <c r="BC37" s="1" t="n">
        <f aca="false">VLOOKUP(AZ37,TwoPlayers!$AG$1:$AH$17,2,FALSE())</f>
        <v>7</v>
      </c>
      <c r="BD37" s="1" t="n">
        <f aca="false">VLOOKUP(BA37,TwoPlayers!$AG$1:$AH$17,2,FALSE())</f>
        <v>3</v>
      </c>
      <c r="BE37" s="1" t="n">
        <f aca="false">VLOOKUP(BB37,TwoPlayers!$AG$1:$AH$17,2,FALSE())</f>
        <v>4</v>
      </c>
      <c r="BF37" s="1" t="n">
        <f aca="false">$AY37-BC37</f>
        <v>0</v>
      </c>
      <c r="BG37" s="1" t="n">
        <f aca="false">$AY37-BD37</f>
        <v>4</v>
      </c>
      <c r="BH37" s="1" t="n">
        <f aca="false">$AY37-BE37</f>
        <v>3</v>
      </c>
      <c r="BJ37" s="0" t="n">
        <f aca="false">AQ37+BF37</f>
        <v>0</v>
      </c>
      <c r="BK37" s="0" t="n">
        <f aca="false">AR37+BG37</f>
        <v>8</v>
      </c>
      <c r="BL37" s="0" t="n">
        <f aca="false">AS37+BH37</f>
        <v>6</v>
      </c>
      <c r="BM37" s="0" t="n">
        <f aca="false">IF(BK37=MIN(BK34:BK38),1,0)</f>
        <v>0</v>
      </c>
    </row>
    <row r="38" customFormat="false" ht="13" hidden="false" customHeight="false" outlineLevel="0" collapsed="false">
      <c r="A38" s="0" t="n">
        <v>36</v>
      </c>
      <c r="B38" s="0" t="s">
        <v>3</v>
      </c>
      <c r="C38" s="0" t="s">
        <v>1</v>
      </c>
      <c r="D38" s="0" t="s">
        <v>4</v>
      </c>
      <c r="E38" s="0" t="n">
        <f aca="false">(IF($B38="V",1,0))+IF($C38="V",1,0)+IF($D38="V",1,0)</f>
        <v>1</v>
      </c>
      <c r="F38" s="0" t="n">
        <f aca="false">(IF($B38="E",1,0))+IF($C38="E",1,0)+IF($D38="E",1,0)</f>
        <v>0</v>
      </c>
      <c r="G38" s="0" t="n">
        <f aca="false">(IF($B38="O",1,0))+IF($C38="O",1,0)+IF($D38="O",1,0)</f>
        <v>1</v>
      </c>
      <c r="H38" s="0" t="n">
        <f aca="false">(IF($B38="L",1,0))+IF($C38="L",1,0)+IF($D38="L",1,0)</f>
        <v>1</v>
      </c>
      <c r="I38" s="0" t="n">
        <f aca="false">(IF(B38="V",1,0))</f>
        <v>0</v>
      </c>
      <c r="J38" s="0" t="n">
        <f aca="false">(IF(B38="E",1,0))</f>
        <v>0</v>
      </c>
      <c r="K38" s="0" t="n">
        <f aca="false">(IF(B38="O",1,0))</f>
        <v>1</v>
      </c>
      <c r="L38" s="0" t="n">
        <f aca="false">(IF(B38="L",1,0))</f>
        <v>0</v>
      </c>
      <c r="M38" s="0" t="n">
        <f aca="false">(IF(C38="V",1,0))</f>
        <v>1</v>
      </c>
      <c r="N38" s="0" t="n">
        <f aca="false">(IF(C38="E",1,0))</f>
        <v>0</v>
      </c>
      <c r="O38" s="0" t="n">
        <f aca="false">(IF(C38="O",1,0))</f>
        <v>0</v>
      </c>
      <c r="P38" s="0" t="n">
        <f aca="false">(IF(C38="L",1,0))</f>
        <v>0</v>
      </c>
      <c r="Q38" s="0" t="n">
        <f aca="false">(IF(D38="V",1,0))</f>
        <v>0</v>
      </c>
      <c r="R38" s="0" t="n">
        <f aca="false">(IF(D38="E",1,0))</f>
        <v>0</v>
      </c>
      <c r="S38" s="0" t="n">
        <f aca="false">(IF(D38="O",1,0))</f>
        <v>0</v>
      </c>
      <c r="T38" s="0" t="n">
        <f aca="false">(IF(D38="L",1,0))</f>
        <v>1</v>
      </c>
      <c r="U38" s="0" t="n">
        <f aca="false">MAX(E38-1,0)</f>
        <v>0</v>
      </c>
      <c r="V38" s="0" t="n">
        <f aca="false">MAX(U38-1+F38,0)</f>
        <v>0</v>
      </c>
      <c r="W38" s="0" t="n">
        <f aca="false">MAX(V38-1+G38,0)</f>
        <v>0</v>
      </c>
      <c r="X38" s="0" t="n">
        <f aca="false">MAX(W38-1+H38,0)</f>
        <v>0</v>
      </c>
      <c r="Y38" s="1" t="n">
        <f aca="false">0.5*(E38*I38+F38*J38+G38*K38+H38*L38-1)+(0+$U38*J38+$V38*K38+$W38*L38)</f>
        <v>0</v>
      </c>
      <c r="Z38" s="1" t="n">
        <f aca="false">0.5*(E38*M38+F38*N38+G38*O38+H38*P38-1)+(0+$U38*N38+$V38*O38+$W38*P38)</f>
        <v>0</v>
      </c>
      <c r="AA38" s="1" t="n">
        <f aca="false">0.5*(E38*Q38+F38*R38+G38*S38+H38*T38-1)+(0+$U38*R38+$V38*S38+$W38*T38)</f>
        <v>0</v>
      </c>
      <c r="AB38" s="0" t="n">
        <f aca="false">IF(B38="V",-2,0)+IF(B38="E",-1,0)+IF(B38="O",0,0)+IF(B38="L",1,0)+Y38</f>
        <v>0</v>
      </c>
      <c r="AC38" s="0" t="n">
        <f aca="false">IF(C38="V",-2,0)+IF(C38="E",-1,0)+IF(C38="O",0,0)+IF(C38="L",1,0)+Z38</f>
        <v>-2</v>
      </c>
      <c r="AD38" s="0" t="n">
        <f aca="false">IF(D38="V",-2,0)+IF(D38="E",-1,0)+IF(D38="O",0,0)+IF(D38="L",1,0)+AA38</f>
        <v>1</v>
      </c>
      <c r="AE38" s="1" t="n">
        <f aca="false">IF(B38="V",-2,0)+IF(B38="E",-1,0)+IF(B38="O",0,0)+IF(B38="L",1,0)</f>
        <v>0</v>
      </c>
      <c r="AF38" s="1" t="n">
        <f aca="false">IF(B38="V",-2,0)+IF(B38="E",-1,0)+IF(B38="O",0,0)+IF(B38="L",1,0)+Y38</f>
        <v>0</v>
      </c>
      <c r="AG38" s="1" t="n">
        <f aca="false">IF(B38="V",-2,0)+IF(B38="E",-1,0)+IF(B38="O",0,0)+IF(B38="L",1,0)+Y38*2</f>
        <v>0</v>
      </c>
      <c r="AH38" s="1" t="n">
        <f aca="false">IF(C38="V",-2,0)+IF(C38="E",-1,0)+IF(C38="O",0,0)+IF(C38="L",1,0)</f>
        <v>-2</v>
      </c>
      <c r="AI38" s="1" t="n">
        <f aca="false">IF(C38="V",-2,0)+IF(C38="E",-1,0)+IF(C38="O",0,0)+IF(C38="L",1,0)+Z38</f>
        <v>-2</v>
      </c>
      <c r="AJ38" s="1" t="n">
        <f aca="false">IF(C38="V",-2,0)+IF(C38="E",-1,0)+IF(C38="O",0,0)+IF(C38="L",1,0)+Z38*2</f>
        <v>-2</v>
      </c>
      <c r="AK38" s="1" t="n">
        <f aca="false">IF(D38="V",-2,0)+IF(D38="E",-1,0)+IF(D38="O",0,0)+IF(D38="L",1,0)</f>
        <v>1</v>
      </c>
      <c r="AL38" s="1" t="n">
        <f aca="false">IF(D38="V",-2,0)+IF(D38="E",-1,0)+IF(D38="O",0,0)+IF(D38="L",1,0)+AA38</f>
        <v>1</v>
      </c>
      <c r="AM38" s="1" t="n">
        <f aca="false">IF(D38="V",-2,0)+IF(D38="E",-1,0)+IF(D38="O",0,0)+IF(D38="L",1,0)+AA38*2</f>
        <v>1</v>
      </c>
      <c r="AN38" s="1" t="n">
        <f aca="false">(ABS(IF(AE38&lt;0,AE38*Early,AE38*Late))+ABS(IF(AF38&lt;0,AF38*Early,AF38*Late))+ABS(IF(AG38&lt;0,AG38*Early,AG38*Late)))/3</f>
        <v>0</v>
      </c>
      <c r="AO38" s="1" t="n">
        <f aca="false">(ABS(IF(AH38&lt;0,AH38*Early,AH38*Late))+ABS(IF(AI38&lt;0,AI38*Early,AI38*Late))+ABS(IF(AJ38&lt;0,AJ38*Early,AJ38*Late)))/3</f>
        <v>6</v>
      </c>
      <c r="AP38" s="1" t="n">
        <f aca="false">(ABS(IF(AK38&lt;0,AK38*Early,AK38*Late))+ABS(IF(AL38&lt;0,AL38*Early,AL38*Late))+ABS(IF(AM38&lt;0,AM38*Early,AM38*Late)))/3</f>
        <v>4</v>
      </c>
      <c r="AQ38" s="0" t="n">
        <f aca="false">Y38*Delay+AN38</f>
        <v>0</v>
      </c>
      <c r="AR38" s="0" t="n">
        <f aca="false">Z38*Delay+AO38</f>
        <v>6</v>
      </c>
      <c r="AS38" s="0" t="n">
        <f aca="false">AA38*Delay+AP38</f>
        <v>4</v>
      </c>
      <c r="AT38" s="0" t="n">
        <f aca="false">IF(AR38=MIN(AR38:AR41),1,0)</f>
        <v>0</v>
      </c>
      <c r="AX38" s="0" t="str">
        <f aca="false">B38&amp;C38&amp;D38</f>
        <v>OVL</v>
      </c>
      <c r="AY38" s="1" t="n">
        <f aca="false">AQ38+AR38+AS38</f>
        <v>10</v>
      </c>
      <c r="AZ38" s="1" t="str">
        <f aca="false">RIGHT(AX38,2)</f>
        <v>VL</v>
      </c>
      <c r="BA38" s="1" t="str">
        <f aca="false">LEFT(AX38,1)&amp;RIGHT(AX38,1)</f>
        <v>OL</v>
      </c>
      <c r="BB38" s="1" t="str">
        <f aca="false">LEFT(AX38,2)</f>
        <v>OV</v>
      </c>
      <c r="BC38" s="1" t="n">
        <f aca="false">VLOOKUP(AZ38,TwoPlayers!$AG$1:$AH$17,2,FALSE())</f>
        <v>10</v>
      </c>
      <c r="BD38" s="1" t="n">
        <f aca="false">VLOOKUP(BA38,TwoPlayers!$AG$1:$AH$17,2,FALSE())</f>
        <v>4</v>
      </c>
      <c r="BE38" s="1" t="n">
        <f aca="false">VLOOKUP(BB38,TwoPlayers!$AG$1:$AH$17,2,FALSE())</f>
        <v>6</v>
      </c>
      <c r="BF38" s="1" t="n">
        <f aca="false">$AY38-BC38</f>
        <v>0</v>
      </c>
      <c r="BG38" s="1" t="n">
        <f aca="false">$AY38-BD38</f>
        <v>6</v>
      </c>
      <c r="BH38" s="1" t="n">
        <f aca="false">$AY38-BE38</f>
        <v>4</v>
      </c>
      <c r="BJ38" s="0" t="n">
        <f aca="false">AQ38+BF38</f>
        <v>0</v>
      </c>
      <c r="BK38" s="0" t="n">
        <f aca="false">AR38+BG38</f>
        <v>12</v>
      </c>
      <c r="BL38" s="0" t="n">
        <f aca="false">AS38+BH38</f>
        <v>8</v>
      </c>
      <c r="BM38" s="0" t="n">
        <f aca="false">IF(BK38=MIN(BK38:BK42),1,0)</f>
        <v>0</v>
      </c>
    </row>
    <row r="39" customFormat="false" ht="13" hidden="false" customHeight="false" outlineLevel="0" collapsed="false">
      <c r="A39" s="0" t="n">
        <v>40</v>
      </c>
      <c r="B39" s="0" t="s">
        <v>3</v>
      </c>
      <c r="C39" s="0" t="s">
        <v>2</v>
      </c>
      <c r="D39" s="0" t="s">
        <v>4</v>
      </c>
      <c r="E39" s="0" t="n">
        <f aca="false">(IF($B39="V",1,0))+IF($C39="V",1,0)+IF($D39="V",1,0)</f>
        <v>0</v>
      </c>
      <c r="F39" s="0" t="n">
        <f aca="false">(IF($B39="E",1,0))+IF($C39="E",1,0)+IF($D39="E",1,0)</f>
        <v>1</v>
      </c>
      <c r="G39" s="0" t="n">
        <f aca="false">(IF($B39="O",1,0))+IF($C39="O",1,0)+IF($D39="O",1,0)</f>
        <v>1</v>
      </c>
      <c r="H39" s="0" t="n">
        <f aca="false">(IF($B39="L",1,0))+IF($C39="L",1,0)+IF($D39="L",1,0)</f>
        <v>1</v>
      </c>
      <c r="I39" s="0" t="n">
        <f aca="false">(IF(B39="V",1,0))</f>
        <v>0</v>
      </c>
      <c r="J39" s="0" t="n">
        <f aca="false">(IF(B39="E",1,0))</f>
        <v>0</v>
      </c>
      <c r="K39" s="0" t="n">
        <f aca="false">(IF(B39="O",1,0))</f>
        <v>1</v>
      </c>
      <c r="L39" s="0" t="n">
        <f aca="false">(IF(B39="L",1,0))</f>
        <v>0</v>
      </c>
      <c r="M39" s="0" t="n">
        <f aca="false">(IF(C39="V",1,0))</f>
        <v>0</v>
      </c>
      <c r="N39" s="0" t="n">
        <f aca="false">(IF(C39="E",1,0))</f>
        <v>1</v>
      </c>
      <c r="O39" s="0" t="n">
        <f aca="false">(IF(C39="O",1,0))</f>
        <v>0</v>
      </c>
      <c r="P39" s="0" t="n">
        <f aca="false">(IF(C39="L",1,0))</f>
        <v>0</v>
      </c>
      <c r="Q39" s="0" t="n">
        <f aca="false">(IF(D39="V",1,0))</f>
        <v>0</v>
      </c>
      <c r="R39" s="0" t="n">
        <f aca="false">(IF(D39="E",1,0))</f>
        <v>0</v>
      </c>
      <c r="S39" s="0" t="n">
        <f aca="false">(IF(D39="O",1,0))</f>
        <v>0</v>
      </c>
      <c r="T39" s="0" t="n">
        <f aca="false">(IF(D39="L",1,0))</f>
        <v>1</v>
      </c>
      <c r="U39" s="0" t="n">
        <f aca="false">MAX(E39-1,0)</f>
        <v>0</v>
      </c>
      <c r="V39" s="0" t="n">
        <f aca="false">MAX(U39-1+F39,0)</f>
        <v>0</v>
      </c>
      <c r="W39" s="0" t="n">
        <f aca="false">MAX(V39-1+G39,0)</f>
        <v>0</v>
      </c>
      <c r="X39" s="0" t="n">
        <f aca="false">MAX(W39-1+H39,0)</f>
        <v>0</v>
      </c>
      <c r="Y39" s="1" t="n">
        <f aca="false">0.5*(E39*I39+F39*J39+G39*K39+H39*L39-1)+(0+$U39*J39+$V39*K39+$W39*L39)</f>
        <v>0</v>
      </c>
      <c r="Z39" s="1" t="n">
        <f aca="false">0.5*(E39*M39+F39*N39+G39*O39+H39*P39-1)+(0+$U39*N39+$V39*O39+$W39*P39)</f>
        <v>0</v>
      </c>
      <c r="AA39" s="1" t="n">
        <f aca="false">0.5*(E39*Q39+F39*R39+G39*S39+H39*T39-1)+(0+$U39*R39+$V39*S39+$W39*T39)</f>
        <v>0</v>
      </c>
      <c r="AB39" s="0" t="n">
        <f aca="false">IF(B39="V",-2,0)+IF(B39="E",-1,0)+IF(B39="O",0,0)+IF(B39="L",1,0)+Y39</f>
        <v>0</v>
      </c>
      <c r="AC39" s="0" t="n">
        <f aca="false">IF(C39="V",-2,0)+IF(C39="E",-1,0)+IF(C39="O",0,0)+IF(C39="L",1,0)+Z39</f>
        <v>-1</v>
      </c>
      <c r="AD39" s="0" t="n">
        <f aca="false">IF(D39="V",-2,0)+IF(D39="E",-1,0)+IF(D39="O",0,0)+IF(D39="L",1,0)+AA39</f>
        <v>1</v>
      </c>
      <c r="AE39" s="1" t="n">
        <f aca="false">IF(B39="V",-2,0)+IF(B39="E",-1,0)+IF(B39="O",0,0)+IF(B39="L",1,0)</f>
        <v>0</v>
      </c>
      <c r="AF39" s="1" t="n">
        <f aca="false">IF(B39="V",-2,0)+IF(B39="E",-1,0)+IF(B39="O",0,0)+IF(B39="L",1,0)+Y39</f>
        <v>0</v>
      </c>
      <c r="AG39" s="1" t="n">
        <f aca="false">IF(B39="V",-2,0)+IF(B39="E",-1,0)+IF(B39="O",0,0)+IF(B39="L",1,0)+Y39*2</f>
        <v>0</v>
      </c>
      <c r="AH39" s="1" t="n">
        <f aca="false">IF(C39="V",-2,0)+IF(C39="E",-1,0)+IF(C39="O",0,0)+IF(C39="L",1,0)</f>
        <v>-1</v>
      </c>
      <c r="AI39" s="1" t="n">
        <f aca="false">IF(C39="V",-2,0)+IF(C39="E",-1,0)+IF(C39="O",0,0)+IF(C39="L",1,0)+Z39</f>
        <v>-1</v>
      </c>
      <c r="AJ39" s="1" t="n">
        <f aca="false">IF(C39="V",-2,0)+IF(C39="E",-1,0)+IF(C39="O",0,0)+IF(C39="L",1,0)+Z39*2</f>
        <v>-1</v>
      </c>
      <c r="AK39" s="1" t="n">
        <f aca="false">IF(D39="V",-2,0)+IF(D39="E",-1,0)+IF(D39="O",0,0)+IF(D39="L",1,0)</f>
        <v>1</v>
      </c>
      <c r="AL39" s="1" t="n">
        <f aca="false">IF(D39="V",-2,0)+IF(D39="E",-1,0)+IF(D39="O",0,0)+IF(D39="L",1,0)+AA39</f>
        <v>1</v>
      </c>
      <c r="AM39" s="1" t="n">
        <f aca="false">IF(D39="V",-2,0)+IF(D39="E",-1,0)+IF(D39="O",0,0)+IF(D39="L",1,0)+AA39*2</f>
        <v>1</v>
      </c>
      <c r="AN39" s="1" t="n">
        <f aca="false">(ABS(IF(AE39&lt;0,AE39*Early,AE39*Late))+ABS(IF(AF39&lt;0,AF39*Early,AF39*Late))+ABS(IF(AG39&lt;0,AG39*Early,AG39*Late)))/3</f>
        <v>0</v>
      </c>
      <c r="AO39" s="1" t="n">
        <f aca="false">(ABS(IF(AH39&lt;0,AH39*Early,AH39*Late))+ABS(IF(AI39&lt;0,AI39*Early,AI39*Late))+ABS(IF(AJ39&lt;0,AJ39*Early,AJ39*Late)))/3</f>
        <v>3</v>
      </c>
      <c r="AP39" s="1" t="n">
        <f aca="false">(ABS(IF(AK39&lt;0,AK39*Early,AK39*Late))+ABS(IF(AL39&lt;0,AL39*Early,AL39*Late))+ABS(IF(AM39&lt;0,AM39*Early,AM39*Late)))/3</f>
        <v>4</v>
      </c>
      <c r="AQ39" s="0" t="n">
        <f aca="false">Y39*Delay+AN39</f>
        <v>0</v>
      </c>
      <c r="AR39" s="0" t="n">
        <f aca="false">Z39*Delay+AO39</f>
        <v>3</v>
      </c>
      <c r="AS39" s="0" t="n">
        <f aca="false">AA39*Delay+AP39</f>
        <v>4</v>
      </c>
      <c r="AT39" s="0" t="n">
        <f aca="false">IF(AR39=MIN(AR38:AR41),1,0)</f>
        <v>0</v>
      </c>
      <c r="AX39" s="0" t="str">
        <f aca="false">B39&amp;C39&amp;D39</f>
        <v>OEL</v>
      </c>
      <c r="AY39" s="1" t="n">
        <f aca="false">AQ39+AR39+AS39</f>
        <v>7</v>
      </c>
      <c r="AZ39" s="1" t="str">
        <f aca="false">RIGHT(AX39,2)</f>
        <v>EL</v>
      </c>
      <c r="BA39" s="1" t="str">
        <f aca="false">LEFT(AX39,1)&amp;RIGHT(AX39,1)</f>
        <v>OL</v>
      </c>
      <c r="BB39" s="1" t="str">
        <f aca="false">LEFT(AX39,2)</f>
        <v>OE</v>
      </c>
      <c r="BC39" s="1" t="n">
        <f aca="false">VLOOKUP(AZ39,TwoPlayers!$AG$1:$AH$17,2,FALSE())</f>
        <v>7</v>
      </c>
      <c r="BD39" s="1" t="n">
        <f aca="false">VLOOKUP(BA39,TwoPlayers!$AG$1:$AH$17,2,FALSE())</f>
        <v>4</v>
      </c>
      <c r="BE39" s="1" t="n">
        <f aca="false">VLOOKUP(BB39,TwoPlayers!$AG$1:$AH$17,2,FALSE())</f>
        <v>3</v>
      </c>
      <c r="BF39" s="1" t="n">
        <f aca="false">$AY39-BC39</f>
        <v>0</v>
      </c>
      <c r="BG39" s="1" t="n">
        <f aca="false">$AY39-BD39</f>
        <v>3</v>
      </c>
      <c r="BH39" s="1" t="n">
        <f aca="false">$AY39-BE39</f>
        <v>4</v>
      </c>
      <c r="BJ39" s="0" t="n">
        <f aca="false">AQ39+BF39</f>
        <v>0</v>
      </c>
      <c r="BK39" s="0" t="n">
        <f aca="false">AR39+BG39</f>
        <v>6</v>
      </c>
      <c r="BL39" s="0" t="n">
        <f aca="false">AS39+BH39</f>
        <v>8</v>
      </c>
      <c r="BM39" s="0" t="n">
        <f aca="false">IF(BK39=MIN(BK38:BK42),1,0)</f>
        <v>1</v>
      </c>
    </row>
    <row r="40" customFormat="false" ht="13" hidden="false" customHeight="false" outlineLevel="0" collapsed="false">
      <c r="A40" s="0" t="n">
        <v>44</v>
      </c>
      <c r="B40" s="0" t="s">
        <v>3</v>
      </c>
      <c r="C40" s="0" t="s">
        <v>3</v>
      </c>
      <c r="D40" s="0" t="s">
        <v>4</v>
      </c>
      <c r="E40" s="0" t="n">
        <f aca="false">(IF($B40="V",1,0))+IF($C40="V",1,0)+IF($D40="V",1,0)</f>
        <v>0</v>
      </c>
      <c r="F40" s="0" t="n">
        <f aca="false">(IF($B40="E",1,0))+IF($C40="E",1,0)+IF($D40="E",1,0)</f>
        <v>0</v>
      </c>
      <c r="G40" s="0" t="n">
        <f aca="false">(IF($B40="O",1,0))+IF($C40="O",1,0)+IF($D40="O",1,0)</f>
        <v>2</v>
      </c>
      <c r="H40" s="0" t="n">
        <f aca="false">(IF($B40="L",1,0))+IF($C40="L",1,0)+IF($D40="L",1,0)</f>
        <v>1</v>
      </c>
      <c r="I40" s="0" t="n">
        <f aca="false">(IF(B40="V",1,0))</f>
        <v>0</v>
      </c>
      <c r="J40" s="0" t="n">
        <f aca="false">(IF(B40="E",1,0))</f>
        <v>0</v>
      </c>
      <c r="K40" s="0" t="n">
        <f aca="false">(IF(B40="O",1,0))</f>
        <v>1</v>
      </c>
      <c r="L40" s="0" t="n">
        <f aca="false">(IF(B40="L",1,0))</f>
        <v>0</v>
      </c>
      <c r="M40" s="0" t="n">
        <f aca="false">(IF(C40="V",1,0))</f>
        <v>0</v>
      </c>
      <c r="N40" s="0" t="n">
        <f aca="false">(IF(C40="E",1,0))</f>
        <v>0</v>
      </c>
      <c r="O40" s="0" t="n">
        <f aca="false">(IF(C40="O",1,0))</f>
        <v>1</v>
      </c>
      <c r="P40" s="0" t="n">
        <f aca="false">(IF(C40="L",1,0))</f>
        <v>0</v>
      </c>
      <c r="Q40" s="0" t="n">
        <f aca="false">(IF(D40="V",1,0))</f>
        <v>0</v>
      </c>
      <c r="R40" s="0" t="n">
        <f aca="false">(IF(D40="E",1,0))</f>
        <v>0</v>
      </c>
      <c r="S40" s="0" t="n">
        <f aca="false">(IF(D40="O",1,0))</f>
        <v>0</v>
      </c>
      <c r="T40" s="0" t="n">
        <f aca="false">(IF(D40="L",1,0))</f>
        <v>1</v>
      </c>
      <c r="U40" s="0" t="n">
        <f aca="false">MAX(E40-1,0)</f>
        <v>0</v>
      </c>
      <c r="V40" s="0" t="n">
        <f aca="false">MAX(U40-1+F40,0)</f>
        <v>0</v>
      </c>
      <c r="W40" s="0" t="n">
        <f aca="false">MAX(V40-1+G40,0)</f>
        <v>1</v>
      </c>
      <c r="X40" s="0" t="n">
        <f aca="false">MAX(W40-1+H40,0)</f>
        <v>1</v>
      </c>
      <c r="Y40" s="1" t="n">
        <f aca="false">0.5*(E40*I40+F40*J40+G40*K40+H40*L40-1)+(0+$U40*J40+$V40*K40+$W40*L40)</f>
        <v>0.5</v>
      </c>
      <c r="Z40" s="1" t="n">
        <f aca="false">0.5*(E40*M40+F40*N40+G40*O40+H40*P40-1)+(0+$U40*N40+$V40*O40+$W40*P40)</f>
        <v>0.5</v>
      </c>
      <c r="AA40" s="1" t="n">
        <f aca="false">0.5*(E40*Q40+F40*R40+G40*S40+H40*T40-1)+(0+$U40*R40+$V40*S40+$W40*T40)</f>
        <v>1</v>
      </c>
      <c r="AB40" s="0" t="n">
        <f aca="false">IF(B40="V",-2,0)+IF(B40="E",-1,0)+IF(B40="O",0,0)+IF(B40="L",1,0)+Y40</f>
        <v>0.5</v>
      </c>
      <c r="AC40" s="0" t="n">
        <f aca="false">IF(C40="V",-2,0)+IF(C40="E",-1,0)+IF(C40="O",0,0)+IF(C40="L",1,0)+Z40</f>
        <v>0.5</v>
      </c>
      <c r="AD40" s="0" t="n">
        <f aca="false">IF(D40="V",-2,0)+IF(D40="E",-1,0)+IF(D40="O",0,0)+IF(D40="L",1,0)+AA40</f>
        <v>2</v>
      </c>
      <c r="AE40" s="1" t="n">
        <f aca="false">IF(B40="V",-2,0)+IF(B40="E",-1,0)+IF(B40="O",0,0)+IF(B40="L",1,0)</f>
        <v>0</v>
      </c>
      <c r="AF40" s="1" t="n">
        <f aca="false">IF(B40="V",-2,0)+IF(B40="E",-1,0)+IF(B40="O",0,0)+IF(B40="L",1,0)+Y40</f>
        <v>0.5</v>
      </c>
      <c r="AG40" s="1" t="n">
        <f aca="false">IF(B40="V",-2,0)+IF(B40="E",-1,0)+IF(B40="O",0,0)+IF(B40="L",1,0)+Y40*2</f>
        <v>1</v>
      </c>
      <c r="AH40" s="1" t="n">
        <f aca="false">IF(C40="V",-2,0)+IF(C40="E",-1,0)+IF(C40="O",0,0)+IF(C40="L",1,0)</f>
        <v>0</v>
      </c>
      <c r="AI40" s="1" t="n">
        <f aca="false">IF(C40="V",-2,0)+IF(C40="E",-1,0)+IF(C40="O",0,0)+IF(C40="L",1,0)+Z40</f>
        <v>0.5</v>
      </c>
      <c r="AJ40" s="1" t="n">
        <f aca="false">IF(C40="V",-2,0)+IF(C40="E",-1,0)+IF(C40="O",0,0)+IF(C40="L",1,0)+Z40*2</f>
        <v>1</v>
      </c>
      <c r="AK40" s="1" t="n">
        <f aca="false">IF(D40="V",-2,0)+IF(D40="E",-1,0)+IF(D40="O",0,0)+IF(D40="L",1,0)</f>
        <v>1</v>
      </c>
      <c r="AL40" s="1" t="n">
        <f aca="false">IF(D40="V",-2,0)+IF(D40="E",-1,0)+IF(D40="O",0,0)+IF(D40="L",1,0)+AA40</f>
        <v>2</v>
      </c>
      <c r="AM40" s="1" t="n">
        <f aca="false">IF(D40="V",-2,0)+IF(D40="E",-1,0)+IF(D40="O",0,0)+IF(D40="L",1,0)+AA40*2</f>
        <v>3</v>
      </c>
      <c r="AN40" s="1" t="n">
        <f aca="false">(ABS(IF(AE40&lt;0,AE40*Early,AE40*Late))+ABS(IF(AF40&lt;0,AF40*Early,AF40*Late))+ABS(IF(AG40&lt;0,AG40*Early,AG40*Late)))/3</f>
        <v>2</v>
      </c>
      <c r="AO40" s="1" t="n">
        <f aca="false">(ABS(IF(AH40&lt;0,AH40*Early,AH40*Late))+ABS(IF(AI40&lt;0,AI40*Early,AI40*Late))+ABS(IF(AJ40&lt;0,AJ40*Early,AJ40*Late)))/3</f>
        <v>2</v>
      </c>
      <c r="AP40" s="1" t="n">
        <f aca="false">(ABS(IF(AK40&lt;0,AK40*Early,AK40*Late))+ABS(IF(AL40&lt;0,AL40*Early,AL40*Late))+ABS(IF(AM40&lt;0,AM40*Early,AM40*Late)))/3</f>
        <v>8</v>
      </c>
      <c r="AQ40" s="0" t="n">
        <f aca="false">Y40*Delay+AN40</f>
        <v>2.5</v>
      </c>
      <c r="AR40" s="0" t="n">
        <f aca="false">Z40*Delay+AO40</f>
        <v>2.5</v>
      </c>
      <c r="AS40" s="0" t="n">
        <f aca="false">AA40*Delay+AP40</f>
        <v>9</v>
      </c>
      <c r="AT40" s="0" t="n">
        <f aca="false">IF(AR40=MIN(AR38:AR41),1,0)</f>
        <v>1</v>
      </c>
      <c r="AX40" s="0" t="str">
        <f aca="false">B40&amp;C40&amp;D40</f>
        <v>OOL</v>
      </c>
      <c r="AY40" s="1" t="n">
        <f aca="false">AQ40+AR40+AS40</f>
        <v>14</v>
      </c>
      <c r="AZ40" s="1" t="str">
        <f aca="false">RIGHT(AX40,2)</f>
        <v>OL</v>
      </c>
      <c r="BA40" s="1" t="str">
        <f aca="false">LEFT(AX40,1)&amp;RIGHT(AX40,1)</f>
        <v>OL</v>
      </c>
      <c r="BB40" s="1" t="str">
        <f aca="false">LEFT(AX40,2)</f>
        <v>OO</v>
      </c>
      <c r="BC40" s="1" t="n">
        <f aca="false">VLOOKUP(AZ40,TwoPlayers!$AG$1:$AH$17,2,FALSE())</f>
        <v>4</v>
      </c>
      <c r="BD40" s="1" t="n">
        <f aca="false">VLOOKUP(BA40,TwoPlayers!$AG$1:$AH$17,2,FALSE())</f>
        <v>4</v>
      </c>
      <c r="BE40" s="1" t="n">
        <f aca="false">VLOOKUP(BB40,TwoPlayers!$AG$1:$AH$17,2,FALSE())</f>
        <v>5</v>
      </c>
      <c r="BF40" s="1" t="n">
        <f aca="false">$AY40-BC40</f>
        <v>10</v>
      </c>
      <c r="BG40" s="1" t="n">
        <f aca="false">$AY40-BD40</f>
        <v>10</v>
      </c>
      <c r="BH40" s="1" t="n">
        <f aca="false">$AY40-BE40</f>
        <v>9</v>
      </c>
      <c r="BJ40" s="0" t="n">
        <f aca="false">AQ40+BF40</f>
        <v>12.5</v>
      </c>
      <c r="BK40" s="0" t="n">
        <f aca="false">AR40+BG40</f>
        <v>12.5</v>
      </c>
      <c r="BL40" s="0" t="n">
        <f aca="false">AS40+BH40</f>
        <v>18</v>
      </c>
      <c r="BM40" s="0" t="n">
        <f aca="false">IF(BK40=MIN(BK38:BK42),1,0)</f>
        <v>0</v>
      </c>
    </row>
    <row r="41" customFormat="false" ht="13" hidden="false" customHeight="false" outlineLevel="0" collapsed="false">
      <c r="A41" s="0" t="n">
        <v>48</v>
      </c>
      <c r="B41" s="0" t="s">
        <v>3</v>
      </c>
      <c r="C41" s="0" t="s">
        <v>4</v>
      </c>
      <c r="D41" s="0" t="s">
        <v>4</v>
      </c>
      <c r="E41" s="0" t="n">
        <f aca="false">(IF($B41="V",1,0))+IF($C41="V",1,0)+IF($D41="V",1,0)</f>
        <v>0</v>
      </c>
      <c r="F41" s="0" t="n">
        <f aca="false">(IF($B41="E",1,0))+IF($C41="E",1,0)+IF($D41="E",1,0)</f>
        <v>0</v>
      </c>
      <c r="G41" s="0" t="n">
        <f aca="false">(IF($B41="O",1,0))+IF($C41="O",1,0)+IF($D41="O",1,0)</f>
        <v>1</v>
      </c>
      <c r="H41" s="0" t="n">
        <f aca="false">(IF($B41="L",1,0))+IF($C41="L",1,0)+IF($D41="L",1,0)</f>
        <v>2</v>
      </c>
      <c r="I41" s="0" t="n">
        <f aca="false">(IF(B41="V",1,0))</f>
        <v>0</v>
      </c>
      <c r="J41" s="0" t="n">
        <f aca="false">(IF(B41="E",1,0))</f>
        <v>0</v>
      </c>
      <c r="K41" s="0" t="n">
        <f aca="false">(IF(B41="O",1,0))</f>
        <v>1</v>
      </c>
      <c r="L41" s="0" t="n">
        <f aca="false">(IF(B41="L",1,0))</f>
        <v>0</v>
      </c>
      <c r="M41" s="0" t="n">
        <f aca="false">(IF(C41="V",1,0))</f>
        <v>0</v>
      </c>
      <c r="N41" s="0" t="n">
        <f aca="false">(IF(C41="E",1,0))</f>
        <v>0</v>
      </c>
      <c r="O41" s="0" t="n">
        <f aca="false">(IF(C41="O",1,0))</f>
        <v>0</v>
      </c>
      <c r="P41" s="0" t="n">
        <f aca="false">(IF(C41="L",1,0))</f>
        <v>1</v>
      </c>
      <c r="Q41" s="0" t="n">
        <f aca="false">(IF(D41="V",1,0))</f>
        <v>0</v>
      </c>
      <c r="R41" s="0" t="n">
        <f aca="false">(IF(D41="E",1,0))</f>
        <v>0</v>
      </c>
      <c r="S41" s="0" t="n">
        <f aca="false">(IF(D41="O",1,0))</f>
        <v>0</v>
      </c>
      <c r="T41" s="0" t="n">
        <f aca="false">(IF(D41="L",1,0))</f>
        <v>1</v>
      </c>
      <c r="U41" s="0" t="n">
        <f aca="false">MAX(E41-1,0)</f>
        <v>0</v>
      </c>
      <c r="V41" s="0" t="n">
        <f aca="false">MAX(U41-1+F41,0)</f>
        <v>0</v>
      </c>
      <c r="W41" s="0" t="n">
        <f aca="false">MAX(V41-1+G41,0)</f>
        <v>0</v>
      </c>
      <c r="X41" s="0" t="n">
        <f aca="false">MAX(W41-1+H41,0)</f>
        <v>1</v>
      </c>
      <c r="Y41" s="1" t="n">
        <f aca="false">0.5*(E41*I41+F41*J41+G41*K41+H41*L41-1)+(0+$U41*J41+$V41*K41+$W41*L41)</f>
        <v>0</v>
      </c>
      <c r="Z41" s="1" t="n">
        <f aca="false">0.5*(E41*M41+F41*N41+G41*O41+H41*P41-1)+(0+$U41*N41+$V41*O41+$W41*P41)</f>
        <v>0.5</v>
      </c>
      <c r="AA41" s="1" t="n">
        <f aca="false">0.5*(E41*Q41+F41*R41+G41*S41+H41*T41-1)+(0+$U41*R41+$V41*S41+$W41*T41)</f>
        <v>0.5</v>
      </c>
      <c r="AB41" s="0" t="n">
        <f aca="false">IF(B41="V",-2,0)+IF(B41="E",-1,0)+IF(B41="O",0,0)+IF(B41="L",1,0)+Y41</f>
        <v>0</v>
      </c>
      <c r="AC41" s="0" t="n">
        <f aca="false">IF(C41="V",-2,0)+IF(C41="E",-1,0)+IF(C41="O",0,0)+IF(C41="L",1,0)+Z41</f>
        <v>1.5</v>
      </c>
      <c r="AD41" s="0" t="n">
        <f aca="false">IF(D41="V",-2,0)+IF(D41="E",-1,0)+IF(D41="O",0,0)+IF(D41="L",1,0)+AA41</f>
        <v>1.5</v>
      </c>
      <c r="AE41" s="1" t="n">
        <f aca="false">IF(B41="V",-2,0)+IF(B41="E",-1,0)+IF(B41="O",0,0)+IF(B41="L",1,0)</f>
        <v>0</v>
      </c>
      <c r="AF41" s="1" t="n">
        <f aca="false">IF(B41="V",-2,0)+IF(B41="E",-1,0)+IF(B41="O",0,0)+IF(B41="L",1,0)+Y41</f>
        <v>0</v>
      </c>
      <c r="AG41" s="1" t="n">
        <f aca="false">IF(B41="V",-2,0)+IF(B41="E",-1,0)+IF(B41="O",0,0)+IF(B41="L",1,0)+Y41*2</f>
        <v>0</v>
      </c>
      <c r="AH41" s="1" t="n">
        <f aca="false">IF(C41="V",-2,0)+IF(C41="E",-1,0)+IF(C41="O",0,0)+IF(C41="L",1,0)</f>
        <v>1</v>
      </c>
      <c r="AI41" s="1" t="n">
        <f aca="false">IF(C41="V",-2,0)+IF(C41="E",-1,0)+IF(C41="O",0,0)+IF(C41="L",1,0)+Z41</f>
        <v>1.5</v>
      </c>
      <c r="AJ41" s="1" t="n">
        <f aca="false">IF(C41="V",-2,0)+IF(C41="E",-1,0)+IF(C41="O",0,0)+IF(C41="L",1,0)+Z41*2</f>
        <v>2</v>
      </c>
      <c r="AK41" s="1" t="n">
        <f aca="false">IF(D41="V",-2,0)+IF(D41="E",-1,0)+IF(D41="O",0,0)+IF(D41="L",1,0)</f>
        <v>1</v>
      </c>
      <c r="AL41" s="1" t="n">
        <f aca="false">IF(D41="V",-2,0)+IF(D41="E",-1,0)+IF(D41="O",0,0)+IF(D41="L",1,0)+AA41</f>
        <v>1.5</v>
      </c>
      <c r="AM41" s="1" t="n">
        <f aca="false">IF(D41="V",-2,0)+IF(D41="E",-1,0)+IF(D41="O",0,0)+IF(D41="L",1,0)+AA41*2</f>
        <v>2</v>
      </c>
      <c r="AN41" s="1" t="n">
        <f aca="false">(ABS(IF(AE41&lt;0,AE41*Early,AE41*Late))+ABS(IF(AF41&lt;0,AF41*Early,AF41*Late))+ABS(IF(AG41&lt;0,AG41*Early,AG41*Late)))/3</f>
        <v>0</v>
      </c>
      <c r="AO41" s="1" t="n">
        <f aca="false">(ABS(IF(AH41&lt;0,AH41*Early,AH41*Late))+ABS(IF(AI41&lt;0,AI41*Early,AI41*Late))+ABS(IF(AJ41&lt;0,AJ41*Early,AJ41*Late)))/3</f>
        <v>6</v>
      </c>
      <c r="AP41" s="1" t="n">
        <f aca="false">(ABS(IF(AK41&lt;0,AK41*Early,AK41*Late))+ABS(IF(AL41&lt;0,AL41*Early,AL41*Late))+ABS(IF(AM41&lt;0,AM41*Early,AM41*Late)))/3</f>
        <v>6</v>
      </c>
      <c r="AQ41" s="0" t="n">
        <f aca="false">Y41*Delay+AN41</f>
        <v>0</v>
      </c>
      <c r="AR41" s="0" t="n">
        <f aca="false">Z41*Delay+AO41</f>
        <v>6.5</v>
      </c>
      <c r="AS41" s="0" t="n">
        <f aca="false">AA41*Delay+AP41</f>
        <v>6.5</v>
      </c>
      <c r="AT41" s="0" t="n">
        <f aca="false">IF(AR41=MIN(AR38:AR41),1,0)</f>
        <v>0</v>
      </c>
      <c r="AX41" s="0" t="str">
        <f aca="false">B41&amp;C41&amp;D41</f>
        <v>OLL</v>
      </c>
      <c r="AY41" s="1" t="n">
        <f aca="false">AQ41+AR41+AS41</f>
        <v>13</v>
      </c>
      <c r="AZ41" s="1" t="str">
        <f aca="false">RIGHT(AX41,2)</f>
        <v>LL</v>
      </c>
      <c r="BA41" s="1" t="str">
        <f aca="false">LEFT(AX41,1)&amp;RIGHT(AX41,1)</f>
        <v>OL</v>
      </c>
      <c r="BB41" s="1" t="str">
        <f aca="false">LEFT(AX41,2)</f>
        <v>OL</v>
      </c>
      <c r="BC41" s="1" t="n">
        <f aca="false">VLOOKUP(AZ41,TwoPlayers!$AG$1:$AH$17,2,FALSE())</f>
        <v>13</v>
      </c>
      <c r="BD41" s="1" t="n">
        <f aca="false">VLOOKUP(BA41,TwoPlayers!$AG$1:$AH$17,2,FALSE())</f>
        <v>4</v>
      </c>
      <c r="BE41" s="1" t="n">
        <f aca="false">VLOOKUP(BB41,TwoPlayers!$AG$1:$AH$17,2,FALSE())</f>
        <v>4</v>
      </c>
      <c r="BF41" s="1" t="n">
        <f aca="false">$AY41-BC41</f>
        <v>0</v>
      </c>
      <c r="BG41" s="1" t="n">
        <f aca="false">$AY41-BD41</f>
        <v>9</v>
      </c>
      <c r="BH41" s="1" t="n">
        <f aca="false">$AY41-BE41</f>
        <v>9</v>
      </c>
      <c r="BJ41" s="0" t="n">
        <f aca="false">AQ41+BF41</f>
        <v>0</v>
      </c>
      <c r="BK41" s="0" t="n">
        <f aca="false">AR41+BG41</f>
        <v>15.5</v>
      </c>
      <c r="BL41" s="0" t="n">
        <f aca="false">AS41+BH41</f>
        <v>15.5</v>
      </c>
      <c r="BM41" s="0" t="n">
        <f aca="false">IF(BK41=MIN(BK38:BK42),1,0)</f>
        <v>0</v>
      </c>
    </row>
    <row r="42" customFormat="false" ht="13" hidden="false" customHeight="false" outlineLevel="0" collapsed="false">
      <c r="A42" s="0" t="n">
        <v>35</v>
      </c>
      <c r="B42" s="0" t="s">
        <v>3</v>
      </c>
      <c r="C42" s="0" t="s">
        <v>1</v>
      </c>
      <c r="D42" s="0" t="s">
        <v>3</v>
      </c>
      <c r="E42" s="0" t="n">
        <f aca="false">(IF($B42="V",1,0))+IF($C42="V",1,0)+IF($D42="V",1,0)</f>
        <v>1</v>
      </c>
      <c r="F42" s="0" t="n">
        <f aca="false">(IF($B42="E",1,0))+IF($C42="E",1,0)+IF($D42="E",1,0)</f>
        <v>0</v>
      </c>
      <c r="G42" s="0" t="n">
        <f aca="false">(IF($B42="O",1,0))+IF($C42="O",1,0)+IF($D42="O",1,0)</f>
        <v>2</v>
      </c>
      <c r="H42" s="0" t="n">
        <f aca="false">(IF($B42="L",1,0))+IF($C42="L",1,0)+IF($D42="L",1,0)</f>
        <v>0</v>
      </c>
      <c r="I42" s="0" t="n">
        <f aca="false">(IF(B42="V",1,0))</f>
        <v>0</v>
      </c>
      <c r="J42" s="0" t="n">
        <f aca="false">(IF(B42="E",1,0))</f>
        <v>0</v>
      </c>
      <c r="K42" s="0" t="n">
        <f aca="false">(IF(B42="O",1,0))</f>
        <v>1</v>
      </c>
      <c r="L42" s="0" t="n">
        <f aca="false">(IF(B42="L",1,0))</f>
        <v>0</v>
      </c>
      <c r="M42" s="0" t="n">
        <f aca="false">(IF(C42="V",1,0))</f>
        <v>1</v>
      </c>
      <c r="N42" s="0" t="n">
        <f aca="false">(IF(C42="E",1,0))</f>
        <v>0</v>
      </c>
      <c r="O42" s="0" t="n">
        <f aca="false">(IF(C42="O",1,0))</f>
        <v>0</v>
      </c>
      <c r="P42" s="0" t="n">
        <f aca="false">(IF(C42="L",1,0))</f>
        <v>0</v>
      </c>
      <c r="Q42" s="0" t="n">
        <f aca="false">(IF(D42="V",1,0))</f>
        <v>0</v>
      </c>
      <c r="R42" s="0" t="n">
        <f aca="false">(IF(D42="E",1,0))</f>
        <v>0</v>
      </c>
      <c r="S42" s="0" t="n">
        <f aca="false">(IF(D42="O",1,0))</f>
        <v>1</v>
      </c>
      <c r="T42" s="0" t="n">
        <f aca="false">(IF(D42="L",1,0))</f>
        <v>0</v>
      </c>
      <c r="U42" s="0" t="n">
        <f aca="false">MAX(E42-1,0)</f>
        <v>0</v>
      </c>
      <c r="V42" s="0" t="n">
        <f aca="false">MAX(U42-1+F42,0)</f>
        <v>0</v>
      </c>
      <c r="W42" s="0" t="n">
        <f aca="false">MAX(V42-1+G42,0)</f>
        <v>1</v>
      </c>
      <c r="X42" s="0" t="n">
        <f aca="false">MAX(W42-1+H42,0)</f>
        <v>0</v>
      </c>
      <c r="Y42" s="1" t="n">
        <f aca="false">0.5*(E42*I42+F42*J42+G42*K42+H42*L42-1)+(0+$U42*J42+$V42*K42+$W42*L42)</f>
        <v>0.5</v>
      </c>
      <c r="Z42" s="1" t="n">
        <f aca="false">0.5*(E42*M42+F42*N42+G42*O42+H42*P42-1)+(0+$U42*N42+$V42*O42+$W42*P42)</f>
        <v>0</v>
      </c>
      <c r="AA42" s="1" t="n">
        <f aca="false">0.5*(E42*Q42+F42*R42+G42*S42+H42*T42-1)+(0+$U42*R42+$V42*S42+$W42*T42)</f>
        <v>0.5</v>
      </c>
      <c r="AB42" s="0" t="n">
        <f aca="false">IF(B42="V",-2,0)+IF(B42="E",-1,0)+IF(B42="O",0,0)+IF(B42="L",1,0)+Y42</f>
        <v>0.5</v>
      </c>
      <c r="AC42" s="0" t="n">
        <f aca="false">IF(C42="V",-2,0)+IF(C42="E",-1,0)+IF(C42="O",0,0)+IF(C42="L",1,0)+Z42</f>
        <v>-2</v>
      </c>
      <c r="AD42" s="0" t="n">
        <f aca="false">IF(D42="V",-2,0)+IF(D42="E",-1,0)+IF(D42="O",0,0)+IF(D42="L",1,0)+AA42</f>
        <v>0.5</v>
      </c>
      <c r="AE42" s="1" t="n">
        <f aca="false">IF(B42="V",-2,0)+IF(B42="E",-1,0)+IF(B42="O",0,0)+IF(B42="L",1,0)</f>
        <v>0</v>
      </c>
      <c r="AF42" s="1" t="n">
        <f aca="false">IF(B42="V",-2,0)+IF(B42="E",-1,0)+IF(B42="O",0,0)+IF(B42="L",1,0)+Y42</f>
        <v>0.5</v>
      </c>
      <c r="AG42" s="1" t="n">
        <f aca="false">IF(B42="V",-2,0)+IF(B42="E",-1,0)+IF(B42="O",0,0)+IF(B42="L",1,0)+Y42*2</f>
        <v>1</v>
      </c>
      <c r="AH42" s="1" t="n">
        <f aca="false">IF(C42="V",-2,0)+IF(C42="E",-1,0)+IF(C42="O",0,0)+IF(C42="L",1,0)</f>
        <v>-2</v>
      </c>
      <c r="AI42" s="1" t="n">
        <f aca="false">IF(C42="V",-2,0)+IF(C42="E",-1,0)+IF(C42="O",0,0)+IF(C42="L",1,0)+Z42</f>
        <v>-2</v>
      </c>
      <c r="AJ42" s="1" t="n">
        <f aca="false">IF(C42="V",-2,0)+IF(C42="E",-1,0)+IF(C42="O",0,0)+IF(C42="L",1,0)+Z42*2</f>
        <v>-2</v>
      </c>
      <c r="AK42" s="1" t="n">
        <f aca="false">IF(D42="V",-2,0)+IF(D42="E",-1,0)+IF(D42="O",0,0)+IF(D42="L",1,0)</f>
        <v>0</v>
      </c>
      <c r="AL42" s="1" t="n">
        <f aca="false">IF(D42="V",-2,0)+IF(D42="E",-1,0)+IF(D42="O",0,0)+IF(D42="L",1,0)+AA42</f>
        <v>0.5</v>
      </c>
      <c r="AM42" s="1" t="n">
        <f aca="false">IF(D42="V",-2,0)+IF(D42="E",-1,0)+IF(D42="O",0,0)+IF(D42="L",1,0)+AA42*2</f>
        <v>1</v>
      </c>
      <c r="AN42" s="1" t="n">
        <f aca="false">(ABS(IF(AE42&lt;0,AE42*Early,AE42*Late))+ABS(IF(AF42&lt;0,AF42*Early,AF42*Late))+ABS(IF(AG42&lt;0,AG42*Early,AG42*Late)))/3</f>
        <v>2</v>
      </c>
      <c r="AO42" s="1" t="n">
        <f aca="false">(ABS(IF(AH42&lt;0,AH42*Early,AH42*Late))+ABS(IF(AI42&lt;0,AI42*Early,AI42*Late))+ABS(IF(AJ42&lt;0,AJ42*Early,AJ42*Late)))/3</f>
        <v>6</v>
      </c>
      <c r="AP42" s="1" t="n">
        <f aca="false">(ABS(IF(AK42&lt;0,AK42*Early,AK42*Late))+ABS(IF(AL42&lt;0,AL42*Early,AL42*Late))+ABS(IF(AM42&lt;0,AM42*Early,AM42*Late)))/3</f>
        <v>2</v>
      </c>
      <c r="AQ42" s="0" t="n">
        <f aca="false">Y42*Delay+AN42</f>
        <v>2.5</v>
      </c>
      <c r="AR42" s="0" t="n">
        <f aca="false">Z42*Delay+AO42</f>
        <v>6</v>
      </c>
      <c r="AS42" s="0" t="n">
        <f aca="false">AA42*Delay+AP42</f>
        <v>2.5</v>
      </c>
      <c r="AT42" s="0" t="n">
        <f aca="false">IF(AR42=MIN(AR42:AR45),1,0)</f>
        <v>0</v>
      </c>
      <c r="AX42" s="0" t="str">
        <f aca="false">B42&amp;C42&amp;D42</f>
        <v>OVO</v>
      </c>
      <c r="AY42" s="1" t="n">
        <f aca="false">AQ42+AR42+AS42</f>
        <v>11</v>
      </c>
      <c r="AZ42" s="1" t="str">
        <f aca="false">RIGHT(AX42,2)</f>
        <v>VO</v>
      </c>
      <c r="BA42" s="1" t="str">
        <f aca="false">LEFT(AX42,1)&amp;RIGHT(AX42,1)</f>
        <v>OO</v>
      </c>
      <c r="BB42" s="1" t="str">
        <f aca="false">LEFT(AX42,2)</f>
        <v>OV</v>
      </c>
      <c r="BC42" s="1" t="n">
        <f aca="false">VLOOKUP(AZ42,TwoPlayers!$AG$1:$AH$17,2,FALSE())</f>
        <v>6</v>
      </c>
      <c r="BD42" s="1" t="n">
        <f aca="false">VLOOKUP(BA42,TwoPlayers!$AG$1:$AH$17,2,FALSE())</f>
        <v>5</v>
      </c>
      <c r="BE42" s="1" t="n">
        <f aca="false">VLOOKUP(BB42,TwoPlayers!$AG$1:$AH$17,2,FALSE())</f>
        <v>6</v>
      </c>
      <c r="BF42" s="1" t="n">
        <f aca="false">$AY42-BC42</f>
        <v>5</v>
      </c>
      <c r="BG42" s="1" t="n">
        <f aca="false">$AY42-BD42</f>
        <v>6</v>
      </c>
      <c r="BH42" s="1" t="n">
        <f aca="false">$AY42-BE42</f>
        <v>5</v>
      </c>
      <c r="BJ42" s="0" t="n">
        <f aca="false">AQ42+BF42</f>
        <v>7.5</v>
      </c>
      <c r="BK42" s="0" t="n">
        <f aca="false">AR42+BG42</f>
        <v>12</v>
      </c>
      <c r="BL42" s="0" t="n">
        <f aca="false">AS42+BH42</f>
        <v>7.5</v>
      </c>
      <c r="BM42" s="0" t="n">
        <f aca="false">IF(BK42=MIN(BK42:BK46),1,0)</f>
        <v>0</v>
      </c>
    </row>
    <row r="43" customFormat="false" ht="13" hidden="false" customHeight="false" outlineLevel="0" collapsed="false">
      <c r="A43" s="0" t="n">
        <v>39</v>
      </c>
      <c r="B43" s="0" t="s">
        <v>3</v>
      </c>
      <c r="C43" s="0" t="s">
        <v>2</v>
      </c>
      <c r="D43" s="0" t="s">
        <v>3</v>
      </c>
      <c r="E43" s="0" t="n">
        <f aca="false">(IF($B43="V",1,0))+IF($C43="V",1,0)+IF($D43="V",1,0)</f>
        <v>0</v>
      </c>
      <c r="F43" s="0" t="n">
        <f aca="false">(IF($B43="E",1,0))+IF($C43="E",1,0)+IF($D43="E",1,0)</f>
        <v>1</v>
      </c>
      <c r="G43" s="0" t="n">
        <f aca="false">(IF($B43="O",1,0))+IF($C43="O",1,0)+IF($D43="O",1,0)</f>
        <v>2</v>
      </c>
      <c r="H43" s="0" t="n">
        <f aca="false">(IF($B43="L",1,0))+IF($C43="L",1,0)+IF($D43="L",1,0)</f>
        <v>0</v>
      </c>
      <c r="I43" s="0" t="n">
        <f aca="false">(IF(B43="V",1,0))</f>
        <v>0</v>
      </c>
      <c r="J43" s="0" t="n">
        <f aca="false">(IF(B43="E",1,0))</f>
        <v>0</v>
      </c>
      <c r="K43" s="0" t="n">
        <f aca="false">(IF(B43="O",1,0))</f>
        <v>1</v>
      </c>
      <c r="L43" s="0" t="n">
        <f aca="false">(IF(B43="L",1,0))</f>
        <v>0</v>
      </c>
      <c r="M43" s="0" t="n">
        <f aca="false">(IF(C43="V",1,0))</f>
        <v>0</v>
      </c>
      <c r="N43" s="0" t="n">
        <f aca="false">(IF(C43="E",1,0))</f>
        <v>1</v>
      </c>
      <c r="O43" s="0" t="n">
        <f aca="false">(IF(C43="O",1,0))</f>
        <v>0</v>
      </c>
      <c r="P43" s="0" t="n">
        <f aca="false">(IF(C43="L",1,0))</f>
        <v>0</v>
      </c>
      <c r="Q43" s="0" t="n">
        <f aca="false">(IF(D43="V",1,0))</f>
        <v>0</v>
      </c>
      <c r="R43" s="0" t="n">
        <f aca="false">(IF(D43="E",1,0))</f>
        <v>0</v>
      </c>
      <c r="S43" s="0" t="n">
        <f aca="false">(IF(D43="O",1,0))</f>
        <v>1</v>
      </c>
      <c r="T43" s="0" t="n">
        <f aca="false">(IF(D43="L",1,0))</f>
        <v>0</v>
      </c>
      <c r="U43" s="0" t="n">
        <f aca="false">MAX(E43-1,0)</f>
        <v>0</v>
      </c>
      <c r="V43" s="0" t="n">
        <f aca="false">MAX(U43-1+F43,0)</f>
        <v>0</v>
      </c>
      <c r="W43" s="0" t="n">
        <f aca="false">MAX(V43-1+G43,0)</f>
        <v>1</v>
      </c>
      <c r="X43" s="0" t="n">
        <f aca="false">MAX(W43-1+H43,0)</f>
        <v>0</v>
      </c>
      <c r="Y43" s="1" t="n">
        <f aca="false">0.5*(E43*I43+F43*J43+G43*K43+H43*L43-1)+(0+$U43*J43+$V43*K43+$W43*L43)</f>
        <v>0.5</v>
      </c>
      <c r="Z43" s="1" t="n">
        <f aca="false">0.5*(E43*M43+F43*N43+G43*O43+H43*P43-1)+(0+$U43*N43+$V43*O43+$W43*P43)</f>
        <v>0</v>
      </c>
      <c r="AA43" s="1" t="n">
        <f aca="false">0.5*(E43*Q43+F43*R43+G43*S43+H43*T43-1)+(0+$U43*R43+$V43*S43+$W43*T43)</f>
        <v>0.5</v>
      </c>
      <c r="AB43" s="0" t="n">
        <f aca="false">IF(B43="V",-2,0)+IF(B43="E",-1,0)+IF(B43="O",0,0)+IF(B43="L",1,0)+Y43</f>
        <v>0.5</v>
      </c>
      <c r="AC43" s="0" t="n">
        <f aca="false">IF(C43="V",-2,0)+IF(C43="E",-1,0)+IF(C43="O",0,0)+IF(C43="L",1,0)+Z43</f>
        <v>-1</v>
      </c>
      <c r="AD43" s="0" t="n">
        <f aca="false">IF(D43="V",-2,0)+IF(D43="E",-1,0)+IF(D43="O",0,0)+IF(D43="L",1,0)+AA43</f>
        <v>0.5</v>
      </c>
      <c r="AE43" s="1" t="n">
        <f aca="false">IF(B43="V",-2,0)+IF(B43="E",-1,0)+IF(B43="O",0,0)+IF(B43="L",1,0)</f>
        <v>0</v>
      </c>
      <c r="AF43" s="1" t="n">
        <f aca="false">IF(B43="V",-2,0)+IF(B43="E",-1,0)+IF(B43="O",0,0)+IF(B43="L",1,0)+Y43</f>
        <v>0.5</v>
      </c>
      <c r="AG43" s="1" t="n">
        <f aca="false">IF(B43="V",-2,0)+IF(B43="E",-1,0)+IF(B43="O",0,0)+IF(B43="L",1,0)+Y43*2</f>
        <v>1</v>
      </c>
      <c r="AH43" s="1" t="n">
        <f aca="false">IF(C43="V",-2,0)+IF(C43="E",-1,0)+IF(C43="O",0,0)+IF(C43="L",1,0)</f>
        <v>-1</v>
      </c>
      <c r="AI43" s="1" t="n">
        <f aca="false">IF(C43="V",-2,0)+IF(C43="E",-1,0)+IF(C43="O",0,0)+IF(C43="L",1,0)+Z43</f>
        <v>-1</v>
      </c>
      <c r="AJ43" s="1" t="n">
        <f aca="false">IF(C43="V",-2,0)+IF(C43="E",-1,0)+IF(C43="O",0,0)+IF(C43="L",1,0)+Z43*2</f>
        <v>-1</v>
      </c>
      <c r="AK43" s="1" t="n">
        <f aca="false">IF(D43="V",-2,0)+IF(D43="E",-1,0)+IF(D43="O",0,0)+IF(D43="L",1,0)</f>
        <v>0</v>
      </c>
      <c r="AL43" s="1" t="n">
        <f aca="false">IF(D43="V",-2,0)+IF(D43="E",-1,0)+IF(D43="O",0,0)+IF(D43="L",1,0)+AA43</f>
        <v>0.5</v>
      </c>
      <c r="AM43" s="1" t="n">
        <f aca="false">IF(D43="V",-2,0)+IF(D43="E",-1,0)+IF(D43="O",0,0)+IF(D43="L",1,0)+AA43*2</f>
        <v>1</v>
      </c>
      <c r="AN43" s="1" t="n">
        <f aca="false">(ABS(IF(AE43&lt;0,AE43*Early,AE43*Late))+ABS(IF(AF43&lt;0,AF43*Early,AF43*Late))+ABS(IF(AG43&lt;0,AG43*Early,AG43*Late)))/3</f>
        <v>2</v>
      </c>
      <c r="AO43" s="1" t="n">
        <f aca="false">(ABS(IF(AH43&lt;0,AH43*Early,AH43*Late))+ABS(IF(AI43&lt;0,AI43*Early,AI43*Late))+ABS(IF(AJ43&lt;0,AJ43*Early,AJ43*Late)))/3</f>
        <v>3</v>
      </c>
      <c r="AP43" s="1" t="n">
        <f aca="false">(ABS(IF(AK43&lt;0,AK43*Early,AK43*Late))+ABS(IF(AL43&lt;0,AL43*Early,AL43*Late))+ABS(IF(AM43&lt;0,AM43*Early,AM43*Late)))/3</f>
        <v>2</v>
      </c>
      <c r="AQ43" s="0" t="n">
        <f aca="false">Y43*Delay+AN43</f>
        <v>2.5</v>
      </c>
      <c r="AR43" s="0" t="n">
        <f aca="false">Z43*Delay+AO43</f>
        <v>3</v>
      </c>
      <c r="AS43" s="0" t="n">
        <f aca="false">AA43*Delay+AP43</f>
        <v>2.5</v>
      </c>
      <c r="AT43" s="0" t="n">
        <f aca="false">IF(AR43=MIN(AR42:AR45),1,0)</f>
        <v>1</v>
      </c>
      <c r="AX43" s="0" t="str">
        <f aca="false">B43&amp;C43&amp;D43</f>
        <v>OEO</v>
      </c>
      <c r="AY43" s="1" t="n">
        <f aca="false">AQ43+AR43+AS43</f>
        <v>8</v>
      </c>
      <c r="AZ43" s="1" t="str">
        <f aca="false">RIGHT(AX43,2)</f>
        <v>EO</v>
      </c>
      <c r="BA43" s="1" t="str">
        <f aca="false">LEFT(AX43,1)&amp;RIGHT(AX43,1)</f>
        <v>OO</v>
      </c>
      <c r="BB43" s="1" t="str">
        <f aca="false">LEFT(AX43,2)</f>
        <v>OE</v>
      </c>
      <c r="BC43" s="1" t="n">
        <f aca="false">VLOOKUP(AZ43,TwoPlayers!$AG$1:$AH$17,2,FALSE())</f>
        <v>3</v>
      </c>
      <c r="BD43" s="1" t="n">
        <f aca="false">VLOOKUP(BA43,TwoPlayers!$AG$1:$AH$17,2,FALSE())</f>
        <v>5</v>
      </c>
      <c r="BE43" s="1" t="n">
        <f aca="false">VLOOKUP(BB43,TwoPlayers!$AG$1:$AH$17,2,FALSE())</f>
        <v>3</v>
      </c>
      <c r="BF43" s="1" t="n">
        <f aca="false">$AY43-BC43</f>
        <v>5</v>
      </c>
      <c r="BG43" s="1" t="n">
        <f aca="false">$AY43-BD43</f>
        <v>3</v>
      </c>
      <c r="BH43" s="1" t="n">
        <f aca="false">$AY43-BE43</f>
        <v>5</v>
      </c>
      <c r="BJ43" s="0" t="n">
        <f aca="false">AQ43+BF43</f>
        <v>7.5</v>
      </c>
      <c r="BK43" s="0" t="n">
        <f aca="false">AR43+BG43</f>
        <v>6</v>
      </c>
      <c r="BL43" s="0" t="n">
        <f aca="false">AS43+BH43</f>
        <v>7.5</v>
      </c>
      <c r="BM43" s="0" t="n">
        <f aca="false">IF(BK43=MIN(BK42:BK46),1,0)</f>
        <v>1</v>
      </c>
    </row>
    <row r="44" customFormat="false" ht="13" hidden="false" customHeight="false" outlineLevel="0" collapsed="false">
      <c r="A44" s="0" t="n">
        <v>43</v>
      </c>
      <c r="B44" s="0" t="s">
        <v>3</v>
      </c>
      <c r="C44" s="0" t="s">
        <v>3</v>
      </c>
      <c r="D44" s="0" t="s">
        <v>3</v>
      </c>
      <c r="E44" s="0" t="n">
        <f aca="false">(IF($B44="V",1,0))+IF($C44="V",1,0)+IF($D44="V",1,0)</f>
        <v>0</v>
      </c>
      <c r="F44" s="0" t="n">
        <f aca="false">(IF($B44="E",1,0))+IF($C44="E",1,0)+IF($D44="E",1,0)</f>
        <v>0</v>
      </c>
      <c r="G44" s="0" t="n">
        <f aca="false">(IF($B44="O",1,0))+IF($C44="O",1,0)+IF($D44="O",1,0)</f>
        <v>3</v>
      </c>
      <c r="H44" s="0" t="n">
        <f aca="false">(IF($B44="L",1,0))+IF($C44="L",1,0)+IF($D44="L",1,0)</f>
        <v>0</v>
      </c>
      <c r="I44" s="0" t="n">
        <f aca="false">(IF(B44="V",1,0))</f>
        <v>0</v>
      </c>
      <c r="J44" s="0" t="n">
        <f aca="false">(IF(B44="E",1,0))</f>
        <v>0</v>
      </c>
      <c r="K44" s="0" t="n">
        <f aca="false">(IF(B44="O",1,0))</f>
        <v>1</v>
      </c>
      <c r="L44" s="0" t="n">
        <f aca="false">(IF(B44="L",1,0))</f>
        <v>0</v>
      </c>
      <c r="M44" s="0" t="n">
        <f aca="false">(IF(C44="V",1,0))</f>
        <v>0</v>
      </c>
      <c r="N44" s="0" t="n">
        <f aca="false">(IF(C44="E",1,0))</f>
        <v>0</v>
      </c>
      <c r="O44" s="0" t="n">
        <f aca="false">(IF(C44="O",1,0))</f>
        <v>1</v>
      </c>
      <c r="P44" s="0" t="n">
        <f aca="false">(IF(C44="L",1,0))</f>
        <v>0</v>
      </c>
      <c r="Q44" s="0" t="n">
        <f aca="false">(IF(D44="V",1,0))</f>
        <v>0</v>
      </c>
      <c r="R44" s="0" t="n">
        <f aca="false">(IF(D44="E",1,0))</f>
        <v>0</v>
      </c>
      <c r="S44" s="0" t="n">
        <f aca="false">(IF(D44="O",1,0))</f>
        <v>1</v>
      </c>
      <c r="T44" s="0" t="n">
        <f aca="false">(IF(D44="L",1,0))</f>
        <v>0</v>
      </c>
      <c r="U44" s="0" t="n">
        <f aca="false">MAX(E44-1,0)</f>
        <v>0</v>
      </c>
      <c r="V44" s="0" t="n">
        <f aca="false">MAX(U44-1+F44,0)</f>
        <v>0</v>
      </c>
      <c r="W44" s="0" t="n">
        <f aca="false">MAX(V44-1+G44,0)</f>
        <v>2</v>
      </c>
      <c r="X44" s="0" t="n">
        <f aca="false">MAX(W44-1+H44,0)</f>
        <v>1</v>
      </c>
      <c r="Y44" s="1" t="n">
        <f aca="false">0.5*(E44*I44+F44*J44+G44*K44+H44*L44-1)+(0+$U44*J44+$V44*K44+$W44*L44)</f>
        <v>1</v>
      </c>
      <c r="Z44" s="1" t="n">
        <f aca="false">0.5*(E44*M44+F44*N44+G44*O44+H44*P44-1)+(0+$U44*N44+$V44*O44+$W44*P44)</f>
        <v>1</v>
      </c>
      <c r="AA44" s="1" t="n">
        <f aca="false">0.5*(E44*Q44+F44*R44+G44*S44+H44*T44-1)+(0+$U44*R44+$V44*S44+$W44*T44)</f>
        <v>1</v>
      </c>
      <c r="AB44" s="0" t="n">
        <f aca="false">IF(B44="V",-2,0)+IF(B44="E",-1,0)+IF(B44="O",0,0)+IF(B44="L",1,0)+Y44</f>
        <v>1</v>
      </c>
      <c r="AC44" s="0" t="n">
        <f aca="false">IF(C44="V",-2,0)+IF(C44="E",-1,0)+IF(C44="O",0,0)+IF(C44="L",1,0)+Z44</f>
        <v>1</v>
      </c>
      <c r="AD44" s="0" t="n">
        <f aca="false">IF(D44="V",-2,0)+IF(D44="E",-1,0)+IF(D44="O",0,0)+IF(D44="L",1,0)+AA44</f>
        <v>1</v>
      </c>
      <c r="AE44" s="1" t="n">
        <f aca="false">IF(B44="V",-2,0)+IF(B44="E",-1,0)+IF(B44="O",0,0)+IF(B44="L",1,0)</f>
        <v>0</v>
      </c>
      <c r="AF44" s="1" t="n">
        <f aca="false">IF(B44="V",-2,0)+IF(B44="E",-1,0)+IF(B44="O",0,0)+IF(B44="L",1,0)+Y44</f>
        <v>1</v>
      </c>
      <c r="AG44" s="1" t="n">
        <f aca="false">IF(B44="V",-2,0)+IF(B44="E",-1,0)+IF(B44="O",0,0)+IF(B44="L",1,0)+Y44*2</f>
        <v>2</v>
      </c>
      <c r="AH44" s="1" t="n">
        <f aca="false">IF(C44="V",-2,0)+IF(C44="E",-1,0)+IF(C44="O",0,0)+IF(C44="L",1,0)</f>
        <v>0</v>
      </c>
      <c r="AI44" s="1" t="n">
        <f aca="false">IF(C44="V",-2,0)+IF(C44="E",-1,0)+IF(C44="O",0,0)+IF(C44="L",1,0)+Z44</f>
        <v>1</v>
      </c>
      <c r="AJ44" s="1" t="n">
        <f aca="false">IF(C44="V",-2,0)+IF(C44="E",-1,0)+IF(C44="O",0,0)+IF(C44="L",1,0)+Z44*2</f>
        <v>2</v>
      </c>
      <c r="AK44" s="1" t="n">
        <f aca="false">IF(D44="V",-2,0)+IF(D44="E",-1,0)+IF(D44="O",0,0)+IF(D44="L",1,0)</f>
        <v>0</v>
      </c>
      <c r="AL44" s="1" t="n">
        <f aca="false">IF(D44="V",-2,0)+IF(D44="E",-1,0)+IF(D44="O",0,0)+IF(D44="L",1,0)+AA44</f>
        <v>1</v>
      </c>
      <c r="AM44" s="1" t="n">
        <f aca="false">IF(D44="V",-2,0)+IF(D44="E",-1,0)+IF(D44="O",0,0)+IF(D44="L",1,0)+AA44*2</f>
        <v>2</v>
      </c>
      <c r="AN44" s="1" t="n">
        <f aca="false">(ABS(IF(AE44&lt;0,AE44*Early,AE44*Late))+ABS(IF(AF44&lt;0,AF44*Early,AF44*Late))+ABS(IF(AG44&lt;0,AG44*Early,AG44*Late)))/3</f>
        <v>4</v>
      </c>
      <c r="AO44" s="1" t="n">
        <f aca="false">(ABS(IF(AH44&lt;0,AH44*Early,AH44*Late))+ABS(IF(AI44&lt;0,AI44*Early,AI44*Late))+ABS(IF(AJ44&lt;0,AJ44*Early,AJ44*Late)))/3</f>
        <v>4</v>
      </c>
      <c r="AP44" s="1" t="n">
        <f aca="false">(ABS(IF(AK44&lt;0,AK44*Early,AK44*Late))+ABS(IF(AL44&lt;0,AL44*Early,AL44*Late))+ABS(IF(AM44&lt;0,AM44*Early,AM44*Late)))/3</f>
        <v>4</v>
      </c>
      <c r="AQ44" s="0" t="n">
        <f aca="false">Y44*Delay+AN44</f>
        <v>5</v>
      </c>
      <c r="AR44" s="0" t="n">
        <f aca="false">Z44*Delay+AO44</f>
        <v>5</v>
      </c>
      <c r="AS44" s="0" t="n">
        <f aca="false">AA44*Delay+AP44</f>
        <v>5</v>
      </c>
      <c r="AT44" s="0" t="n">
        <f aca="false">IF(AR44=MIN(AR42:AR45),1,0)</f>
        <v>0</v>
      </c>
      <c r="AX44" s="1" t="str">
        <f aca="false">B44&amp;C44&amp;D44</f>
        <v>OOO</v>
      </c>
      <c r="AY44" s="1" t="n">
        <f aca="false">AQ44+AR44+AS44</f>
        <v>15</v>
      </c>
      <c r="AZ44" s="1" t="str">
        <f aca="false">RIGHT(AX44,2)</f>
        <v>OO</v>
      </c>
      <c r="BA44" s="1" t="str">
        <f aca="false">LEFT(AX44,1)&amp;RIGHT(AX44,1)</f>
        <v>OO</v>
      </c>
      <c r="BB44" s="1" t="str">
        <f aca="false">LEFT(AX44,2)</f>
        <v>OO</v>
      </c>
      <c r="BC44" s="1" t="n">
        <f aca="false">VLOOKUP(AZ44,TwoPlayers!$AG$1:$AH$17,2,FALSE())</f>
        <v>5</v>
      </c>
      <c r="BD44" s="1" t="n">
        <f aca="false">VLOOKUP(BA44,TwoPlayers!$AG$1:$AH$17,2,FALSE())</f>
        <v>5</v>
      </c>
      <c r="BE44" s="1" t="n">
        <f aca="false">VLOOKUP(BB44,TwoPlayers!$AG$1:$AH$17,2,FALSE())</f>
        <v>5</v>
      </c>
      <c r="BF44" s="1" t="n">
        <f aca="false">$AY44-BC44</f>
        <v>10</v>
      </c>
      <c r="BG44" s="1" t="n">
        <f aca="false">$AY44-BD44</f>
        <v>10</v>
      </c>
      <c r="BH44" s="1" t="n">
        <f aca="false">$AY44-BE44</f>
        <v>10</v>
      </c>
      <c r="BJ44" s="0" t="n">
        <f aca="false">AQ44+BF44</f>
        <v>15</v>
      </c>
      <c r="BK44" s="0" t="n">
        <f aca="false">AR44+BG44</f>
        <v>15</v>
      </c>
      <c r="BL44" s="0" t="n">
        <f aca="false">AS44+BH44</f>
        <v>15</v>
      </c>
      <c r="BM44" s="0" t="n">
        <f aca="false">IF(BK44=MIN(BK42:BK46),1,0)</f>
        <v>0</v>
      </c>
    </row>
    <row r="45" customFormat="false" ht="13" hidden="false" customHeight="false" outlineLevel="0" collapsed="false">
      <c r="A45" s="0" t="n">
        <v>47</v>
      </c>
      <c r="B45" s="0" t="s">
        <v>3</v>
      </c>
      <c r="C45" s="0" t="s">
        <v>4</v>
      </c>
      <c r="D45" s="0" t="s">
        <v>3</v>
      </c>
      <c r="E45" s="0" t="n">
        <f aca="false">(IF($B45="V",1,0))+IF($C45="V",1,0)+IF($D45="V",1,0)</f>
        <v>0</v>
      </c>
      <c r="F45" s="0" t="n">
        <f aca="false">(IF($B45="E",1,0))+IF($C45="E",1,0)+IF($D45="E",1,0)</f>
        <v>0</v>
      </c>
      <c r="G45" s="0" t="n">
        <f aca="false">(IF($B45="O",1,0))+IF($C45="O",1,0)+IF($D45="O",1,0)</f>
        <v>2</v>
      </c>
      <c r="H45" s="0" t="n">
        <f aca="false">(IF($B45="L",1,0))+IF($C45="L",1,0)+IF($D45="L",1,0)</f>
        <v>1</v>
      </c>
      <c r="I45" s="0" t="n">
        <f aca="false">(IF(B45="V",1,0))</f>
        <v>0</v>
      </c>
      <c r="J45" s="0" t="n">
        <f aca="false">(IF(B45="E",1,0))</f>
        <v>0</v>
      </c>
      <c r="K45" s="0" t="n">
        <f aca="false">(IF(B45="O",1,0))</f>
        <v>1</v>
      </c>
      <c r="L45" s="0" t="n">
        <f aca="false">(IF(B45="L",1,0))</f>
        <v>0</v>
      </c>
      <c r="M45" s="0" t="n">
        <f aca="false">(IF(C45="V",1,0))</f>
        <v>0</v>
      </c>
      <c r="N45" s="0" t="n">
        <f aca="false">(IF(C45="E",1,0))</f>
        <v>0</v>
      </c>
      <c r="O45" s="0" t="n">
        <f aca="false">(IF(C45="O",1,0))</f>
        <v>0</v>
      </c>
      <c r="P45" s="0" t="n">
        <f aca="false">(IF(C45="L",1,0))</f>
        <v>1</v>
      </c>
      <c r="Q45" s="0" t="n">
        <f aca="false">(IF(D45="V",1,0))</f>
        <v>0</v>
      </c>
      <c r="R45" s="0" t="n">
        <f aca="false">(IF(D45="E",1,0))</f>
        <v>0</v>
      </c>
      <c r="S45" s="0" t="n">
        <f aca="false">(IF(D45="O",1,0))</f>
        <v>1</v>
      </c>
      <c r="T45" s="0" t="n">
        <f aca="false">(IF(D45="L",1,0))</f>
        <v>0</v>
      </c>
      <c r="U45" s="0" t="n">
        <f aca="false">MAX(E45-1,0)</f>
        <v>0</v>
      </c>
      <c r="V45" s="0" t="n">
        <f aca="false">MAX(U45-1+F45,0)</f>
        <v>0</v>
      </c>
      <c r="W45" s="0" t="n">
        <f aca="false">MAX(V45-1+G45,0)</f>
        <v>1</v>
      </c>
      <c r="X45" s="0" t="n">
        <f aca="false">MAX(W45-1+H45,0)</f>
        <v>1</v>
      </c>
      <c r="Y45" s="1" t="n">
        <f aca="false">0.5*(E45*I45+F45*J45+G45*K45+H45*L45-1)+(0+$U45*J45+$V45*K45+$W45*L45)</f>
        <v>0.5</v>
      </c>
      <c r="Z45" s="1" t="n">
        <f aca="false">0.5*(E45*M45+F45*N45+G45*O45+H45*P45-1)+(0+$U45*N45+$V45*O45+$W45*P45)</f>
        <v>1</v>
      </c>
      <c r="AA45" s="1" t="n">
        <f aca="false">0.5*(E45*Q45+F45*R45+G45*S45+H45*T45-1)+(0+$U45*R45+$V45*S45+$W45*T45)</f>
        <v>0.5</v>
      </c>
      <c r="AB45" s="0" t="n">
        <f aca="false">IF(B45="V",-2,0)+IF(B45="E",-1,0)+IF(B45="O",0,0)+IF(B45="L",1,0)+Y45</f>
        <v>0.5</v>
      </c>
      <c r="AC45" s="0" t="n">
        <f aca="false">IF(C45="V",-2,0)+IF(C45="E",-1,0)+IF(C45="O",0,0)+IF(C45="L",1,0)+Z45</f>
        <v>2</v>
      </c>
      <c r="AD45" s="0" t="n">
        <f aca="false">IF(D45="V",-2,0)+IF(D45="E",-1,0)+IF(D45="O",0,0)+IF(D45="L",1,0)+AA45</f>
        <v>0.5</v>
      </c>
      <c r="AE45" s="1" t="n">
        <f aca="false">IF(B45="V",-2,0)+IF(B45="E",-1,0)+IF(B45="O",0,0)+IF(B45="L",1,0)</f>
        <v>0</v>
      </c>
      <c r="AF45" s="1" t="n">
        <f aca="false">IF(B45="V",-2,0)+IF(B45="E",-1,0)+IF(B45="O",0,0)+IF(B45="L",1,0)+Y45</f>
        <v>0.5</v>
      </c>
      <c r="AG45" s="1" t="n">
        <f aca="false">IF(B45="V",-2,0)+IF(B45="E",-1,0)+IF(B45="O",0,0)+IF(B45="L",1,0)+Y45*2</f>
        <v>1</v>
      </c>
      <c r="AH45" s="1" t="n">
        <f aca="false">IF(C45="V",-2,0)+IF(C45="E",-1,0)+IF(C45="O",0,0)+IF(C45="L",1,0)</f>
        <v>1</v>
      </c>
      <c r="AI45" s="1" t="n">
        <f aca="false">IF(C45="V",-2,0)+IF(C45="E",-1,0)+IF(C45="O",0,0)+IF(C45="L",1,0)+Z45</f>
        <v>2</v>
      </c>
      <c r="AJ45" s="1" t="n">
        <f aca="false">IF(C45="V",-2,0)+IF(C45="E",-1,0)+IF(C45="O",0,0)+IF(C45="L",1,0)+Z45*2</f>
        <v>3</v>
      </c>
      <c r="AK45" s="1" t="n">
        <f aca="false">IF(D45="V",-2,0)+IF(D45="E",-1,0)+IF(D45="O",0,0)+IF(D45="L",1,0)</f>
        <v>0</v>
      </c>
      <c r="AL45" s="1" t="n">
        <f aca="false">IF(D45="V",-2,0)+IF(D45="E",-1,0)+IF(D45="O",0,0)+IF(D45="L",1,0)+AA45</f>
        <v>0.5</v>
      </c>
      <c r="AM45" s="1" t="n">
        <f aca="false">IF(D45="V",-2,0)+IF(D45="E",-1,0)+IF(D45="O",0,0)+IF(D45="L",1,0)+AA45*2</f>
        <v>1</v>
      </c>
      <c r="AN45" s="1" t="n">
        <f aca="false">(ABS(IF(AE45&lt;0,AE45*Early,AE45*Late))+ABS(IF(AF45&lt;0,AF45*Early,AF45*Late))+ABS(IF(AG45&lt;0,AG45*Early,AG45*Late)))/3</f>
        <v>2</v>
      </c>
      <c r="AO45" s="1" t="n">
        <f aca="false">(ABS(IF(AH45&lt;0,AH45*Early,AH45*Late))+ABS(IF(AI45&lt;0,AI45*Early,AI45*Late))+ABS(IF(AJ45&lt;0,AJ45*Early,AJ45*Late)))/3</f>
        <v>8</v>
      </c>
      <c r="AP45" s="1" t="n">
        <f aca="false">(ABS(IF(AK45&lt;0,AK45*Early,AK45*Late))+ABS(IF(AL45&lt;0,AL45*Early,AL45*Late))+ABS(IF(AM45&lt;0,AM45*Early,AM45*Late)))/3</f>
        <v>2</v>
      </c>
      <c r="AQ45" s="0" t="n">
        <f aca="false">Y45*Delay+AN45</f>
        <v>2.5</v>
      </c>
      <c r="AR45" s="0" t="n">
        <f aca="false">Z45*Delay+AO45</f>
        <v>9</v>
      </c>
      <c r="AS45" s="0" t="n">
        <f aca="false">AA45*Delay+AP45</f>
        <v>2.5</v>
      </c>
      <c r="AT45" s="0" t="n">
        <f aca="false">IF(AR45=MIN(AR42:AR45),1,0)</f>
        <v>0</v>
      </c>
      <c r="AX45" s="0" t="str">
        <f aca="false">B45&amp;C45&amp;D45</f>
        <v>OLO</v>
      </c>
      <c r="AY45" s="1" t="n">
        <f aca="false">AQ45+AR45+AS45</f>
        <v>14</v>
      </c>
      <c r="AZ45" s="1" t="str">
        <f aca="false">RIGHT(AX45,2)</f>
        <v>LO</v>
      </c>
      <c r="BA45" s="1" t="str">
        <f aca="false">LEFT(AX45,1)&amp;RIGHT(AX45,1)</f>
        <v>OO</v>
      </c>
      <c r="BB45" s="1" t="str">
        <f aca="false">LEFT(AX45,2)</f>
        <v>OL</v>
      </c>
      <c r="BC45" s="1" t="n">
        <f aca="false">VLOOKUP(AZ45,TwoPlayers!$AG$1:$AH$17,2,FALSE())</f>
        <v>4</v>
      </c>
      <c r="BD45" s="1" t="n">
        <f aca="false">VLOOKUP(BA45,TwoPlayers!$AG$1:$AH$17,2,FALSE())</f>
        <v>5</v>
      </c>
      <c r="BE45" s="1" t="n">
        <f aca="false">VLOOKUP(BB45,TwoPlayers!$AG$1:$AH$17,2,FALSE())</f>
        <v>4</v>
      </c>
      <c r="BF45" s="1" t="n">
        <f aca="false">$AY45-BC45</f>
        <v>10</v>
      </c>
      <c r="BG45" s="1" t="n">
        <f aca="false">$AY45-BD45</f>
        <v>9</v>
      </c>
      <c r="BH45" s="1" t="n">
        <f aca="false">$AY45-BE45</f>
        <v>10</v>
      </c>
      <c r="BJ45" s="0" t="n">
        <f aca="false">AQ45+BF45</f>
        <v>12.5</v>
      </c>
      <c r="BK45" s="0" t="n">
        <f aca="false">AR45+BG45</f>
        <v>18</v>
      </c>
      <c r="BL45" s="0" t="n">
        <f aca="false">AS45+BH45</f>
        <v>12.5</v>
      </c>
      <c r="BM45" s="0" t="n">
        <f aca="false">IF(BK45=MIN(BK42:BK46),1,0)</f>
        <v>0</v>
      </c>
    </row>
    <row r="46" customFormat="false" ht="13" hidden="false" customHeight="false" outlineLevel="0" collapsed="false">
      <c r="A46" s="0" t="n">
        <v>33</v>
      </c>
      <c r="B46" s="0" t="s">
        <v>3</v>
      </c>
      <c r="C46" s="0" t="s">
        <v>1</v>
      </c>
      <c r="D46" s="0" t="s">
        <v>1</v>
      </c>
      <c r="E46" s="0" t="n">
        <f aca="false">(IF($B46="V",1,0))+IF($C46="V",1,0)+IF($D46="V",1,0)</f>
        <v>2</v>
      </c>
      <c r="F46" s="0" t="n">
        <f aca="false">(IF($B46="E",1,0))+IF($C46="E",1,0)+IF($D46="E",1,0)</f>
        <v>0</v>
      </c>
      <c r="G46" s="0" t="n">
        <f aca="false">(IF($B46="O",1,0))+IF($C46="O",1,0)+IF($D46="O",1,0)</f>
        <v>1</v>
      </c>
      <c r="H46" s="0" t="n">
        <f aca="false">(IF($B46="L",1,0))+IF($C46="L",1,0)+IF($D46="L",1,0)</f>
        <v>0</v>
      </c>
      <c r="I46" s="0" t="n">
        <f aca="false">(IF(B46="V",1,0))</f>
        <v>0</v>
      </c>
      <c r="J46" s="0" t="n">
        <f aca="false">(IF(B46="E",1,0))</f>
        <v>0</v>
      </c>
      <c r="K46" s="0" t="n">
        <f aca="false">(IF(B46="O",1,0))</f>
        <v>1</v>
      </c>
      <c r="L46" s="0" t="n">
        <f aca="false">(IF(B46="L",1,0))</f>
        <v>0</v>
      </c>
      <c r="M46" s="0" t="n">
        <f aca="false">(IF(C46="V",1,0))</f>
        <v>1</v>
      </c>
      <c r="N46" s="0" t="n">
        <f aca="false">(IF(C46="E",1,0))</f>
        <v>0</v>
      </c>
      <c r="O46" s="0" t="n">
        <f aca="false">(IF(C46="O",1,0))</f>
        <v>0</v>
      </c>
      <c r="P46" s="0" t="n">
        <f aca="false">(IF(C46="L",1,0))</f>
        <v>0</v>
      </c>
      <c r="Q46" s="0" t="n">
        <f aca="false">(IF(D46="V",1,0))</f>
        <v>1</v>
      </c>
      <c r="R46" s="0" t="n">
        <f aca="false">(IF(D46="E",1,0))</f>
        <v>0</v>
      </c>
      <c r="S46" s="0" t="n">
        <f aca="false">(IF(D46="O",1,0))</f>
        <v>0</v>
      </c>
      <c r="T46" s="0" t="n">
        <f aca="false">(IF(D46="L",1,0))</f>
        <v>0</v>
      </c>
      <c r="U46" s="0" t="n">
        <f aca="false">MAX(E46-1,0)</f>
        <v>1</v>
      </c>
      <c r="V46" s="0" t="n">
        <f aca="false">MAX(U46-1+F46,0)</f>
        <v>0</v>
      </c>
      <c r="W46" s="0" t="n">
        <f aca="false">MAX(V46-1+G46,0)</f>
        <v>0</v>
      </c>
      <c r="X46" s="0" t="n">
        <f aca="false">MAX(W46-1+H46,0)</f>
        <v>0</v>
      </c>
      <c r="Y46" s="1" t="n">
        <f aca="false">0.5*(E46*I46+F46*J46+G46*K46+H46*L46-1)+(0+$U46*J46+$V46*K46+$W46*L46)</f>
        <v>0</v>
      </c>
      <c r="Z46" s="1" t="n">
        <f aca="false">0.5*(E46*M46+F46*N46+G46*O46+H46*P46-1)+(0+$U46*N46+$V46*O46+$W46*P46)</f>
        <v>0.5</v>
      </c>
      <c r="AA46" s="1" t="n">
        <f aca="false">0.5*(E46*Q46+F46*R46+G46*S46+H46*T46-1)+(0+$U46*R46+$V46*S46+$W46*T46)</f>
        <v>0.5</v>
      </c>
      <c r="AB46" s="0" t="n">
        <f aca="false">IF(B46="V",-2,0)+IF(B46="E",-1,0)+IF(B46="O",0,0)+IF(B46="L",1,0)+Y46</f>
        <v>0</v>
      </c>
      <c r="AC46" s="0" t="n">
        <f aca="false">IF(C46="V",-2,0)+IF(C46="E",-1,0)+IF(C46="O",0,0)+IF(C46="L",1,0)+Z46</f>
        <v>-1.5</v>
      </c>
      <c r="AD46" s="0" t="n">
        <f aca="false">IF(D46="V",-2,0)+IF(D46="E",-1,0)+IF(D46="O",0,0)+IF(D46="L",1,0)+AA46</f>
        <v>-1.5</v>
      </c>
      <c r="AE46" s="1" t="n">
        <f aca="false">IF(B46="V",-2,0)+IF(B46="E",-1,0)+IF(B46="O",0,0)+IF(B46="L",1,0)</f>
        <v>0</v>
      </c>
      <c r="AF46" s="1" t="n">
        <f aca="false">IF(B46="V",-2,0)+IF(B46="E",-1,0)+IF(B46="O",0,0)+IF(B46="L",1,0)+Y46</f>
        <v>0</v>
      </c>
      <c r="AG46" s="1" t="n">
        <f aca="false">IF(B46="V",-2,0)+IF(B46="E",-1,0)+IF(B46="O",0,0)+IF(B46="L",1,0)+Y46*2</f>
        <v>0</v>
      </c>
      <c r="AH46" s="1" t="n">
        <f aca="false">IF(C46="V",-2,0)+IF(C46="E",-1,0)+IF(C46="O",0,0)+IF(C46="L",1,0)</f>
        <v>-2</v>
      </c>
      <c r="AI46" s="1" t="n">
        <f aca="false">IF(C46="V",-2,0)+IF(C46="E",-1,0)+IF(C46="O",0,0)+IF(C46="L",1,0)+Z46</f>
        <v>-1.5</v>
      </c>
      <c r="AJ46" s="1" t="n">
        <f aca="false">IF(C46="V",-2,0)+IF(C46="E",-1,0)+IF(C46="O",0,0)+IF(C46="L",1,0)+Z46*2</f>
        <v>-1</v>
      </c>
      <c r="AK46" s="1" t="n">
        <f aca="false">IF(D46="V",-2,0)+IF(D46="E",-1,0)+IF(D46="O",0,0)+IF(D46="L",1,0)</f>
        <v>-2</v>
      </c>
      <c r="AL46" s="1" t="n">
        <f aca="false">IF(D46="V",-2,0)+IF(D46="E",-1,0)+IF(D46="O",0,0)+IF(D46="L",1,0)+AA46</f>
        <v>-1.5</v>
      </c>
      <c r="AM46" s="1" t="n">
        <f aca="false">IF(D46="V",-2,0)+IF(D46="E",-1,0)+IF(D46="O",0,0)+IF(D46="L",1,0)+AA46*2</f>
        <v>-1</v>
      </c>
      <c r="AN46" s="1" t="n">
        <f aca="false">(ABS(IF(AE46&lt;0,AE46*Early,AE46*Late))+ABS(IF(AF46&lt;0,AF46*Early,AF46*Late))+ABS(IF(AG46&lt;0,AG46*Early,AG46*Late)))/3</f>
        <v>0</v>
      </c>
      <c r="AO46" s="1" t="n">
        <f aca="false">(ABS(IF(AH46&lt;0,AH46*Early,AH46*Late))+ABS(IF(AI46&lt;0,AI46*Early,AI46*Late))+ABS(IF(AJ46&lt;0,AJ46*Early,AJ46*Late)))/3</f>
        <v>4.5</v>
      </c>
      <c r="AP46" s="1" t="n">
        <f aca="false">(ABS(IF(AK46&lt;0,AK46*Early,AK46*Late))+ABS(IF(AL46&lt;0,AL46*Early,AL46*Late))+ABS(IF(AM46&lt;0,AM46*Early,AM46*Late)))/3</f>
        <v>4.5</v>
      </c>
      <c r="AQ46" s="0" t="n">
        <f aca="false">Y46*Delay+AN46</f>
        <v>0</v>
      </c>
      <c r="AR46" s="0" t="n">
        <f aca="false">Z46*Delay+AO46</f>
        <v>5</v>
      </c>
      <c r="AS46" s="0" t="n">
        <f aca="false">AA46*Delay+AP46</f>
        <v>5</v>
      </c>
      <c r="AT46" s="0" t="n">
        <f aca="false">IF(AR46=MIN(AR46:AR49),1,0)</f>
        <v>0</v>
      </c>
      <c r="AX46" s="0" t="str">
        <f aca="false">B46&amp;C46&amp;D46</f>
        <v>OVV</v>
      </c>
      <c r="AY46" s="1" t="n">
        <f aca="false">AQ46+AR46+AS46</f>
        <v>10</v>
      </c>
      <c r="AZ46" s="1" t="str">
        <f aca="false">RIGHT(AX46,2)</f>
        <v>VV</v>
      </c>
      <c r="BA46" s="1" t="str">
        <f aca="false">LEFT(AX46,1)&amp;RIGHT(AX46,1)</f>
        <v>OV</v>
      </c>
      <c r="BB46" s="1" t="str">
        <f aca="false">LEFT(AX46,2)</f>
        <v>OV</v>
      </c>
      <c r="BC46" s="1" t="n">
        <f aca="false">VLOOKUP(AZ46,TwoPlayers!$AG$1:$AH$17,2,FALSE())</f>
        <v>10</v>
      </c>
      <c r="BD46" s="1" t="n">
        <f aca="false">VLOOKUP(BA46,TwoPlayers!$AG$1:$AH$17,2,FALSE())</f>
        <v>6</v>
      </c>
      <c r="BE46" s="1" t="n">
        <f aca="false">VLOOKUP(BB46,TwoPlayers!$AG$1:$AH$17,2,FALSE())</f>
        <v>6</v>
      </c>
      <c r="BF46" s="1" t="n">
        <f aca="false">$AY46-BC46</f>
        <v>0</v>
      </c>
      <c r="BG46" s="1" t="n">
        <f aca="false">$AY46-BD46</f>
        <v>4</v>
      </c>
      <c r="BH46" s="1" t="n">
        <f aca="false">$AY46-BE46</f>
        <v>4</v>
      </c>
      <c r="BJ46" s="0" t="n">
        <f aca="false">AQ46+BF46</f>
        <v>0</v>
      </c>
      <c r="BK46" s="0" t="n">
        <f aca="false">AR46+BG46</f>
        <v>9</v>
      </c>
      <c r="BL46" s="0" t="n">
        <f aca="false">AS46+BH46</f>
        <v>9</v>
      </c>
      <c r="BM46" s="0" t="n">
        <f aca="false">IF(BK46=MIN(BK46:BK50),1,0)</f>
        <v>0</v>
      </c>
    </row>
    <row r="47" customFormat="false" ht="13" hidden="false" customHeight="false" outlineLevel="0" collapsed="false">
      <c r="A47" s="0" t="n">
        <v>37</v>
      </c>
      <c r="B47" s="0" t="s">
        <v>3</v>
      </c>
      <c r="C47" s="0" t="s">
        <v>2</v>
      </c>
      <c r="D47" s="0" t="s">
        <v>1</v>
      </c>
      <c r="E47" s="0" t="n">
        <f aca="false">(IF($B47="V",1,0))+IF($C47="V",1,0)+IF($D47="V",1,0)</f>
        <v>1</v>
      </c>
      <c r="F47" s="0" t="n">
        <f aca="false">(IF($B47="E",1,0))+IF($C47="E",1,0)+IF($D47="E",1,0)</f>
        <v>1</v>
      </c>
      <c r="G47" s="0" t="n">
        <f aca="false">(IF($B47="O",1,0))+IF($C47="O",1,0)+IF($D47="O",1,0)</f>
        <v>1</v>
      </c>
      <c r="H47" s="0" t="n">
        <f aca="false">(IF($B47="L",1,0))+IF($C47="L",1,0)+IF($D47="L",1,0)</f>
        <v>0</v>
      </c>
      <c r="I47" s="0" t="n">
        <f aca="false">(IF(B47="V",1,0))</f>
        <v>0</v>
      </c>
      <c r="J47" s="0" t="n">
        <f aca="false">(IF(B47="E",1,0))</f>
        <v>0</v>
      </c>
      <c r="K47" s="0" t="n">
        <f aca="false">(IF(B47="O",1,0))</f>
        <v>1</v>
      </c>
      <c r="L47" s="0" t="n">
        <f aca="false">(IF(B47="L",1,0))</f>
        <v>0</v>
      </c>
      <c r="M47" s="0" t="n">
        <f aca="false">(IF(C47="V",1,0))</f>
        <v>0</v>
      </c>
      <c r="N47" s="0" t="n">
        <f aca="false">(IF(C47="E",1,0))</f>
        <v>1</v>
      </c>
      <c r="O47" s="0" t="n">
        <f aca="false">(IF(C47="O",1,0))</f>
        <v>0</v>
      </c>
      <c r="P47" s="0" t="n">
        <f aca="false">(IF(C47="L",1,0))</f>
        <v>0</v>
      </c>
      <c r="Q47" s="0" t="n">
        <f aca="false">(IF(D47="V",1,0))</f>
        <v>1</v>
      </c>
      <c r="R47" s="0" t="n">
        <f aca="false">(IF(D47="E",1,0))</f>
        <v>0</v>
      </c>
      <c r="S47" s="0" t="n">
        <f aca="false">(IF(D47="O",1,0))</f>
        <v>0</v>
      </c>
      <c r="T47" s="0" t="n">
        <f aca="false">(IF(D47="L",1,0))</f>
        <v>0</v>
      </c>
      <c r="U47" s="0" t="n">
        <f aca="false">MAX(E47-1,0)</f>
        <v>0</v>
      </c>
      <c r="V47" s="0" t="n">
        <f aca="false">MAX(U47-1+F47,0)</f>
        <v>0</v>
      </c>
      <c r="W47" s="0" t="n">
        <f aca="false">MAX(V47-1+G47,0)</f>
        <v>0</v>
      </c>
      <c r="X47" s="0" t="n">
        <f aca="false">MAX(W47-1+H47,0)</f>
        <v>0</v>
      </c>
      <c r="Y47" s="1" t="n">
        <f aca="false">0.5*(E47*I47+F47*J47+G47*K47+H47*L47-1)+(0+$U47*J47+$V47*K47+$W47*L47)</f>
        <v>0</v>
      </c>
      <c r="Z47" s="1" t="n">
        <f aca="false">0.5*(E47*M47+F47*N47+G47*O47+H47*P47-1)+(0+$U47*N47+$V47*O47+$W47*P47)</f>
        <v>0</v>
      </c>
      <c r="AA47" s="1" t="n">
        <f aca="false">0.5*(E47*Q47+F47*R47+G47*S47+H47*T47-1)+(0+$U47*R47+$V47*S47+$W47*T47)</f>
        <v>0</v>
      </c>
      <c r="AB47" s="0" t="n">
        <f aca="false">IF(B47="V",-2,0)+IF(B47="E",-1,0)+IF(B47="O",0,0)+IF(B47="L",1,0)+Y47</f>
        <v>0</v>
      </c>
      <c r="AC47" s="0" t="n">
        <f aca="false">IF(C47="V",-2,0)+IF(C47="E",-1,0)+IF(C47="O",0,0)+IF(C47="L",1,0)+Z47</f>
        <v>-1</v>
      </c>
      <c r="AD47" s="0" t="n">
        <f aca="false">IF(D47="V",-2,0)+IF(D47="E",-1,0)+IF(D47="O",0,0)+IF(D47="L",1,0)+AA47</f>
        <v>-2</v>
      </c>
      <c r="AE47" s="1" t="n">
        <f aca="false">IF(B47="V",-2,0)+IF(B47="E",-1,0)+IF(B47="O",0,0)+IF(B47="L",1,0)</f>
        <v>0</v>
      </c>
      <c r="AF47" s="1" t="n">
        <f aca="false">IF(B47="V",-2,0)+IF(B47="E",-1,0)+IF(B47="O",0,0)+IF(B47="L",1,0)+Y47</f>
        <v>0</v>
      </c>
      <c r="AG47" s="1" t="n">
        <f aca="false">IF(B47="V",-2,0)+IF(B47="E",-1,0)+IF(B47="O",0,0)+IF(B47="L",1,0)+Y47*2</f>
        <v>0</v>
      </c>
      <c r="AH47" s="1" t="n">
        <f aca="false">IF(C47="V",-2,0)+IF(C47="E",-1,0)+IF(C47="O",0,0)+IF(C47="L",1,0)</f>
        <v>-1</v>
      </c>
      <c r="AI47" s="1" t="n">
        <f aca="false">IF(C47="V",-2,0)+IF(C47="E",-1,0)+IF(C47="O",0,0)+IF(C47="L",1,0)+Z47</f>
        <v>-1</v>
      </c>
      <c r="AJ47" s="1" t="n">
        <f aca="false">IF(C47="V",-2,0)+IF(C47="E",-1,0)+IF(C47="O",0,0)+IF(C47="L",1,0)+Z47*2</f>
        <v>-1</v>
      </c>
      <c r="AK47" s="1" t="n">
        <f aca="false">IF(D47="V",-2,0)+IF(D47="E",-1,0)+IF(D47="O",0,0)+IF(D47="L",1,0)</f>
        <v>-2</v>
      </c>
      <c r="AL47" s="1" t="n">
        <f aca="false">IF(D47="V",-2,0)+IF(D47="E",-1,0)+IF(D47="O",0,0)+IF(D47="L",1,0)+AA47</f>
        <v>-2</v>
      </c>
      <c r="AM47" s="1" t="n">
        <f aca="false">IF(D47="V",-2,0)+IF(D47="E",-1,0)+IF(D47="O",0,0)+IF(D47="L",1,0)+AA47*2</f>
        <v>-2</v>
      </c>
      <c r="AN47" s="1" t="n">
        <f aca="false">(ABS(IF(AE47&lt;0,AE47*Early,AE47*Late))+ABS(IF(AF47&lt;0,AF47*Early,AF47*Late))+ABS(IF(AG47&lt;0,AG47*Early,AG47*Late)))/3</f>
        <v>0</v>
      </c>
      <c r="AO47" s="1" t="n">
        <f aca="false">(ABS(IF(AH47&lt;0,AH47*Early,AH47*Late))+ABS(IF(AI47&lt;0,AI47*Early,AI47*Late))+ABS(IF(AJ47&lt;0,AJ47*Early,AJ47*Late)))/3</f>
        <v>3</v>
      </c>
      <c r="AP47" s="1" t="n">
        <f aca="false">(ABS(IF(AK47&lt;0,AK47*Early,AK47*Late))+ABS(IF(AL47&lt;0,AL47*Early,AL47*Late))+ABS(IF(AM47&lt;0,AM47*Early,AM47*Late)))/3</f>
        <v>6</v>
      </c>
      <c r="AQ47" s="0" t="n">
        <f aca="false">Y47*Delay+AN47</f>
        <v>0</v>
      </c>
      <c r="AR47" s="0" t="n">
        <f aca="false">Z47*Delay+AO47</f>
        <v>3</v>
      </c>
      <c r="AS47" s="0" t="n">
        <f aca="false">AA47*Delay+AP47</f>
        <v>6</v>
      </c>
      <c r="AT47" s="0" t="n">
        <f aca="false">IF(AR47=MIN(AR46:AR49),1,0)</f>
        <v>0</v>
      </c>
      <c r="AX47" s="0" t="str">
        <f aca="false">B47&amp;C47&amp;D47</f>
        <v>OEV</v>
      </c>
      <c r="AY47" s="1" t="n">
        <f aca="false">AQ47+AR47+AS47</f>
        <v>9</v>
      </c>
      <c r="AZ47" s="1" t="str">
        <f aca="false">RIGHT(AX47,2)</f>
        <v>EV</v>
      </c>
      <c r="BA47" s="1" t="str">
        <f aca="false">LEFT(AX47,1)&amp;RIGHT(AX47,1)</f>
        <v>OV</v>
      </c>
      <c r="BB47" s="1" t="str">
        <f aca="false">LEFT(AX47,2)</f>
        <v>OE</v>
      </c>
      <c r="BC47" s="1" t="n">
        <f aca="false">VLOOKUP(AZ47,TwoPlayers!$AG$1:$AH$17,2,FALSE())</f>
        <v>9</v>
      </c>
      <c r="BD47" s="1" t="n">
        <f aca="false">VLOOKUP(BA47,TwoPlayers!$AG$1:$AH$17,2,FALSE())</f>
        <v>6</v>
      </c>
      <c r="BE47" s="1" t="n">
        <f aca="false">VLOOKUP(BB47,TwoPlayers!$AG$1:$AH$17,2,FALSE())</f>
        <v>3</v>
      </c>
      <c r="BF47" s="1" t="n">
        <f aca="false">$AY47-BC47</f>
        <v>0</v>
      </c>
      <c r="BG47" s="1" t="n">
        <f aca="false">$AY47-BD47</f>
        <v>3</v>
      </c>
      <c r="BH47" s="1" t="n">
        <f aca="false">$AY47-BE47</f>
        <v>6</v>
      </c>
      <c r="BJ47" s="0" t="n">
        <f aca="false">AQ47+BF47</f>
        <v>0</v>
      </c>
      <c r="BK47" s="0" t="n">
        <f aca="false">AR47+BG47</f>
        <v>6</v>
      </c>
      <c r="BL47" s="0" t="n">
        <f aca="false">AS47+BH47</f>
        <v>12</v>
      </c>
      <c r="BM47" s="0" t="n">
        <f aca="false">IF(BK47=MIN(BK46:BK50),1,0)</f>
        <v>1</v>
      </c>
    </row>
    <row r="48" customFormat="false" ht="13" hidden="false" customHeight="false" outlineLevel="0" collapsed="false">
      <c r="A48" s="0" t="n">
        <v>41</v>
      </c>
      <c r="B48" s="0" t="s">
        <v>3</v>
      </c>
      <c r="C48" s="0" t="s">
        <v>3</v>
      </c>
      <c r="D48" s="0" t="s">
        <v>1</v>
      </c>
      <c r="E48" s="0" t="n">
        <f aca="false">(IF($B48="V",1,0))+IF($C48="V",1,0)+IF($D48="V",1,0)</f>
        <v>1</v>
      </c>
      <c r="F48" s="0" t="n">
        <f aca="false">(IF($B48="E",1,0))+IF($C48="E",1,0)+IF($D48="E",1,0)</f>
        <v>0</v>
      </c>
      <c r="G48" s="0" t="n">
        <f aca="false">(IF($B48="O",1,0))+IF($C48="O",1,0)+IF($D48="O",1,0)</f>
        <v>2</v>
      </c>
      <c r="H48" s="0" t="n">
        <f aca="false">(IF($B48="L",1,0))+IF($C48="L",1,0)+IF($D48="L",1,0)</f>
        <v>0</v>
      </c>
      <c r="I48" s="0" t="n">
        <f aca="false">(IF(B48="V",1,0))</f>
        <v>0</v>
      </c>
      <c r="J48" s="0" t="n">
        <f aca="false">(IF(B48="E",1,0))</f>
        <v>0</v>
      </c>
      <c r="K48" s="0" t="n">
        <f aca="false">(IF(B48="O",1,0))</f>
        <v>1</v>
      </c>
      <c r="L48" s="0" t="n">
        <f aca="false">(IF(B48="L",1,0))</f>
        <v>0</v>
      </c>
      <c r="M48" s="0" t="n">
        <f aca="false">(IF(C48="V",1,0))</f>
        <v>0</v>
      </c>
      <c r="N48" s="0" t="n">
        <f aca="false">(IF(C48="E",1,0))</f>
        <v>0</v>
      </c>
      <c r="O48" s="0" t="n">
        <f aca="false">(IF(C48="O",1,0))</f>
        <v>1</v>
      </c>
      <c r="P48" s="0" t="n">
        <f aca="false">(IF(C48="L",1,0))</f>
        <v>0</v>
      </c>
      <c r="Q48" s="0" t="n">
        <f aca="false">(IF(D48="V",1,0))</f>
        <v>1</v>
      </c>
      <c r="R48" s="0" t="n">
        <f aca="false">(IF(D48="E",1,0))</f>
        <v>0</v>
      </c>
      <c r="S48" s="0" t="n">
        <f aca="false">(IF(D48="O",1,0))</f>
        <v>0</v>
      </c>
      <c r="T48" s="0" t="n">
        <f aca="false">(IF(D48="L",1,0))</f>
        <v>0</v>
      </c>
      <c r="U48" s="0" t="n">
        <f aca="false">MAX(E48-1,0)</f>
        <v>0</v>
      </c>
      <c r="V48" s="0" t="n">
        <f aca="false">MAX(U48-1+F48,0)</f>
        <v>0</v>
      </c>
      <c r="W48" s="0" t="n">
        <f aca="false">MAX(V48-1+G48,0)</f>
        <v>1</v>
      </c>
      <c r="X48" s="0" t="n">
        <f aca="false">MAX(W48-1+H48,0)</f>
        <v>0</v>
      </c>
      <c r="Y48" s="1" t="n">
        <f aca="false">0.5*(E48*I48+F48*J48+G48*K48+H48*L48-1)+(0+$U48*J48+$V48*K48+$W48*L48)</f>
        <v>0.5</v>
      </c>
      <c r="Z48" s="1" t="n">
        <f aca="false">0.5*(E48*M48+F48*N48+G48*O48+H48*P48-1)+(0+$U48*N48+$V48*O48+$W48*P48)</f>
        <v>0.5</v>
      </c>
      <c r="AA48" s="1" t="n">
        <f aca="false">0.5*(E48*Q48+F48*R48+G48*S48+H48*T48-1)+(0+$U48*R48+$V48*S48+$W48*T48)</f>
        <v>0</v>
      </c>
      <c r="AB48" s="0" t="n">
        <f aca="false">IF(B48="V",-2,0)+IF(B48="E",-1,0)+IF(B48="O",0,0)+IF(B48="L",1,0)+Y48</f>
        <v>0.5</v>
      </c>
      <c r="AC48" s="0" t="n">
        <f aca="false">IF(C48="V",-2,0)+IF(C48="E",-1,0)+IF(C48="O",0,0)+IF(C48="L",1,0)+Z48</f>
        <v>0.5</v>
      </c>
      <c r="AD48" s="0" t="n">
        <f aca="false">IF(D48="V",-2,0)+IF(D48="E",-1,0)+IF(D48="O",0,0)+IF(D48="L",1,0)+AA48</f>
        <v>-2</v>
      </c>
      <c r="AE48" s="1" t="n">
        <f aca="false">IF(B48="V",-2,0)+IF(B48="E",-1,0)+IF(B48="O",0,0)+IF(B48="L",1,0)</f>
        <v>0</v>
      </c>
      <c r="AF48" s="1" t="n">
        <f aca="false">IF(B48="V",-2,0)+IF(B48="E",-1,0)+IF(B48="O",0,0)+IF(B48="L",1,0)+Y48</f>
        <v>0.5</v>
      </c>
      <c r="AG48" s="1" t="n">
        <f aca="false">IF(B48="V",-2,0)+IF(B48="E",-1,0)+IF(B48="O",0,0)+IF(B48="L",1,0)+Y48*2</f>
        <v>1</v>
      </c>
      <c r="AH48" s="1" t="n">
        <f aca="false">IF(C48="V",-2,0)+IF(C48="E",-1,0)+IF(C48="O",0,0)+IF(C48="L",1,0)</f>
        <v>0</v>
      </c>
      <c r="AI48" s="1" t="n">
        <f aca="false">IF(C48="V",-2,0)+IF(C48="E",-1,0)+IF(C48="O",0,0)+IF(C48="L",1,0)+Z48</f>
        <v>0.5</v>
      </c>
      <c r="AJ48" s="1" t="n">
        <f aca="false">IF(C48="V",-2,0)+IF(C48="E",-1,0)+IF(C48="O",0,0)+IF(C48="L",1,0)+Z48*2</f>
        <v>1</v>
      </c>
      <c r="AK48" s="1" t="n">
        <f aca="false">IF(D48="V",-2,0)+IF(D48="E",-1,0)+IF(D48="O",0,0)+IF(D48="L",1,0)</f>
        <v>-2</v>
      </c>
      <c r="AL48" s="1" t="n">
        <f aca="false">IF(D48="V",-2,0)+IF(D48="E",-1,0)+IF(D48="O",0,0)+IF(D48="L",1,0)+AA48</f>
        <v>-2</v>
      </c>
      <c r="AM48" s="1" t="n">
        <f aca="false">IF(D48="V",-2,0)+IF(D48="E",-1,0)+IF(D48="O",0,0)+IF(D48="L",1,0)+AA48*2</f>
        <v>-2</v>
      </c>
      <c r="AN48" s="1" t="n">
        <f aca="false">(ABS(IF(AE48&lt;0,AE48*Early,AE48*Late))+ABS(IF(AF48&lt;0,AF48*Early,AF48*Late))+ABS(IF(AG48&lt;0,AG48*Early,AG48*Late)))/3</f>
        <v>2</v>
      </c>
      <c r="AO48" s="1" t="n">
        <f aca="false">(ABS(IF(AH48&lt;0,AH48*Early,AH48*Late))+ABS(IF(AI48&lt;0,AI48*Early,AI48*Late))+ABS(IF(AJ48&lt;0,AJ48*Early,AJ48*Late)))/3</f>
        <v>2</v>
      </c>
      <c r="AP48" s="1" t="n">
        <f aca="false">(ABS(IF(AK48&lt;0,AK48*Early,AK48*Late))+ABS(IF(AL48&lt;0,AL48*Early,AL48*Late))+ABS(IF(AM48&lt;0,AM48*Early,AM48*Late)))/3</f>
        <v>6</v>
      </c>
      <c r="AQ48" s="0" t="n">
        <f aca="false">Y48*Delay+AN48</f>
        <v>2.5</v>
      </c>
      <c r="AR48" s="0" t="n">
        <f aca="false">Z48*Delay+AO48</f>
        <v>2.5</v>
      </c>
      <c r="AS48" s="0" t="n">
        <f aca="false">AA48*Delay+AP48</f>
        <v>6</v>
      </c>
      <c r="AT48" s="0" t="n">
        <f aca="false">IF(AR48=MIN(AR46:AR49),1,0)</f>
        <v>1</v>
      </c>
      <c r="AX48" s="0" t="str">
        <f aca="false">B48&amp;C48&amp;D48</f>
        <v>OOV</v>
      </c>
      <c r="AY48" s="1" t="n">
        <f aca="false">AQ48+AR48+AS48</f>
        <v>11</v>
      </c>
      <c r="AZ48" s="1" t="str">
        <f aca="false">RIGHT(AX48,2)</f>
        <v>OV</v>
      </c>
      <c r="BA48" s="1" t="str">
        <f aca="false">LEFT(AX48,1)&amp;RIGHT(AX48,1)</f>
        <v>OV</v>
      </c>
      <c r="BB48" s="1" t="str">
        <f aca="false">LEFT(AX48,2)</f>
        <v>OO</v>
      </c>
      <c r="BC48" s="1" t="n">
        <f aca="false">VLOOKUP(AZ48,TwoPlayers!$AG$1:$AH$17,2,FALSE())</f>
        <v>6</v>
      </c>
      <c r="BD48" s="1" t="n">
        <f aca="false">VLOOKUP(BA48,TwoPlayers!$AG$1:$AH$17,2,FALSE())</f>
        <v>6</v>
      </c>
      <c r="BE48" s="1" t="n">
        <f aca="false">VLOOKUP(BB48,TwoPlayers!$AG$1:$AH$17,2,FALSE())</f>
        <v>5</v>
      </c>
      <c r="BF48" s="1" t="n">
        <f aca="false">$AY48-BC48</f>
        <v>5</v>
      </c>
      <c r="BG48" s="1" t="n">
        <f aca="false">$AY48-BD48</f>
        <v>5</v>
      </c>
      <c r="BH48" s="1" t="n">
        <f aca="false">$AY48-BE48</f>
        <v>6</v>
      </c>
      <c r="BJ48" s="0" t="n">
        <f aca="false">AQ48+BF48</f>
        <v>7.5</v>
      </c>
      <c r="BK48" s="0" t="n">
        <f aca="false">AR48+BG48</f>
        <v>7.5</v>
      </c>
      <c r="BL48" s="0" t="n">
        <f aca="false">AS48+BH48</f>
        <v>12</v>
      </c>
      <c r="BM48" s="0" t="n">
        <f aca="false">IF(BK48=MIN(BK46:BK50),1,0)</f>
        <v>0</v>
      </c>
    </row>
    <row r="49" customFormat="false" ht="13" hidden="false" customHeight="false" outlineLevel="0" collapsed="false">
      <c r="A49" s="0" t="n">
        <v>45</v>
      </c>
      <c r="B49" s="0" t="s">
        <v>3</v>
      </c>
      <c r="C49" s="0" t="s">
        <v>4</v>
      </c>
      <c r="D49" s="0" t="s">
        <v>1</v>
      </c>
      <c r="E49" s="0" t="n">
        <f aca="false">(IF($B49="V",1,0))+IF($C49="V",1,0)+IF($D49="V",1,0)</f>
        <v>1</v>
      </c>
      <c r="F49" s="0" t="n">
        <f aca="false">(IF($B49="E",1,0))+IF($C49="E",1,0)+IF($D49="E",1,0)</f>
        <v>0</v>
      </c>
      <c r="G49" s="0" t="n">
        <f aca="false">(IF($B49="O",1,0))+IF($C49="O",1,0)+IF($D49="O",1,0)</f>
        <v>1</v>
      </c>
      <c r="H49" s="0" t="n">
        <f aca="false">(IF($B49="L",1,0))+IF($C49="L",1,0)+IF($D49="L",1,0)</f>
        <v>1</v>
      </c>
      <c r="I49" s="0" t="n">
        <f aca="false">(IF(B49="V",1,0))</f>
        <v>0</v>
      </c>
      <c r="J49" s="0" t="n">
        <f aca="false">(IF(B49="E",1,0))</f>
        <v>0</v>
      </c>
      <c r="K49" s="0" t="n">
        <f aca="false">(IF(B49="O",1,0))</f>
        <v>1</v>
      </c>
      <c r="L49" s="0" t="n">
        <f aca="false">(IF(B49="L",1,0))</f>
        <v>0</v>
      </c>
      <c r="M49" s="0" t="n">
        <f aca="false">(IF(C49="V",1,0))</f>
        <v>0</v>
      </c>
      <c r="N49" s="0" t="n">
        <f aca="false">(IF(C49="E",1,0))</f>
        <v>0</v>
      </c>
      <c r="O49" s="0" t="n">
        <f aca="false">(IF(C49="O",1,0))</f>
        <v>0</v>
      </c>
      <c r="P49" s="0" t="n">
        <f aca="false">(IF(C49="L",1,0))</f>
        <v>1</v>
      </c>
      <c r="Q49" s="0" t="n">
        <f aca="false">(IF(D49="V",1,0))</f>
        <v>1</v>
      </c>
      <c r="R49" s="0" t="n">
        <f aca="false">(IF(D49="E",1,0))</f>
        <v>0</v>
      </c>
      <c r="S49" s="0" t="n">
        <f aca="false">(IF(D49="O",1,0))</f>
        <v>0</v>
      </c>
      <c r="T49" s="0" t="n">
        <f aca="false">(IF(D49="L",1,0))</f>
        <v>0</v>
      </c>
      <c r="U49" s="0" t="n">
        <f aca="false">MAX(E49-1,0)</f>
        <v>0</v>
      </c>
      <c r="V49" s="0" t="n">
        <f aca="false">MAX(U49-1+F49,0)</f>
        <v>0</v>
      </c>
      <c r="W49" s="0" t="n">
        <f aca="false">MAX(V49-1+G49,0)</f>
        <v>0</v>
      </c>
      <c r="X49" s="0" t="n">
        <f aca="false">MAX(W49-1+H49,0)</f>
        <v>0</v>
      </c>
      <c r="Y49" s="1" t="n">
        <f aca="false">0.5*(E49*I49+F49*J49+G49*K49+H49*L49-1)+(0+$U49*J49+$V49*K49+$W49*L49)</f>
        <v>0</v>
      </c>
      <c r="Z49" s="1" t="n">
        <f aca="false">0.5*(E49*M49+F49*N49+G49*O49+H49*P49-1)+(0+$U49*N49+$V49*O49+$W49*P49)</f>
        <v>0</v>
      </c>
      <c r="AA49" s="1" t="n">
        <f aca="false">0.5*(E49*Q49+F49*R49+G49*S49+H49*T49-1)+(0+$U49*R49+$V49*S49+$W49*T49)</f>
        <v>0</v>
      </c>
      <c r="AB49" s="0" t="n">
        <f aca="false">IF(B49="V",-2,0)+IF(B49="E",-1,0)+IF(B49="O",0,0)+IF(B49="L",1,0)+Y49</f>
        <v>0</v>
      </c>
      <c r="AC49" s="0" t="n">
        <f aca="false">IF(C49="V",-2,0)+IF(C49="E",-1,0)+IF(C49="O",0,0)+IF(C49="L",1,0)+Z49</f>
        <v>1</v>
      </c>
      <c r="AD49" s="0" t="n">
        <f aca="false">IF(D49="V",-2,0)+IF(D49="E",-1,0)+IF(D49="O",0,0)+IF(D49="L",1,0)+AA49</f>
        <v>-2</v>
      </c>
      <c r="AE49" s="1" t="n">
        <f aca="false">IF(B49="V",-2,0)+IF(B49="E",-1,0)+IF(B49="O",0,0)+IF(B49="L",1,0)</f>
        <v>0</v>
      </c>
      <c r="AF49" s="1" t="n">
        <f aca="false">IF(B49="V",-2,0)+IF(B49="E",-1,0)+IF(B49="O",0,0)+IF(B49="L",1,0)+Y49</f>
        <v>0</v>
      </c>
      <c r="AG49" s="1" t="n">
        <f aca="false">IF(B49="V",-2,0)+IF(B49="E",-1,0)+IF(B49="O",0,0)+IF(B49="L",1,0)+Y49*2</f>
        <v>0</v>
      </c>
      <c r="AH49" s="1" t="n">
        <f aca="false">IF(C49="V",-2,0)+IF(C49="E",-1,0)+IF(C49="O",0,0)+IF(C49="L",1,0)</f>
        <v>1</v>
      </c>
      <c r="AI49" s="1" t="n">
        <f aca="false">IF(C49="V",-2,0)+IF(C49="E",-1,0)+IF(C49="O",0,0)+IF(C49="L",1,0)+Z49</f>
        <v>1</v>
      </c>
      <c r="AJ49" s="1" t="n">
        <f aca="false">IF(C49="V",-2,0)+IF(C49="E",-1,0)+IF(C49="O",0,0)+IF(C49="L",1,0)+Z49*2</f>
        <v>1</v>
      </c>
      <c r="AK49" s="1" t="n">
        <f aca="false">IF(D49="V",-2,0)+IF(D49="E",-1,0)+IF(D49="O",0,0)+IF(D49="L",1,0)</f>
        <v>-2</v>
      </c>
      <c r="AL49" s="1" t="n">
        <f aca="false">IF(D49="V",-2,0)+IF(D49="E",-1,0)+IF(D49="O",0,0)+IF(D49="L",1,0)+AA49</f>
        <v>-2</v>
      </c>
      <c r="AM49" s="1" t="n">
        <f aca="false">IF(D49="V",-2,0)+IF(D49="E",-1,0)+IF(D49="O",0,0)+IF(D49="L",1,0)+AA49*2</f>
        <v>-2</v>
      </c>
      <c r="AN49" s="1" t="n">
        <f aca="false">(ABS(IF(AE49&lt;0,AE49*Early,AE49*Late))+ABS(IF(AF49&lt;0,AF49*Early,AF49*Late))+ABS(IF(AG49&lt;0,AG49*Early,AG49*Late)))/3</f>
        <v>0</v>
      </c>
      <c r="AO49" s="1" t="n">
        <f aca="false">(ABS(IF(AH49&lt;0,AH49*Early,AH49*Late))+ABS(IF(AI49&lt;0,AI49*Early,AI49*Late))+ABS(IF(AJ49&lt;0,AJ49*Early,AJ49*Late)))/3</f>
        <v>4</v>
      </c>
      <c r="AP49" s="1" t="n">
        <f aca="false">(ABS(IF(AK49&lt;0,AK49*Early,AK49*Late))+ABS(IF(AL49&lt;0,AL49*Early,AL49*Late))+ABS(IF(AM49&lt;0,AM49*Early,AM49*Late)))/3</f>
        <v>6</v>
      </c>
      <c r="AQ49" s="0" t="n">
        <f aca="false">Y49*Delay+AN49</f>
        <v>0</v>
      </c>
      <c r="AR49" s="0" t="n">
        <f aca="false">Z49*Delay+AO49</f>
        <v>4</v>
      </c>
      <c r="AS49" s="0" t="n">
        <f aca="false">AA49*Delay+AP49</f>
        <v>6</v>
      </c>
      <c r="AT49" s="0" t="n">
        <f aca="false">IF(AR49=MIN(AR46:AR49),1,0)</f>
        <v>0</v>
      </c>
      <c r="AX49" s="0" t="str">
        <f aca="false">B49&amp;C49&amp;D49</f>
        <v>OLV</v>
      </c>
      <c r="AY49" s="1" t="n">
        <f aca="false">AQ49+AR49+AS49</f>
        <v>10</v>
      </c>
      <c r="AZ49" s="1" t="str">
        <f aca="false">RIGHT(AX49,2)</f>
        <v>LV</v>
      </c>
      <c r="BA49" s="1" t="str">
        <f aca="false">LEFT(AX49,1)&amp;RIGHT(AX49,1)</f>
        <v>OV</v>
      </c>
      <c r="BB49" s="1" t="str">
        <f aca="false">LEFT(AX49,2)</f>
        <v>OL</v>
      </c>
      <c r="BC49" s="1" t="n">
        <f aca="false">VLOOKUP(AZ49,TwoPlayers!$AG$1:$AH$17,2,FALSE())</f>
        <v>10</v>
      </c>
      <c r="BD49" s="1" t="n">
        <f aca="false">VLOOKUP(BA49,TwoPlayers!$AG$1:$AH$17,2,FALSE())</f>
        <v>6</v>
      </c>
      <c r="BE49" s="1" t="n">
        <f aca="false">VLOOKUP(BB49,TwoPlayers!$AG$1:$AH$17,2,FALSE())</f>
        <v>4</v>
      </c>
      <c r="BF49" s="1" t="n">
        <f aca="false">$AY49-BC49</f>
        <v>0</v>
      </c>
      <c r="BG49" s="1" t="n">
        <f aca="false">$AY49-BD49</f>
        <v>4</v>
      </c>
      <c r="BH49" s="1" t="n">
        <f aca="false">$AY49-BE49</f>
        <v>6</v>
      </c>
      <c r="BJ49" s="0" t="n">
        <f aca="false">AQ49+BF49</f>
        <v>0</v>
      </c>
      <c r="BK49" s="0" t="n">
        <f aca="false">AR49+BG49</f>
        <v>8</v>
      </c>
      <c r="BL49" s="0" t="n">
        <f aca="false">AS49+BH49</f>
        <v>12</v>
      </c>
      <c r="BM49" s="0" t="n">
        <f aca="false">IF(BK49=MIN(BK46:BK50),1,0)</f>
        <v>0</v>
      </c>
    </row>
    <row r="50" customFormat="false" ht="13" hidden="false" customHeight="false" outlineLevel="0" collapsed="false">
      <c r="A50" s="0" t="n">
        <v>2</v>
      </c>
      <c r="B50" s="0" t="s">
        <v>1</v>
      </c>
      <c r="C50" s="0" t="s">
        <v>1</v>
      </c>
      <c r="D50" s="0" t="s">
        <v>2</v>
      </c>
      <c r="E50" s="0" t="n">
        <f aca="false">(IF($B50="V",1,0))+IF($C50="V",1,0)+IF($D50="V",1,0)</f>
        <v>2</v>
      </c>
      <c r="F50" s="0" t="n">
        <f aca="false">(IF($B50="E",1,0))+IF($C50="E",1,0)+IF($D50="E",1,0)</f>
        <v>1</v>
      </c>
      <c r="G50" s="0" t="n">
        <f aca="false">(IF($B50="O",1,0))+IF($C50="O",1,0)+IF($D50="O",1,0)</f>
        <v>0</v>
      </c>
      <c r="H50" s="0" t="n">
        <f aca="false">(IF($B50="L",1,0))+IF($C50="L",1,0)+IF($D50="L",1,0)</f>
        <v>0</v>
      </c>
      <c r="I50" s="0" t="n">
        <f aca="false">(IF(B50="V",1,0))</f>
        <v>1</v>
      </c>
      <c r="J50" s="0" t="n">
        <f aca="false">(IF(B50="E",1,0))</f>
        <v>0</v>
      </c>
      <c r="K50" s="0" t="n">
        <f aca="false">(IF(B50="O",1,0))</f>
        <v>0</v>
      </c>
      <c r="L50" s="0" t="n">
        <f aca="false">(IF(B50="L",1,0))</f>
        <v>0</v>
      </c>
      <c r="M50" s="0" t="n">
        <f aca="false">(IF(C50="V",1,0))</f>
        <v>1</v>
      </c>
      <c r="N50" s="0" t="n">
        <f aca="false">(IF(C50="E",1,0))</f>
        <v>0</v>
      </c>
      <c r="O50" s="0" t="n">
        <f aca="false">(IF(C50="O",1,0))</f>
        <v>0</v>
      </c>
      <c r="P50" s="0" t="n">
        <f aca="false">(IF(C50="L",1,0))</f>
        <v>0</v>
      </c>
      <c r="Q50" s="0" t="n">
        <f aca="false">(IF(D50="V",1,0))</f>
        <v>0</v>
      </c>
      <c r="R50" s="0" t="n">
        <f aca="false">(IF(D50="E",1,0))</f>
        <v>1</v>
      </c>
      <c r="S50" s="0" t="n">
        <f aca="false">(IF(D50="O",1,0))</f>
        <v>0</v>
      </c>
      <c r="T50" s="0" t="n">
        <f aca="false">(IF(D50="L",1,0))</f>
        <v>0</v>
      </c>
      <c r="U50" s="0" t="n">
        <f aca="false">MAX(E50-1,0)</f>
        <v>1</v>
      </c>
      <c r="V50" s="0" t="n">
        <f aca="false">MAX(U50-1+F50,0)</f>
        <v>1</v>
      </c>
      <c r="W50" s="0" t="n">
        <f aca="false">MAX(V50-1+G50,0)</f>
        <v>0</v>
      </c>
      <c r="X50" s="0" t="n">
        <f aca="false">MAX(W50-1+H50,0)</f>
        <v>0</v>
      </c>
      <c r="Y50" s="1" t="n">
        <f aca="false">0.5*(E50*I50+F50*J50+G50*K50+H50*L50-1)+(0+$U50*J50+$V50*K50+$W50*L50)</f>
        <v>0.5</v>
      </c>
      <c r="Z50" s="1" t="n">
        <f aca="false">0.5*(E50*M50+F50*N50+G50*O50+H50*P50-1)+(0+$U50*N50+$V50*O50+$W50*P50)</f>
        <v>0.5</v>
      </c>
      <c r="AA50" s="1" t="n">
        <f aca="false">0.5*(E50*Q50+F50*R50+G50*S50+H50*T50-1)+(0+$U50*R50+$V50*S50+$W50*T50)</f>
        <v>1</v>
      </c>
      <c r="AB50" s="0" t="n">
        <f aca="false">IF(B50="V",-2,0)+IF(B50="E",-1,0)+IF(B50="O",0,0)+IF(B50="L",1,0)+Y50</f>
        <v>-1.5</v>
      </c>
      <c r="AC50" s="0" t="n">
        <f aca="false">IF(C50="V",-2,0)+IF(C50="E",-1,0)+IF(C50="O",0,0)+IF(C50="L",1,0)+Z50</f>
        <v>-1.5</v>
      </c>
      <c r="AD50" s="0" t="n">
        <f aca="false">IF(D50="V",-2,0)+IF(D50="E",-1,0)+IF(D50="O",0,0)+IF(D50="L",1,0)+AA50</f>
        <v>0</v>
      </c>
      <c r="AE50" s="1" t="n">
        <f aca="false">IF(B50="V",-2,0)+IF(B50="E",-1,0)+IF(B50="O",0,0)+IF(B50="L",1,0)</f>
        <v>-2</v>
      </c>
      <c r="AF50" s="1" t="n">
        <f aca="false">IF(B50="V",-2,0)+IF(B50="E",-1,0)+IF(B50="O",0,0)+IF(B50="L",1,0)+Y50</f>
        <v>-1.5</v>
      </c>
      <c r="AG50" s="1" t="n">
        <f aca="false">IF(B50="V",-2,0)+IF(B50="E",-1,0)+IF(B50="O",0,0)+IF(B50="L",1,0)+Y50*2</f>
        <v>-1</v>
      </c>
      <c r="AH50" s="1" t="n">
        <f aca="false">IF(C50="V",-2,0)+IF(C50="E",-1,0)+IF(C50="O",0,0)+IF(C50="L",1,0)</f>
        <v>-2</v>
      </c>
      <c r="AI50" s="1" t="n">
        <f aca="false">IF(C50="V",-2,0)+IF(C50="E",-1,0)+IF(C50="O",0,0)+IF(C50="L",1,0)+Z50</f>
        <v>-1.5</v>
      </c>
      <c r="AJ50" s="1" t="n">
        <f aca="false">IF(C50="V",-2,0)+IF(C50="E",-1,0)+IF(C50="O",0,0)+IF(C50="L",1,0)+Z50*2</f>
        <v>-1</v>
      </c>
      <c r="AK50" s="1" t="n">
        <f aca="false">IF(D50="V",-2,0)+IF(D50="E",-1,0)+IF(D50="O",0,0)+IF(D50="L",1,0)</f>
        <v>-1</v>
      </c>
      <c r="AL50" s="1" t="n">
        <f aca="false">IF(D50="V",-2,0)+IF(D50="E",-1,0)+IF(D50="O",0,0)+IF(D50="L",1,0)+AA50</f>
        <v>0</v>
      </c>
      <c r="AM50" s="1" t="n">
        <f aca="false">IF(D50="V",-2,0)+IF(D50="E",-1,0)+IF(D50="O",0,0)+IF(D50="L",1,0)+AA50*2</f>
        <v>1</v>
      </c>
      <c r="AN50" s="1" t="n">
        <f aca="false">(ABS(IF(AE50&lt;0,AE50*Early,AE50*Late))+ABS(IF(AF50&lt;0,AF50*Early,AF50*Late))+ABS(IF(AG50&lt;0,AG50*Early,AG50*Late)))/3</f>
        <v>4.5</v>
      </c>
      <c r="AO50" s="1" t="n">
        <f aca="false">(ABS(IF(AH50&lt;0,AH50*Early,AH50*Late))+ABS(IF(AI50&lt;0,AI50*Early,AI50*Late))+ABS(IF(AJ50&lt;0,AJ50*Early,AJ50*Late)))/3</f>
        <v>4.5</v>
      </c>
      <c r="AP50" s="1" t="n">
        <f aca="false">(ABS(IF(AK50&lt;0,AK50*Early,AK50*Late))+ABS(IF(AL50&lt;0,AL50*Early,AL50*Late))+ABS(IF(AM50&lt;0,AM50*Early,AM50*Late)))/3</f>
        <v>2.33333333333333</v>
      </c>
      <c r="AQ50" s="0" t="n">
        <f aca="false">Y50*Delay+AN50</f>
        <v>5</v>
      </c>
      <c r="AR50" s="0" t="n">
        <f aca="false">Z50*Delay+AO50</f>
        <v>5</v>
      </c>
      <c r="AS50" s="0" t="n">
        <f aca="false">AA50*Delay+AP50</f>
        <v>3.33333333333333</v>
      </c>
      <c r="AT50" s="0" t="n">
        <f aca="false">IF(AR50=MIN(AR50:AR53),1,0)</f>
        <v>0</v>
      </c>
      <c r="AX50" s="0" t="str">
        <f aca="false">B50&amp;C50&amp;D50</f>
        <v>VVE</v>
      </c>
      <c r="AY50" s="1" t="n">
        <f aca="false">AQ50+AR50+AS50</f>
        <v>13.3333333333333</v>
      </c>
      <c r="AZ50" s="1" t="str">
        <f aca="false">RIGHT(AX50,2)</f>
        <v>VE</v>
      </c>
      <c r="BA50" s="1" t="str">
        <f aca="false">LEFT(AX50,1)&amp;RIGHT(AX50,1)</f>
        <v>VE</v>
      </c>
      <c r="BB50" s="1" t="str">
        <f aca="false">LEFT(AX50,2)</f>
        <v>VV</v>
      </c>
      <c r="BC50" s="1" t="n">
        <f aca="false">VLOOKUP(AZ50,TwoPlayers!$AG$1:$AH$17,2,FALSE())</f>
        <v>9</v>
      </c>
      <c r="BD50" s="1" t="n">
        <f aca="false">VLOOKUP(BA50,TwoPlayers!$AG$1:$AH$17,2,FALSE())</f>
        <v>9</v>
      </c>
      <c r="BE50" s="1" t="n">
        <f aca="false">VLOOKUP(BB50,TwoPlayers!$AG$1:$AH$17,2,FALSE())</f>
        <v>10</v>
      </c>
      <c r="BF50" s="1" t="n">
        <f aca="false">$AY50-BC50</f>
        <v>4.33333333333333</v>
      </c>
      <c r="BG50" s="1" t="n">
        <f aca="false">$AY50-BD50</f>
        <v>4.33333333333333</v>
      </c>
      <c r="BH50" s="1" t="n">
        <f aca="false">$AY50-BE50</f>
        <v>3.33333333333333</v>
      </c>
      <c r="BJ50" s="0" t="n">
        <f aca="false">AQ50+BF50</f>
        <v>9.33333333333333</v>
      </c>
      <c r="BK50" s="0" t="n">
        <f aca="false">AR50+BG50</f>
        <v>9.33333333333333</v>
      </c>
      <c r="BL50" s="0" t="n">
        <f aca="false">AS50+BH50</f>
        <v>6.66666666666667</v>
      </c>
      <c r="BM50" s="0" t="n">
        <f aca="false">IF(BK50=MIN(BK50:BK54),1,0)</f>
        <v>0</v>
      </c>
    </row>
    <row r="51" customFormat="false" ht="13" hidden="false" customHeight="false" outlineLevel="0" collapsed="false">
      <c r="A51" s="0" t="n">
        <v>6</v>
      </c>
      <c r="B51" s="0" t="s">
        <v>1</v>
      </c>
      <c r="C51" s="0" t="s">
        <v>2</v>
      </c>
      <c r="D51" s="0" t="s">
        <v>2</v>
      </c>
      <c r="E51" s="0" t="n">
        <f aca="false">(IF($B51="V",1,0))+IF($C51="V",1,0)+IF($D51="V",1,0)</f>
        <v>1</v>
      </c>
      <c r="F51" s="0" t="n">
        <f aca="false">(IF($B51="E",1,0))+IF($C51="E",1,0)+IF($D51="E",1,0)</f>
        <v>2</v>
      </c>
      <c r="G51" s="0" t="n">
        <f aca="false">(IF($B51="O",1,0))+IF($C51="O",1,0)+IF($D51="O",1,0)</f>
        <v>0</v>
      </c>
      <c r="H51" s="0" t="n">
        <f aca="false">(IF($B51="L",1,0))+IF($C51="L",1,0)+IF($D51="L",1,0)</f>
        <v>0</v>
      </c>
      <c r="I51" s="0" t="n">
        <f aca="false">(IF(B51="V",1,0))</f>
        <v>1</v>
      </c>
      <c r="J51" s="0" t="n">
        <f aca="false">(IF(B51="E",1,0))</f>
        <v>0</v>
      </c>
      <c r="K51" s="0" t="n">
        <f aca="false">(IF(B51="O",1,0))</f>
        <v>0</v>
      </c>
      <c r="L51" s="0" t="n">
        <f aca="false">(IF(B51="L",1,0))</f>
        <v>0</v>
      </c>
      <c r="M51" s="0" t="n">
        <f aca="false">(IF(C51="V",1,0))</f>
        <v>0</v>
      </c>
      <c r="N51" s="0" t="n">
        <f aca="false">(IF(C51="E",1,0))</f>
        <v>1</v>
      </c>
      <c r="O51" s="0" t="n">
        <f aca="false">(IF(C51="O",1,0))</f>
        <v>0</v>
      </c>
      <c r="P51" s="0" t="n">
        <f aca="false">(IF(C51="L",1,0))</f>
        <v>0</v>
      </c>
      <c r="Q51" s="0" t="n">
        <f aca="false">(IF(D51="V",1,0))</f>
        <v>0</v>
      </c>
      <c r="R51" s="0" t="n">
        <f aca="false">(IF(D51="E",1,0))</f>
        <v>1</v>
      </c>
      <c r="S51" s="0" t="n">
        <f aca="false">(IF(D51="O",1,0))</f>
        <v>0</v>
      </c>
      <c r="T51" s="0" t="n">
        <f aca="false">(IF(D51="L",1,0))</f>
        <v>0</v>
      </c>
      <c r="U51" s="0" t="n">
        <f aca="false">MAX(E51-1,0)</f>
        <v>0</v>
      </c>
      <c r="V51" s="0" t="n">
        <f aca="false">MAX(U51-1+F51,0)</f>
        <v>1</v>
      </c>
      <c r="W51" s="0" t="n">
        <f aca="false">MAX(V51-1+G51,0)</f>
        <v>0</v>
      </c>
      <c r="X51" s="0" t="n">
        <f aca="false">MAX(W51-1+H51,0)</f>
        <v>0</v>
      </c>
      <c r="Y51" s="1" t="n">
        <f aca="false">0.5*(E51*I51+F51*J51+G51*K51+H51*L51-1)+(0+$U51*J51+$V51*K51+$W51*L51)</f>
        <v>0</v>
      </c>
      <c r="Z51" s="1" t="n">
        <f aca="false">0.5*(E51*M51+F51*N51+G51*O51+H51*P51-1)+(0+$U51*N51+$V51*O51+$W51*P51)</f>
        <v>0.5</v>
      </c>
      <c r="AA51" s="1" t="n">
        <f aca="false">0.5*(E51*Q51+F51*R51+G51*S51+H51*T51-1)+(0+$U51*R51+$V51*S51+$W51*T51)</f>
        <v>0.5</v>
      </c>
      <c r="AB51" s="0" t="n">
        <f aca="false">IF(B51="V",-2,0)+IF(B51="E",-1,0)+IF(B51="O",0,0)+IF(B51="L",1,0)+Y51</f>
        <v>-2</v>
      </c>
      <c r="AC51" s="0" t="n">
        <f aca="false">IF(C51="V",-2,0)+IF(C51="E",-1,0)+IF(C51="O",0,0)+IF(C51="L",1,0)+Z51</f>
        <v>-0.5</v>
      </c>
      <c r="AD51" s="0" t="n">
        <f aca="false">IF(D51="V",-2,0)+IF(D51="E",-1,0)+IF(D51="O",0,0)+IF(D51="L",1,0)+AA51</f>
        <v>-0.5</v>
      </c>
      <c r="AE51" s="1" t="n">
        <f aca="false">IF(B51="V",-2,0)+IF(B51="E",-1,0)+IF(B51="O",0,0)+IF(B51="L",1,0)</f>
        <v>-2</v>
      </c>
      <c r="AF51" s="1" t="n">
        <f aca="false">IF(B51="V",-2,0)+IF(B51="E",-1,0)+IF(B51="O",0,0)+IF(B51="L",1,0)+Y51</f>
        <v>-2</v>
      </c>
      <c r="AG51" s="1" t="n">
        <f aca="false">IF(B51="V",-2,0)+IF(B51="E",-1,0)+IF(B51="O",0,0)+IF(B51="L",1,0)+Y51*2</f>
        <v>-2</v>
      </c>
      <c r="AH51" s="1" t="n">
        <f aca="false">IF(C51="V",-2,0)+IF(C51="E",-1,0)+IF(C51="O",0,0)+IF(C51="L",1,0)</f>
        <v>-1</v>
      </c>
      <c r="AI51" s="1" t="n">
        <f aca="false">IF(C51="V",-2,0)+IF(C51="E",-1,0)+IF(C51="O",0,0)+IF(C51="L",1,0)+Z51</f>
        <v>-0.5</v>
      </c>
      <c r="AJ51" s="1" t="n">
        <f aca="false">IF(C51="V",-2,0)+IF(C51="E",-1,0)+IF(C51="O",0,0)+IF(C51="L",1,0)+Z51*2</f>
        <v>0</v>
      </c>
      <c r="AK51" s="1" t="n">
        <f aca="false">IF(D51="V",-2,0)+IF(D51="E",-1,0)+IF(D51="O",0,0)+IF(D51="L",1,0)</f>
        <v>-1</v>
      </c>
      <c r="AL51" s="1" t="n">
        <f aca="false">IF(D51="V",-2,0)+IF(D51="E",-1,0)+IF(D51="O",0,0)+IF(D51="L",1,0)+AA51</f>
        <v>-0.5</v>
      </c>
      <c r="AM51" s="1" t="n">
        <f aca="false">IF(D51="V",-2,0)+IF(D51="E",-1,0)+IF(D51="O",0,0)+IF(D51="L",1,0)+AA51*2</f>
        <v>0</v>
      </c>
      <c r="AN51" s="1" t="n">
        <f aca="false">(ABS(IF(AE51&lt;0,AE51*Early,AE51*Late))+ABS(IF(AF51&lt;0,AF51*Early,AF51*Late))+ABS(IF(AG51&lt;0,AG51*Early,AG51*Late)))/3</f>
        <v>6</v>
      </c>
      <c r="AO51" s="1" t="n">
        <f aca="false">(ABS(IF(AH51&lt;0,AH51*Early,AH51*Late))+ABS(IF(AI51&lt;0,AI51*Early,AI51*Late))+ABS(IF(AJ51&lt;0,AJ51*Early,AJ51*Late)))/3</f>
        <v>1.5</v>
      </c>
      <c r="AP51" s="1" t="n">
        <f aca="false">(ABS(IF(AK51&lt;0,AK51*Early,AK51*Late))+ABS(IF(AL51&lt;0,AL51*Early,AL51*Late))+ABS(IF(AM51&lt;0,AM51*Early,AM51*Late)))/3</f>
        <v>1.5</v>
      </c>
      <c r="AQ51" s="0" t="n">
        <f aca="false">Y51*Delay+AN51</f>
        <v>6</v>
      </c>
      <c r="AR51" s="0" t="n">
        <f aca="false">Z51*Delay+AO51</f>
        <v>2</v>
      </c>
      <c r="AS51" s="0" t="n">
        <f aca="false">AA51*Delay+AP51</f>
        <v>2</v>
      </c>
      <c r="AT51" s="0" t="n">
        <f aca="false">IF(AR51=MIN(AR50:AR53),1,0)</f>
        <v>0</v>
      </c>
      <c r="AX51" s="0" t="str">
        <f aca="false">B51&amp;C51&amp;D51</f>
        <v>VEE</v>
      </c>
      <c r="AY51" s="1" t="n">
        <f aca="false">AQ51+AR51+AS51</f>
        <v>10</v>
      </c>
      <c r="AZ51" s="1" t="str">
        <f aca="false">RIGHT(AX51,2)</f>
        <v>EE</v>
      </c>
      <c r="BA51" s="1" t="str">
        <f aca="false">LEFT(AX51,1)&amp;RIGHT(AX51,1)</f>
        <v>VE</v>
      </c>
      <c r="BB51" s="1" t="str">
        <f aca="false">LEFT(AX51,2)</f>
        <v>VE</v>
      </c>
      <c r="BC51" s="1" t="n">
        <f aca="false">VLOOKUP(AZ51,TwoPlayers!$AG$1:$AH$17,2,FALSE())</f>
        <v>4</v>
      </c>
      <c r="BD51" s="1" t="n">
        <f aca="false">VLOOKUP(BA51,TwoPlayers!$AG$1:$AH$17,2,FALSE())</f>
        <v>9</v>
      </c>
      <c r="BE51" s="1" t="n">
        <f aca="false">VLOOKUP(BB51,TwoPlayers!$AG$1:$AH$17,2,FALSE())</f>
        <v>9</v>
      </c>
      <c r="BF51" s="1" t="n">
        <f aca="false">$AY51-BC51</f>
        <v>6</v>
      </c>
      <c r="BG51" s="1" t="n">
        <f aca="false">$AY51-BD51</f>
        <v>1</v>
      </c>
      <c r="BH51" s="1" t="n">
        <f aca="false">$AY51-BE51</f>
        <v>1</v>
      </c>
      <c r="BJ51" s="0" t="n">
        <f aca="false">AQ51+BF51</f>
        <v>12</v>
      </c>
      <c r="BK51" s="0" t="n">
        <f aca="false">AR51+BG51</f>
        <v>3</v>
      </c>
      <c r="BL51" s="0" t="n">
        <f aca="false">AS51+BH51</f>
        <v>3</v>
      </c>
      <c r="BM51" s="0" t="n">
        <f aca="false">IF(BK51=MIN(BK50:BK54),1,0)</f>
        <v>0</v>
      </c>
    </row>
    <row r="52" customFormat="false" ht="13" hidden="false" customHeight="false" outlineLevel="0" collapsed="false">
      <c r="A52" s="0" t="n">
        <v>10</v>
      </c>
      <c r="B52" s="0" t="s">
        <v>1</v>
      </c>
      <c r="C52" s="0" t="s">
        <v>3</v>
      </c>
      <c r="D52" s="0" t="s">
        <v>2</v>
      </c>
      <c r="E52" s="0" t="n">
        <f aca="false">(IF($B52="V",1,0))+IF($C52="V",1,0)+IF($D52="V",1,0)</f>
        <v>1</v>
      </c>
      <c r="F52" s="0" t="n">
        <f aca="false">(IF($B52="E",1,0))+IF($C52="E",1,0)+IF($D52="E",1,0)</f>
        <v>1</v>
      </c>
      <c r="G52" s="0" t="n">
        <f aca="false">(IF($B52="O",1,0))+IF($C52="O",1,0)+IF($D52="O",1,0)</f>
        <v>1</v>
      </c>
      <c r="H52" s="0" t="n">
        <f aca="false">(IF($B52="L",1,0))+IF($C52="L",1,0)+IF($D52="L",1,0)</f>
        <v>0</v>
      </c>
      <c r="I52" s="0" t="n">
        <f aca="false">(IF(B52="V",1,0))</f>
        <v>1</v>
      </c>
      <c r="J52" s="0" t="n">
        <f aca="false">(IF(B52="E",1,0))</f>
        <v>0</v>
      </c>
      <c r="K52" s="0" t="n">
        <f aca="false">(IF(B52="O",1,0))</f>
        <v>0</v>
      </c>
      <c r="L52" s="0" t="n">
        <f aca="false">(IF(B52="L",1,0))</f>
        <v>0</v>
      </c>
      <c r="M52" s="0" t="n">
        <f aca="false">(IF(C52="V",1,0))</f>
        <v>0</v>
      </c>
      <c r="N52" s="0" t="n">
        <f aca="false">(IF(C52="E",1,0))</f>
        <v>0</v>
      </c>
      <c r="O52" s="0" t="n">
        <f aca="false">(IF(C52="O",1,0))</f>
        <v>1</v>
      </c>
      <c r="P52" s="0" t="n">
        <f aca="false">(IF(C52="L",1,0))</f>
        <v>0</v>
      </c>
      <c r="Q52" s="0" t="n">
        <f aca="false">(IF(D52="V",1,0))</f>
        <v>0</v>
      </c>
      <c r="R52" s="0" t="n">
        <f aca="false">(IF(D52="E",1,0))</f>
        <v>1</v>
      </c>
      <c r="S52" s="0" t="n">
        <f aca="false">(IF(D52="O",1,0))</f>
        <v>0</v>
      </c>
      <c r="T52" s="0" t="n">
        <f aca="false">(IF(D52="L",1,0))</f>
        <v>0</v>
      </c>
      <c r="U52" s="0" t="n">
        <f aca="false">MAX(E52-1,0)</f>
        <v>0</v>
      </c>
      <c r="V52" s="0" t="n">
        <f aca="false">MAX(U52-1+F52,0)</f>
        <v>0</v>
      </c>
      <c r="W52" s="0" t="n">
        <f aca="false">MAX(V52-1+G52,0)</f>
        <v>0</v>
      </c>
      <c r="X52" s="0" t="n">
        <f aca="false">MAX(W52-1+H52,0)</f>
        <v>0</v>
      </c>
      <c r="Y52" s="1" t="n">
        <f aca="false">0.5*(E52*I52+F52*J52+G52*K52+H52*L52-1)+(0+$U52*J52+$V52*K52+$W52*L52)</f>
        <v>0</v>
      </c>
      <c r="Z52" s="1" t="n">
        <f aca="false">0.5*(E52*M52+F52*N52+G52*O52+H52*P52-1)+(0+$U52*N52+$V52*O52+$W52*P52)</f>
        <v>0</v>
      </c>
      <c r="AA52" s="1" t="n">
        <f aca="false">0.5*(E52*Q52+F52*R52+G52*S52+H52*T52-1)+(0+$U52*R52+$V52*S52+$W52*T52)</f>
        <v>0</v>
      </c>
      <c r="AB52" s="0" t="n">
        <f aca="false">IF(B52="V",-2,0)+IF(B52="E",-1,0)+IF(B52="O",0,0)+IF(B52="L",1,0)+Y52</f>
        <v>-2</v>
      </c>
      <c r="AC52" s="0" t="n">
        <f aca="false">IF(C52="V",-2,0)+IF(C52="E",-1,0)+IF(C52="O",0,0)+IF(C52="L",1,0)+Z52</f>
        <v>0</v>
      </c>
      <c r="AD52" s="0" t="n">
        <f aca="false">IF(D52="V",-2,0)+IF(D52="E",-1,0)+IF(D52="O",0,0)+IF(D52="L",1,0)+AA52</f>
        <v>-1</v>
      </c>
      <c r="AE52" s="1" t="n">
        <f aca="false">IF(B52="V",-2,0)+IF(B52="E",-1,0)+IF(B52="O",0,0)+IF(B52="L",1,0)</f>
        <v>-2</v>
      </c>
      <c r="AF52" s="1" t="n">
        <f aca="false">IF(B52="V",-2,0)+IF(B52="E",-1,0)+IF(B52="O",0,0)+IF(B52="L",1,0)+Y52</f>
        <v>-2</v>
      </c>
      <c r="AG52" s="1" t="n">
        <f aca="false">IF(B52="V",-2,0)+IF(B52="E",-1,0)+IF(B52="O",0,0)+IF(B52="L",1,0)+Y52*2</f>
        <v>-2</v>
      </c>
      <c r="AH52" s="1" t="n">
        <f aca="false">IF(C52="V",-2,0)+IF(C52="E",-1,0)+IF(C52="O",0,0)+IF(C52="L",1,0)</f>
        <v>0</v>
      </c>
      <c r="AI52" s="1" t="n">
        <f aca="false">IF(C52="V",-2,0)+IF(C52="E",-1,0)+IF(C52="O",0,0)+IF(C52="L",1,0)+Z52</f>
        <v>0</v>
      </c>
      <c r="AJ52" s="1" t="n">
        <f aca="false">IF(C52="V",-2,0)+IF(C52="E",-1,0)+IF(C52="O",0,0)+IF(C52="L",1,0)+Z52*2</f>
        <v>0</v>
      </c>
      <c r="AK52" s="1" t="n">
        <f aca="false">IF(D52="V",-2,0)+IF(D52="E",-1,0)+IF(D52="O",0,0)+IF(D52="L",1,0)</f>
        <v>-1</v>
      </c>
      <c r="AL52" s="1" t="n">
        <f aca="false">IF(D52="V",-2,0)+IF(D52="E",-1,0)+IF(D52="O",0,0)+IF(D52="L",1,0)+AA52</f>
        <v>-1</v>
      </c>
      <c r="AM52" s="1" t="n">
        <f aca="false">IF(D52="V",-2,0)+IF(D52="E",-1,0)+IF(D52="O",0,0)+IF(D52="L",1,0)+AA52*2</f>
        <v>-1</v>
      </c>
      <c r="AN52" s="1" t="n">
        <f aca="false">(ABS(IF(AE52&lt;0,AE52*Early,AE52*Late))+ABS(IF(AF52&lt;0,AF52*Early,AF52*Late))+ABS(IF(AG52&lt;0,AG52*Early,AG52*Late)))/3</f>
        <v>6</v>
      </c>
      <c r="AO52" s="1" t="n">
        <f aca="false">(ABS(IF(AH52&lt;0,AH52*Early,AH52*Late))+ABS(IF(AI52&lt;0,AI52*Early,AI52*Late))+ABS(IF(AJ52&lt;0,AJ52*Early,AJ52*Late)))/3</f>
        <v>0</v>
      </c>
      <c r="AP52" s="1" t="n">
        <f aca="false">(ABS(IF(AK52&lt;0,AK52*Early,AK52*Late))+ABS(IF(AL52&lt;0,AL52*Early,AL52*Late))+ABS(IF(AM52&lt;0,AM52*Early,AM52*Late)))/3</f>
        <v>3</v>
      </c>
      <c r="AQ52" s="0" t="n">
        <f aca="false">Y52*Delay+AN52</f>
        <v>6</v>
      </c>
      <c r="AR52" s="0" t="n">
        <f aca="false">Z52*Delay+AO52</f>
        <v>0</v>
      </c>
      <c r="AS52" s="0" t="n">
        <f aca="false">AA52*Delay+AP52</f>
        <v>3</v>
      </c>
      <c r="AT52" s="0" t="n">
        <f aca="false">IF(AR52=MIN(AR50:AR53),1,0)</f>
        <v>1</v>
      </c>
      <c r="AX52" s="0" t="str">
        <f aca="false">B52&amp;C52&amp;D52</f>
        <v>VOE</v>
      </c>
      <c r="AY52" s="1" t="n">
        <f aca="false">AQ52+AR52+AS52</f>
        <v>9</v>
      </c>
      <c r="AZ52" s="1" t="str">
        <f aca="false">RIGHT(AX52,2)</f>
        <v>OE</v>
      </c>
      <c r="BA52" s="1" t="str">
        <f aca="false">LEFT(AX52,1)&amp;RIGHT(AX52,1)</f>
        <v>VE</v>
      </c>
      <c r="BB52" s="1" t="str">
        <f aca="false">LEFT(AX52,2)</f>
        <v>VO</v>
      </c>
      <c r="BC52" s="1" t="n">
        <f aca="false">VLOOKUP(AZ52,TwoPlayers!$AG$1:$AH$17,2,FALSE())</f>
        <v>3</v>
      </c>
      <c r="BD52" s="1" t="n">
        <f aca="false">VLOOKUP(BA52,TwoPlayers!$AG$1:$AH$17,2,FALSE())</f>
        <v>9</v>
      </c>
      <c r="BE52" s="1" t="n">
        <f aca="false">VLOOKUP(BB52,TwoPlayers!$AG$1:$AH$17,2,FALSE())</f>
        <v>6</v>
      </c>
      <c r="BF52" s="1" t="n">
        <f aca="false">$AY52-BC52</f>
        <v>6</v>
      </c>
      <c r="BG52" s="1" t="n">
        <f aca="false">$AY52-BD52</f>
        <v>0</v>
      </c>
      <c r="BH52" s="1" t="n">
        <f aca="false">$AY52-BE52</f>
        <v>3</v>
      </c>
      <c r="BJ52" s="0" t="n">
        <f aca="false">AQ52+BF52</f>
        <v>12</v>
      </c>
      <c r="BK52" s="0" t="n">
        <f aca="false">AR52+BG52</f>
        <v>0</v>
      </c>
      <c r="BL52" s="0" t="n">
        <f aca="false">AS52+BH52</f>
        <v>6</v>
      </c>
      <c r="BM52" s="0" t="n">
        <f aca="false">IF(BK52=MIN(BK50:BK54),1,0)</f>
        <v>1</v>
      </c>
    </row>
    <row r="53" customFormat="false" ht="13" hidden="false" customHeight="false" outlineLevel="0" collapsed="false">
      <c r="A53" s="0" t="n">
        <v>14</v>
      </c>
      <c r="B53" s="0" t="s">
        <v>1</v>
      </c>
      <c r="C53" s="0" t="s">
        <v>4</v>
      </c>
      <c r="D53" s="0" t="s">
        <v>2</v>
      </c>
      <c r="E53" s="0" t="n">
        <f aca="false">(IF($B53="V",1,0))+IF($C53="V",1,0)+IF($D53="V",1,0)</f>
        <v>1</v>
      </c>
      <c r="F53" s="0" t="n">
        <f aca="false">(IF($B53="E",1,0))+IF($C53="E",1,0)+IF($D53="E",1,0)</f>
        <v>1</v>
      </c>
      <c r="G53" s="0" t="n">
        <f aca="false">(IF($B53="O",1,0))+IF($C53="O",1,0)+IF($D53="O",1,0)</f>
        <v>0</v>
      </c>
      <c r="H53" s="0" t="n">
        <f aca="false">(IF($B53="L",1,0))+IF($C53="L",1,0)+IF($D53="L",1,0)</f>
        <v>1</v>
      </c>
      <c r="I53" s="0" t="n">
        <f aca="false">(IF(B53="V",1,0))</f>
        <v>1</v>
      </c>
      <c r="J53" s="0" t="n">
        <f aca="false">(IF(B53="E",1,0))</f>
        <v>0</v>
      </c>
      <c r="K53" s="0" t="n">
        <f aca="false">(IF(B53="O",1,0))</f>
        <v>0</v>
      </c>
      <c r="L53" s="0" t="n">
        <f aca="false">(IF(B53="L",1,0))</f>
        <v>0</v>
      </c>
      <c r="M53" s="0" t="n">
        <f aca="false">(IF(C53="V",1,0))</f>
        <v>0</v>
      </c>
      <c r="N53" s="0" t="n">
        <f aca="false">(IF(C53="E",1,0))</f>
        <v>0</v>
      </c>
      <c r="O53" s="0" t="n">
        <f aca="false">(IF(C53="O",1,0))</f>
        <v>0</v>
      </c>
      <c r="P53" s="0" t="n">
        <f aca="false">(IF(C53="L",1,0))</f>
        <v>1</v>
      </c>
      <c r="Q53" s="0" t="n">
        <f aca="false">(IF(D53="V",1,0))</f>
        <v>0</v>
      </c>
      <c r="R53" s="0" t="n">
        <f aca="false">(IF(D53="E",1,0))</f>
        <v>1</v>
      </c>
      <c r="S53" s="0" t="n">
        <f aca="false">(IF(D53="O",1,0))</f>
        <v>0</v>
      </c>
      <c r="T53" s="0" t="n">
        <f aca="false">(IF(D53="L",1,0))</f>
        <v>0</v>
      </c>
      <c r="U53" s="0" t="n">
        <f aca="false">MAX(E53-1,0)</f>
        <v>0</v>
      </c>
      <c r="V53" s="0" t="n">
        <f aca="false">MAX(U53-1+F53,0)</f>
        <v>0</v>
      </c>
      <c r="W53" s="0" t="n">
        <f aca="false">MAX(V53-1+G53,0)</f>
        <v>0</v>
      </c>
      <c r="X53" s="0" t="n">
        <f aca="false">MAX(W53-1+H53,0)</f>
        <v>0</v>
      </c>
      <c r="Y53" s="1" t="n">
        <f aca="false">0.5*(E53*I53+F53*J53+G53*K53+H53*L53-1)+(0+$U53*J53+$V53*K53+$W53*L53)</f>
        <v>0</v>
      </c>
      <c r="Z53" s="1" t="n">
        <f aca="false">0.5*(E53*M53+F53*N53+G53*O53+H53*P53-1)+(0+$U53*N53+$V53*O53+$W53*P53)</f>
        <v>0</v>
      </c>
      <c r="AA53" s="1" t="n">
        <f aca="false">0.5*(E53*Q53+F53*R53+G53*S53+H53*T53-1)+(0+$U53*R53+$V53*S53+$W53*T53)</f>
        <v>0</v>
      </c>
      <c r="AB53" s="0" t="n">
        <f aca="false">IF(B53="V",-2,0)+IF(B53="E",-1,0)+IF(B53="O",0,0)+IF(B53="L",1,0)+Y53</f>
        <v>-2</v>
      </c>
      <c r="AC53" s="0" t="n">
        <f aca="false">IF(C53="V",-2,0)+IF(C53="E",-1,0)+IF(C53="O",0,0)+IF(C53="L",1,0)+Z53</f>
        <v>1</v>
      </c>
      <c r="AD53" s="0" t="n">
        <f aca="false">IF(D53="V",-2,0)+IF(D53="E",-1,0)+IF(D53="O",0,0)+IF(D53="L",1,0)+AA53</f>
        <v>-1</v>
      </c>
      <c r="AE53" s="1" t="n">
        <f aca="false">IF(B53="V",-2,0)+IF(B53="E",-1,0)+IF(B53="O",0,0)+IF(B53="L",1,0)</f>
        <v>-2</v>
      </c>
      <c r="AF53" s="1" t="n">
        <f aca="false">IF(B53="V",-2,0)+IF(B53="E",-1,0)+IF(B53="O",0,0)+IF(B53="L",1,0)+Y53</f>
        <v>-2</v>
      </c>
      <c r="AG53" s="1" t="n">
        <f aca="false">IF(B53="V",-2,0)+IF(B53="E",-1,0)+IF(B53="O",0,0)+IF(B53="L",1,0)+Y53*2</f>
        <v>-2</v>
      </c>
      <c r="AH53" s="1" t="n">
        <f aca="false">IF(C53="V",-2,0)+IF(C53="E",-1,0)+IF(C53="O",0,0)+IF(C53="L",1,0)</f>
        <v>1</v>
      </c>
      <c r="AI53" s="1" t="n">
        <f aca="false">IF(C53="V",-2,0)+IF(C53="E",-1,0)+IF(C53="O",0,0)+IF(C53="L",1,0)+Z53</f>
        <v>1</v>
      </c>
      <c r="AJ53" s="1" t="n">
        <f aca="false">IF(C53="V",-2,0)+IF(C53="E",-1,0)+IF(C53="O",0,0)+IF(C53="L",1,0)+Z53*2</f>
        <v>1</v>
      </c>
      <c r="AK53" s="1" t="n">
        <f aca="false">IF(D53="V",-2,0)+IF(D53="E",-1,0)+IF(D53="O",0,0)+IF(D53="L",1,0)</f>
        <v>-1</v>
      </c>
      <c r="AL53" s="1" t="n">
        <f aca="false">IF(D53="V",-2,0)+IF(D53="E",-1,0)+IF(D53="O",0,0)+IF(D53="L",1,0)+AA53</f>
        <v>-1</v>
      </c>
      <c r="AM53" s="1" t="n">
        <f aca="false">IF(D53="V",-2,0)+IF(D53="E",-1,0)+IF(D53="O",0,0)+IF(D53="L",1,0)+AA53*2</f>
        <v>-1</v>
      </c>
      <c r="AN53" s="1" t="n">
        <f aca="false">(ABS(IF(AE53&lt;0,AE53*Early,AE53*Late))+ABS(IF(AF53&lt;0,AF53*Early,AF53*Late))+ABS(IF(AG53&lt;0,AG53*Early,AG53*Late)))/3</f>
        <v>6</v>
      </c>
      <c r="AO53" s="1" t="n">
        <f aca="false">(ABS(IF(AH53&lt;0,AH53*Early,AH53*Late))+ABS(IF(AI53&lt;0,AI53*Early,AI53*Late))+ABS(IF(AJ53&lt;0,AJ53*Early,AJ53*Late)))/3</f>
        <v>4</v>
      </c>
      <c r="AP53" s="1" t="n">
        <f aca="false">(ABS(IF(AK53&lt;0,AK53*Early,AK53*Late))+ABS(IF(AL53&lt;0,AL53*Early,AL53*Late))+ABS(IF(AM53&lt;0,AM53*Early,AM53*Late)))/3</f>
        <v>3</v>
      </c>
      <c r="AQ53" s="0" t="n">
        <f aca="false">Y53*Delay+AN53</f>
        <v>6</v>
      </c>
      <c r="AR53" s="0" t="n">
        <f aca="false">Z53*Delay+AO53</f>
        <v>4</v>
      </c>
      <c r="AS53" s="0" t="n">
        <f aca="false">AA53*Delay+AP53</f>
        <v>3</v>
      </c>
      <c r="AT53" s="0" t="n">
        <f aca="false">IF(AR53=MIN(AR50:AR53),1,0)</f>
        <v>0</v>
      </c>
      <c r="AX53" s="0" t="str">
        <f aca="false">B53&amp;C53&amp;D53</f>
        <v>VLE</v>
      </c>
      <c r="AY53" s="1" t="n">
        <f aca="false">AQ53+AR53+AS53</f>
        <v>13</v>
      </c>
      <c r="AZ53" s="1" t="str">
        <f aca="false">RIGHT(AX53,2)</f>
        <v>LE</v>
      </c>
      <c r="BA53" s="1" t="str">
        <f aca="false">LEFT(AX53,1)&amp;RIGHT(AX53,1)</f>
        <v>VE</v>
      </c>
      <c r="BB53" s="1" t="str">
        <f aca="false">LEFT(AX53,2)</f>
        <v>VL</v>
      </c>
      <c r="BC53" s="1" t="n">
        <f aca="false">VLOOKUP(AZ53,TwoPlayers!$AG$1:$AH$17,2,FALSE())</f>
        <v>7</v>
      </c>
      <c r="BD53" s="1" t="n">
        <f aca="false">VLOOKUP(BA53,TwoPlayers!$AG$1:$AH$17,2,FALSE())</f>
        <v>9</v>
      </c>
      <c r="BE53" s="1" t="n">
        <f aca="false">VLOOKUP(BB53,TwoPlayers!$AG$1:$AH$17,2,FALSE())</f>
        <v>10</v>
      </c>
      <c r="BF53" s="1" t="n">
        <f aca="false">$AY53-BC53</f>
        <v>6</v>
      </c>
      <c r="BG53" s="1" t="n">
        <f aca="false">$AY53-BD53</f>
        <v>4</v>
      </c>
      <c r="BH53" s="1" t="n">
        <f aca="false">$AY53-BE53</f>
        <v>3</v>
      </c>
      <c r="BJ53" s="0" t="n">
        <f aca="false">AQ53+BF53</f>
        <v>12</v>
      </c>
      <c r="BK53" s="0" t="n">
        <f aca="false">AR53+BG53</f>
        <v>8</v>
      </c>
      <c r="BL53" s="0" t="n">
        <f aca="false">AS53+BH53</f>
        <v>6</v>
      </c>
      <c r="BM53" s="0" t="n">
        <f aca="false">IF(BK53=MIN(BK50:BK54),1,0)</f>
        <v>0</v>
      </c>
    </row>
    <row r="54" customFormat="false" ht="13" hidden="false" customHeight="false" outlineLevel="0" collapsed="false">
      <c r="A54" s="0" t="n">
        <v>4</v>
      </c>
      <c r="B54" s="0" t="s">
        <v>1</v>
      </c>
      <c r="C54" s="0" t="s">
        <v>1</v>
      </c>
      <c r="D54" s="0" t="s">
        <v>4</v>
      </c>
      <c r="E54" s="0" t="n">
        <f aca="false">(IF($B54="V",1,0))+IF($C54="V",1,0)+IF($D54="V",1,0)</f>
        <v>2</v>
      </c>
      <c r="F54" s="0" t="n">
        <f aca="false">(IF($B54="E",1,0))+IF($C54="E",1,0)+IF($D54="E",1,0)</f>
        <v>0</v>
      </c>
      <c r="G54" s="0" t="n">
        <f aca="false">(IF($B54="O",1,0))+IF($C54="O",1,0)+IF($D54="O",1,0)</f>
        <v>0</v>
      </c>
      <c r="H54" s="0" t="n">
        <f aca="false">(IF($B54="L",1,0))+IF($C54="L",1,0)+IF($D54="L",1,0)</f>
        <v>1</v>
      </c>
      <c r="I54" s="0" t="n">
        <f aca="false">(IF(B54="V",1,0))</f>
        <v>1</v>
      </c>
      <c r="J54" s="0" t="n">
        <f aca="false">(IF(B54="E",1,0))</f>
        <v>0</v>
      </c>
      <c r="K54" s="0" t="n">
        <f aca="false">(IF(B54="O",1,0))</f>
        <v>0</v>
      </c>
      <c r="L54" s="0" t="n">
        <f aca="false">(IF(B54="L",1,0))</f>
        <v>0</v>
      </c>
      <c r="M54" s="0" t="n">
        <f aca="false">(IF(C54="V",1,0))</f>
        <v>1</v>
      </c>
      <c r="N54" s="0" t="n">
        <f aca="false">(IF(C54="E",1,0))</f>
        <v>0</v>
      </c>
      <c r="O54" s="0" t="n">
        <f aca="false">(IF(C54="O",1,0))</f>
        <v>0</v>
      </c>
      <c r="P54" s="0" t="n">
        <f aca="false">(IF(C54="L",1,0))</f>
        <v>0</v>
      </c>
      <c r="Q54" s="0" t="n">
        <f aca="false">(IF(D54="V",1,0))</f>
        <v>0</v>
      </c>
      <c r="R54" s="0" t="n">
        <f aca="false">(IF(D54="E",1,0))</f>
        <v>0</v>
      </c>
      <c r="S54" s="0" t="n">
        <f aca="false">(IF(D54="O",1,0))</f>
        <v>0</v>
      </c>
      <c r="T54" s="0" t="n">
        <f aca="false">(IF(D54="L",1,0))</f>
        <v>1</v>
      </c>
      <c r="U54" s="0" t="n">
        <f aca="false">MAX(E54-1,0)</f>
        <v>1</v>
      </c>
      <c r="V54" s="0" t="n">
        <f aca="false">MAX(U54-1+F54,0)</f>
        <v>0</v>
      </c>
      <c r="W54" s="0" t="n">
        <f aca="false">MAX(V54-1+G54,0)</f>
        <v>0</v>
      </c>
      <c r="X54" s="0" t="n">
        <f aca="false">MAX(W54-1+H54,0)</f>
        <v>0</v>
      </c>
      <c r="Y54" s="1" t="n">
        <f aca="false">0.5*(E54*I54+F54*J54+G54*K54+H54*L54-1)+(0+$U54*J54+$V54*K54+$W54*L54)</f>
        <v>0.5</v>
      </c>
      <c r="Z54" s="1" t="n">
        <f aca="false">0.5*(E54*M54+F54*N54+G54*O54+H54*P54-1)+(0+$U54*N54+$V54*O54+$W54*P54)</f>
        <v>0.5</v>
      </c>
      <c r="AA54" s="1" t="n">
        <f aca="false">0.5*(E54*Q54+F54*R54+G54*S54+H54*T54-1)+(0+$U54*R54+$V54*S54+$W54*T54)</f>
        <v>0</v>
      </c>
      <c r="AB54" s="0" t="n">
        <f aca="false">IF(B54="V",-2,0)+IF(B54="E",-1,0)+IF(B54="O",0,0)+IF(B54="L",1,0)+Y54</f>
        <v>-1.5</v>
      </c>
      <c r="AC54" s="0" t="n">
        <f aca="false">IF(C54="V",-2,0)+IF(C54="E",-1,0)+IF(C54="O",0,0)+IF(C54="L",1,0)+Z54</f>
        <v>-1.5</v>
      </c>
      <c r="AD54" s="0" t="n">
        <f aca="false">IF(D54="V",-2,0)+IF(D54="E",-1,0)+IF(D54="O",0,0)+IF(D54="L",1,0)+AA54</f>
        <v>1</v>
      </c>
      <c r="AE54" s="1" t="n">
        <f aca="false">IF(B54="V",-2,0)+IF(B54="E",-1,0)+IF(B54="O",0,0)+IF(B54="L",1,0)</f>
        <v>-2</v>
      </c>
      <c r="AF54" s="1" t="n">
        <f aca="false">IF(B54="V",-2,0)+IF(B54="E",-1,0)+IF(B54="O",0,0)+IF(B54="L",1,0)+Y54</f>
        <v>-1.5</v>
      </c>
      <c r="AG54" s="1" t="n">
        <f aca="false">IF(B54="V",-2,0)+IF(B54="E",-1,0)+IF(B54="O",0,0)+IF(B54="L",1,0)+Y54*2</f>
        <v>-1</v>
      </c>
      <c r="AH54" s="1" t="n">
        <f aca="false">IF(C54="V",-2,0)+IF(C54="E",-1,0)+IF(C54="O",0,0)+IF(C54="L",1,0)</f>
        <v>-2</v>
      </c>
      <c r="AI54" s="1" t="n">
        <f aca="false">IF(C54="V",-2,0)+IF(C54="E",-1,0)+IF(C54="O",0,0)+IF(C54="L",1,0)+Z54</f>
        <v>-1.5</v>
      </c>
      <c r="AJ54" s="1" t="n">
        <f aca="false">IF(C54="V",-2,0)+IF(C54="E",-1,0)+IF(C54="O",0,0)+IF(C54="L",1,0)+Z54*2</f>
        <v>-1</v>
      </c>
      <c r="AK54" s="1" t="n">
        <f aca="false">IF(D54="V",-2,0)+IF(D54="E",-1,0)+IF(D54="O",0,0)+IF(D54="L",1,0)</f>
        <v>1</v>
      </c>
      <c r="AL54" s="1" t="n">
        <f aca="false">IF(D54="V",-2,0)+IF(D54="E",-1,0)+IF(D54="O",0,0)+IF(D54="L",1,0)+AA54</f>
        <v>1</v>
      </c>
      <c r="AM54" s="1" t="n">
        <f aca="false">IF(D54="V",-2,0)+IF(D54="E",-1,0)+IF(D54="O",0,0)+IF(D54="L",1,0)+AA54*2</f>
        <v>1</v>
      </c>
      <c r="AN54" s="1" t="n">
        <f aca="false">(ABS(IF(AE54&lt;0,AE54*Early,AE54*Late))+ABS(IF(AF54&lt;0,AF54*Early,AF54*Late))+ABS(IF(AG54&lt;0,AG54*Early,AG54*Late)))/3</f>
        <v>4.5</v>
      </c>
      <c r="AO54" s="1" t="n">
        <f aca="false">(ABS(IF(AH54&lt;0,AH54*Early,AH54*Late))+ABS(IF(AI54&lt;0,AI54*Early,AI54*Late))+ABS(IF(AJ54&lt;0,AJ54*Early,AJ54*Late)))/3</f>
        <v>4.5</v>
      </c>
      <c r="AP54" s="1" t="n">
        <f aca="false">(ABS(IF(AK54&lt;0,AK54*Early,AK54*Late))+ABS(IF(AL54&lt;0,AL54*Early,AL54*Late))+ABS(IF(AM54&lt;0,AM54*Early,AM54*Late)))/3</f>
        <v>4</v>
      </c>
      <c r="AQ54" s="0" t="n">
        <f aca="false">Y54*Delay+AN54</f>
        <v>5</v>
      </c>
      <c r="AR54" s="0" t="n">
        <f aca="false">Z54*Delay+AO54</f>
        <v>5</v>
      </c>
      <c r="AS54" s="0" t="n">
        <f aca="false">AA54*Delay+AP54</f>
        <v>4</v>
      </c>
      <c r="AT54" s="0" t="n">
        <f aca="false">IF(AR54=MIN(AR54:AR57),1,0)</f>
        <v>0</v>
      </c>
      <c r="AX54" s="0" t="str">
        <f aca="false">B54&amp;C54&amp;D54</f>
        <v>VVL</v>
      </c>
      <c r="AY54" s="1" t="n">
        <f aca="false">AQ54+AR54+AS54</f>
        <v>14</v>
      </c>
      <c r="AZ54" s="1" t="str">
        <f aca="false">RIGHT(AX54,2)</f>
        <v>VL</v>
      </c>
      <c r="BA54" s="1" t="str">
        <f aca="false">LEFT(AX54,1)&amp;RIGHT(AX54,1)</f>
        <v>VL</v>
      </c>
      <c r="BB54" s="1" t="str">
        <f aca="false">LEFT(AX54,2)</f>
        <v>VV</v>
      </c>
      <c r="BC54" s="1" t="n">
        <f aca="false">VLOOKUP(AZ54,TwoPlayers!$AG$1:$AH$17,2,FALSE())</f>
        <v>10</v>
      </c>
      <c r="BD54" s="1" t="n">
        <f aca="false">VLOOKUP(BA54,TwoPlayers!$AG$1:$AH$17,2,FALSE())</f>
        <v>10</v>
      </c>
      <c r="BE54" s="1" t="n">
        <f aca="false">VLOOKUP(BB54,TwoPlayers!$AG$1:$AH$17,2,FALSE())</f>
        <v>10</v>
      </c>
      <c r="BF54" s="1" t="n">
        <f aca="false">$AY54-BC54</f>
        <v>4</v>
      </c>
      <c r="BG54" s="1" t="n">
        <f aca="false">$AY54-BD54</f>
        <v>4</v>
      </c>
      <c r="BH54" s="1" t="n">
        <f aca="false">$AY54-BE54</f>
        <v>4</v>
      </c>
      <c r="BJ54" s="0" t="n">
        <f aca="false">AQ54+BF54</f>
        <v>9</v>
      </c>
      <c r="BK54" s="0" t="n">
        <f aca="false">AR54+BG54</f>
        <v>9</v>
      </c>
      <c r="BL54" s="0" t="n">
        <f aca="false">AS54+BH54</f>
        <v>8</v>
      </c>
      <c r="BM54" s="0" t="n">
        <f aca="false">IF(BK54=MIN(BK54:BK58),1,0)</f>
        <v>0</v>
      </c>
    </row>
    <row r="55" customFormat="false" ht="13" hidden="false" customHeight="false" outlineLevel="0" collapsed="false">
      <c r="A55" s="0" t="n">
        <v>8</v>
      </c>
      <c r="B55" s="0" t="s">
        <v>1</v>
      </c>
      <c r="C55" s="0" t="s">
        <v>2</v>
      </c>
      <c r="D55" s="0" t="s">
        <v>4</v>
      </c>
      <c r="E55" s="0" t="n">
        <f aca="false">(IF($B55="V",1,0))+IF($C55="V",1,0)+IF($D55="V",1,0)</f>
        <v>1</v>
      </c>
      <c r="F55" s="0" t="n">
        <f aca="false">(IF($B55="E",1,0))+IF($C55="E",1,0)+IF($D55="E",1,0)</f>
        <v>1</v>
      </c>
      <c r="G55" s="0" t="n">
        <f aca="false">(IF($B55="O",1,0))+IF($C55="O",1,0)+IF($D55="O",1,0)</f>
        <v>0</v>
      </c>
      <c r="H55" s="0" t="n">
        <f aca="false">(IF($B55="L",1,0))+IF($C55="L",1,0)+IF($D55="L",1,0)</f>
        <v>1</v>
      </c>
      <c r="I55" s="0" t="n">
        <f aca="false">(IF(B55="V",1,0))</f>
        <v>1</v>
      </c>
      <c r="J55" s="0" t="n">
        <f aca="false">(IF(B55="E",1,0))</f>
        <v>0</v>
      </c>
      <c r="K55" s="0" t="n">
        <f aca="false">(IF(B55="O",1,0))</f>
        <v>0</v>
      </c>
      <c r="L55" s="0" t="n">
        <f aca="false">(IF(B55="L",1,0))</f>
        <v>0</v>
      </c>
      <c r="M55" s="0" t="n">
        <f aca="false">(IF(C55="V",1,0))</f>
        <v>0</v>
      </c>
      <c r="N55" s="0" t="n">
        <f aca="false">(IF(C55="E",1,0))</f>
        <v>1</v>
      </c>
      <c r="O55" s="0" t="n">
        <f aca="false">(IF(C55="O",1,0))</f>
        <v>0</v>
      </c>
      <c r="P55" s="0" t="n">
        <f aca="false">(IF(C55="L",1,0))</f>
        <v>0</v>
      </c>
      <c r="Q55" s="0" t="n">
        <f aca="false">(IF(D55="V",1,0))</f>
        <v>0</v>
      </c>
      <c r="R55" s="0" t="n">
        <f aca="false">(IF(D55="E",1,0))</f>
        <v>0</v>
      </c>
      <c r="S55" s="0" t="n">
        <f aca="false">(IF(D55="O",1,0))</f>
        <v>0</v>
      </c>
      <c r="T55" s="0" t="n">
        <f aca="false">(IF(D55="L",1,0))</f>
        <v>1</v>
      </c>
      <c r="U55" s="0" t="n">
        <f aca="false">MAX(E55-1,0)</f>
        <v>0</v>
      </c>
      <c r="V55" s="0" t="n">
        <f aca="false">MAX(U55-1+F55,0)</f>
        <v>0</v>
      </c>
      <c r="W55" s="0" t="n">
        <f aca="false">MAX(V55-1+G55,0)</f>
        <v>0</v>
      </c>
      <c r="X55" s="0" t="n">
        <f aca="false">MAX(W55-1+H55,0)</f>
        <v>0</v>
      </c>
      <c r="Y55" s="1" t="n">
        <f aca="false">0.5*(E55*I55+F55*J55+G55*K55+H55*L55-1)+(0+$U55*J55+$V55*K55+$W55*L55)</f>
        <v>0</v>
      </c>
      <c r="Z55" s="1" t="n">
        <f aca="false">0.5*(E55*M55+F55*N55+G55*O55+H55*P55-1)+(0+$U55*N55+$V55*O55+$W55*P55)</f>
        <v>0</v>
      </c>
      <c r="AA55" s="1" t="n">
        <f aca="false">0.5*(E55*Q55+F55*R55+G55*S55+H55*T55-1)+(0+$U55*R55+$V55*S55+$W55*T55)</f>
        <v>0</v>
      </c>
      <c r="AB55" s="0" t="n">
        <f aca="false">IF(B55="V",-2,0)+IF(B55="E",-1,0)+IF(B55="O",0,0)+IF(B55="L",1,0)+Y55</f>
        <v>-2</v>
      </c>
      <c r="AC55" s="0" t="n">
        <f aca="false">IF(C55="V",-2,0)+IF(C55="E",-1,0)+IF(C55="O",0,0)+IF(C55="L",1,0)+Z55</f>
        <v>-1</v>
      </c>
      <c r="AD55" s="0" t="n">
        <f aca="false">IF(D55="V",-2,0)+IF(D55="E",-1,0)+IF(D55="O",0,0)+IF(D55="L",1,0)+AA55</f>
        <v>1</v>
      </c>
      <c r="AE55" s="1" t="n">
        <f aca="false">IF(B55="V",-2,0)+IF(B55="E",-1,0)+IF(B55="O",0,0)+IF(B55="L",1,0)</f>
        <v>-2</v>
      </c>
      <c r="AF55" s="1" t="n">
        <f aca="false">IF(B55="V",-2,0)+IF(B55="E",-1,0)+IF(B55="O",0,0)+IF(B55="L",1,0)+Y55</f>
        <v>-2</v>
      </c>
      <c r="AG55" s="1" t="n">
        <f aca="false">IF(B55="V",-2,0)+IF(B55="E",-1,0)+IF(B55="O",0,0)+IF(B55="L",1,0)+Y55*2</f>
        <v>-2</v>
      </c>
      <c r="AH55" s="1" t="n">
        <f aca="false">IF(C55="V",-2,0)+IF(C55="E",-1,0)+IF(C55="O",0,0)+IF(C55="L",1,0)</f>
        <v>-1</v>
      </c>
      <c r="AI55" s="1" t="n">
        <f aca="false">IF(C55="V",-2,0)+IF(C55="E",-1,0)+IF(C55="O",0,0)+IF(C55="L",1,0)+Z55</f>
        <v>-1</v>
      </c>
      <c r="AJ55" s="1" t="n">
        <f aca="false">IF(C55="V",-2,0)+IF(C55="E",-1,0)+IF(C55="O",0,0)+IF(C55="L",1,0)+Z55*2</f>
        <v>-1</v>
      </c>
      <c r="AK55" s="1" t="n">
        <f aca="false">IF(D55="V",-2,0)+IF(D55="E",-1,0)+IF(D55="O",0,0)+IF(D55="L",1,0)</f>
        <v>1</v>
      </c>
      <c r="AL55" s="1" t="n">
        <f aca="false">IF(D55="V",-2,0)+IF(D55="E",-1,0)+IF(D55="O",0,0)+IF(D55="L",1,0)+AA55</f>
        <v>1</v>
      </c>
      <c r="AM55" s="1" t="n">
        <f aca="false">IF(D55="V",-2,0)+IF(D55="E",-1,0)+IF(D55="O",0,0)+IF(D55="L",1,0)+AA55*2</f>
        <v>1</v>
      </c>
      <c r="AN55" s="1" t="n">
        <f aca="false">(ABS(IF(AE55&lt;0,AE55*Early,AE55*Late))+ABS(IF(AF55&lt;0,AF55*Early,AF55*Late))+ABS(IF(AG55&lt;0,AG55*Early,AG55*Late)))/3</f>
        <v>6</v>
      </c>
      <c r="AO55" s="1" t="n">
        <f aca="false">(ABS(IF(AH55&lt;0,AH55*Early,AH55*Late))+ABS(IF(AI55&lt;0,AI55*Early,AI55*Late))+ABS(IF(AJ55&lt;0,AJ55*Early,AJ55*Late)))/3</f>
        <v>3</v>
      </c>
      <c r="AP55" s="1" t="n">
        <f aca="false">(ABS(IF(AK55&lt;0,AK55*Early,AK55*Late))+ABS(IF(AL55&lt;0,AL55*Early,AL55*Late))+ABS(IF(AM55&lt;0,AM55*Early,AM55*Late)))/3</f>
        <v>4</v>
      </c>
      <c r="AQ55" s="0" t="n">
        <f aca="false">Y55*Delay+AN55</f>
        <v>6</v>
      </c>
      <c r="AR55" s="0" t="n">
        <f aca="false">Z55*Delay+AO55</f>
        <v>3</v>
      </c>
      <c r="AS55" s="0" t="n">
        <f aca="false">AA55*Delay+AP55</f>
        <v>4</v>
      </c>
      <c r="AT55" s="0" t="n">
        <f aca="false">IF(AR55=MIN(AR54:AR57),1,0)</f>
        <v>0</v>
      </c>
      <c r="AX55" s="0" t="str">
        <f aca="false">B55&amp;C55&amp;D55</f>
        <v>VEL</v>
      </c>
      <c r="AY55" s="1" t="n">
        <f aca="false">AQ55+AR55+AS55</f>
        <v>13</v>
      </c>
      <c r="AZ55" s="1" t="str">
        <f aca="false">RIGHT(AX55,2)</f>
        <v>EL</v>
      </c>
      <c r="BA55" s="1" t="str">
        <f aca="false">LEFT(AX55,1)&amp;RIGHT(AX55,1)</f>
        <v>VL</v>
      </c>
      <c r="BB55" s="1" t="str">
        <f aca="false">LEFT(AX55,2)</f>
        <v>VE</v>
      </c>
      <c r="BC55" s="1" t="n">
        <f aca="false">VLOOKUP(AZ55,TwoPlayers!$AG$1:$AH$17,2,FALSE())</f>
        <v>7</v>
      </c>
      <c r="BD55" s="1" t="n">
        <f aca="false">VLOOKUP(BA55,TwoPlayers!$AG$1:$AH$17,2,FALSE())</f>
        <v>10</v>
      </c>
      <c r="BE55" s="1" t="n">
        <f aca="false">VLOOKUP(BB55,TwoPlayers!$AG$1:$AH$17,2,FALSE())</f>
        <v>9</v>
      </c>
      <c r="BF55" s="1" t="n">
        <f aca="false">$AY55-BC55</f>
        <v>6</v>
      </c>
      <c r="BG55" s="1" t="n">
        <f aca="false">$AY55-BD55</f>
        <v>3</v>
      </c>
      <c r="BH55" s="1" t="n">
        <f aca="false">$AY55-BE55</f>
        <v>4</v>
      </c>
      <c r="BJ55" s="0" t="n">
        <f aca="false">AQ55+BF55</f>
        <v>12</v>
      </c>
      <c r="BK55" s="0" t="n">
        <f aca="false">AR55+BG55</f>
        <v>6</v>
      </c>
      <c r="BL55" s="0" t="n">
        <f aca="false">AS55+BH55</f>
        <v>8</v>
      </c>
      <c r="BM55" s="0" t="n">
        <f aca="false">IF(BK55=MIN(BK54:BK58),1,0)</f>
        <v>0</v>
      </c>
    </row>
    <row r="56" customFormat="false" ht="13" hidden="false" customHeight="false" outlineLevel="0" collapsed="false">
      <c r="A56" s="0" t="n">
        <v>12</v>
      </c>
      <c r="B56" s="0" t="s">
        <v>1</v>
      </c>
      <c r="C56" s="0" t="s">
        <v>3</v>
      </c>
      <c r="D56" s="0" t="s">
        <v>4</v>
      </c>
      <c r="E56" s="0" t="n">
        <f aca="false">(IF($B56="V",1,0))+IF($C56="V",1,0)+IF($D56="V",1,0)</f>
        <v>1</v>
      </c>
      <c r="F56" s="0" t="n">
        <f aca="false">(IF($B56="E",1,0))+IF($C56="E",1,0)+IF($D56="E",1,0)</f>
        <v>0</v>
      </c>
      <c r="G56" s="0" t="n">
        <f aca="false">(IF($B56="O",1,0))+IF($C56="O",1,0)+IF($D56="O",1,0)</f>
        <v>1</v>
      </c>
      <c r="H56" s="0" t="n">
        <f aca="false">(IF($B56="L",1,0))+IF($C56="L",1,0)+IF($D56="L",1,0)</f>
        <v>1</v>
      </c>
      <c r="I56" s="0" t="n">
        <f aca="false">(IF(B56="V",1,0))</f>
        <v>1</v>
      </c>
      <c r="J56" s="0" t="n">
        <f aca="false">(IF(B56="E",1,0))</f>
        <v>0</v>
      </c>
      <c r="K56" s="0" t="n">
        <f aca="false">(IF(B56="O",1,0))</f>
        <v>0</v>
      </c>
      <c r="L56" s="0" t="n">
        <f aca="false">(IF(B56="L",1,0))</f>
        <v>0</v>
      </c>
      <c r="M56" s="0" t="n">
        <f aca="false">(IF(C56="V",1,0))</f>
        <v>0</v>
      </c>
      <c r="N56" s="0" t="n">
        <f aca="false">(IF(C56="E",1,0))</f>
        <v>0</v>
      </c>
      <c r="O56" s="0" t="n">
        <f aca="false">(IF(C56="O",1,0))</f>
        <v>1</v>
      </c>
      <c r="P56" s="0" t="n">
        <f aca="false">(IF(C56="L",1,0))</f>
        <v>0</v>
      </c>
      <c r="Q56" s="0" t="n">
        <f aca="false">(IF(D56="V",1,0))</f>
        <v>0</v>
      </c>
      <c r="R56" s="0" t="n">
        <f aca="false">(IF(D56="E",1,0))</f>
        <v>0</v>
      </c>
      <c r="S56" s="0" t="n">
        <f aca="false">(IF(D56="O",1,0))</f>
        <v>0</v>
      </c>
      <c r="T56" s="0" t="n">
        <f aca="false">(IF(D56="L",1,0))</f>
        <v>1</v>
      </c>
      <c r="U56" s="0" t="n">
        <f aca="false">MAX(E56-1,0)</f>
        <v>0</v>
      </c>
      <c r="V56" s="0" t="n">
        <f aca="false">MAX(U56-1+F56,0)</f>
        <v>0</v>
      </c>
      <c r="W56" s="0" t="n">
        <f aca="false">MAX(V56-1+G56,0)</f>
        <v>0</v>
      </c>
      <c r="X56" s="0" t="n">
        <f aca="false">MAX(W56-1+H56,0)</f>
        <v>0</v>
      </c>
      <c r="Y56" s="1" t="n">
        <f aca="false">0.5*(E56*I56+F56*J56+G56*K56+H56*L56-1)+(0+$U56*J56+$V56*K56+$W56*L56)</f>
        <v>0</v>
      </c>
      <c r="Z56" s="1" t="n">
        <f aca="false">0.5*(E56*M56+F56*N56+G56*O56+H56*P56-1)+(0+$U56*N56+$V56*O56+$W56*P56)</f>
        <v>0</v>
      </c>
      <c r="AA56" s="1" t="n">
        <f aca="false">0.5*(E56*Q56+F56*R56+G56*S56+H56*T56-1)+(0+$U56*R56+$V56*S56+$W56*T56)</f>
        <v>0</v>
      </c>
      <c r="AB56" s="0" t="n">
        <f aca="false">IF(B56="V",-2,0)+IF(B56="E",-1,0)+IF(B56="O",0,0)+IF(B56="L",1,0)+Y56</f>
        <v>-2</v>
      </c>
      <c r="AC56" s="0" t="n">
        <f aca="false">IF(C56="V",-2,0)+IF(C56="E",-1,0)+IF(C56="O",0,0)+IF(C56="L",1,0)+Z56</f>
        <v>0</v>
      </c>
      <c r="AD56" s="0" t="n">
        <f aca="false">IF(D56="V",-2,0)+IF(D56="E",-1,0)+IF(D56="O",0,0)+IF(D56="L",1,0)+AA56</f>
        <v>1</v>
      </c>
      <c r="AE56" s="1" t="n">
        <f aca="false">IF(B56="V",-2,0)+IF(B56="E",-1,0)+IF(B56="O",0,0)+IF(B56="L",1,0)</f>
        <v>-2</v>
      </c>
      <c r="AF56" s="1" t="n">
        <f aca="false">IF(B56="V",-2,0)+IF(B56="E",-1,0)+IF(B56="O",0,0)+IF(B56="L",1,0)+Y56</f>
        <v>-2</v>
      </c>
      <c r="AG56" s="1" t="n">
        <f aca="false">IF(B56="V",-2,0)+IF(B56="E",-1,0)+IF(B56="O",0,0)+IF(B56="L",1,0)+Y56*2</f>
        <v>-2</v>
      </c>
      <c r="AH56" s="1" t="n">
        <f aca="false">IF(C56="V",-2,0)+IF(C56="E",-1,0)+IF(C56="O",0,0)+IF(C56="L",1,0)</f>
        <v>0</v>
      </c>
      <c r="AI56" s="1" t="n">
        <f aca="false">IF(C56="V",-2,0)+IF(C56="E",-1,0)+IF(C56="O",0,0)+IF(C56="L",1,0)+Z56</f>
        <v>0</v>
      </c>
      <c r="AJ56" s="1" t="n">
        <f aca="false">IF(C56="V",-2,0)+IF(C56="E",-1,0)+IF(C56="O",0,0)+IF(C56="L",1,0)+Z56*2</f>
        <v>0</v>
      </c>
      <c r="AK56" s="1" t="n">
        <f aca="false">IF(D56="V",-2,0)+IF(D56="E",-1,0)+IF(D56="O",0,0)+IF(D56="L",1,0)</f>
        <v>1</v>
      </c>
      <c r="AL56" s="1" t="n">
        <f aca="false">IF(D56="V",-2,0)+IF(D56="E",-1,0)+IF(D56="O",0,0)+IF(D56="L",1,0)+AA56</f>
        <v>1</v>
      </c>
      <c r="AM56" s="1" t="n">
        <f aca="false">IF(D56="V",-2,0)+IF(D56="E",-1,0)+IF(D56="O",0,0)+IF(D56="L",1,0)+AA56*2</f>
        <v>1</v>
      </c>
      <c r="AN56" s="1" t="n">
        <f aca="false">(ABS(IF(AE56&lt;0,AE56*Early,AE56*Late))+ABS(IF(AF56&lt;0,AF56*Early,AF56*Late))+ABS(IF(AG56&lt;0,AG56*Early,AG56*Late)))/3</f>
        <v>6</v>
      </c>
      <c r="AO56" s="1" t="n">
        <f aca="false">(ABS(IF(AH56&lt;0,AH56*Early,AH56*Late))+ABS(IF(AI56&lt;0,AI56*Early,AI56*Late))+ABS(IF(AJ56&lt;0,AJ56*Early,AJ56*Late)))/3</f>
        <v>0</v>
      </c>
      <c r="AP56" s="1" t="n">
        <f aca="false">(ABS(IF(AK56&lt;0,AK56*Early,AK56*Late))+ABS(IF(AL56&lt;0,AL56*Early,AL56*Late))+ABS(IF(AM56&lt;0,AM56*Early,AM56*Late)))/3</f>
        <v>4</v>
      </c>
      <c r="AQ56" s="0" t="n">
        <f aca="false">Y56*Delay+AN56</f>
        <v>6</v>
      </c>
      <c r="AR56" s="0" t="n">
        <f aca="false">Z56*Delay+AO56</f>
        <v>0</v>
      </c>
      <c r="AS56" s="0" t="n">
        <f aca="false">AA56*Delay+AP56</f>
        <v>4</v>
      </c>
      <c r="AT56" s="0" t="n">
        <f aca="false">IF(AR56=MIN(AR54:AR57),1,0)</f>
        <v>1</v>
      </c>
      <c r="AX56" s="0" t="str">
        <f aca="false">B56&amp;C56&amp;D56</f>
        <v>VOL</v>
      </c>
      <c r="AY56" s="1" t="n">
        <f aca="false">AQ56+AR56+AS56</f>
        <v>10</v>
      </c>
      <c r="AZ56" s="1" t="str">
        <f aca="false">RIGHT(AX56,2)</f>
        <v>OL</v>
      </c>
      <c r="BA56" s="1" t="str">
        <f aca="false">LEFT(AX56,1)&amp;RIGHT(AX56,1)</f>
        <v>VL</v>
      </c>
      <c r="BB56" s="1" t="str">
        <f aca="false">LEFT(AX56,2)</f>
        <v>VO</v>
      </c>
      <c r="BC56" s="1" t="n">
        <f aca="false">VLOOKUP(AZ56,TwoPlayers!$AG$1:$AH$17,2,FALSE())</f>
        <v>4</v>
      </c>
      <c r="BD56" s="1" t="n">
        <f aca="false">VLOOKUP(BA56,TwoPlayers!$AG$1:$AH$17,2,FALSE())</f>
        <v>10</v>
      </c>
      <c r="BE56" s="1" t="n">
        <f aca="false">VLOOKUP(BB56,TwoPlayers!$AG$1:$AH$17,2,FALSE())</f>
        <v>6</v>
      </c>
      <c r="BF56" s="1" t="n">
        <f aca="false">$AY56-BC56</f>
        <v>6</v>
      </c>
      <c r="BG56" s="1" t="n">
        <f aca="false">$AY56-BD56</f>
        <v>0</v>
      </c>
      <c r="BH56" s="1" t="n">
        <f aca="false">$AY56-BE56</f>
        <v>4</v>
      </c>
      <c r="BJ56" s="0" t="n">
        <f aca="false">AQ56+BF56</f>
        <v>12</v>
      </c>
      <c r="BK56" s="0" t="n">
        <f aca="false">AR56+BG56</f>
        <v>0</v>
      </c>
      <c r="BL56" s="0" t="n">
        <f aca="false">AS56+BH56</f>
        <v>8</v>
      </c>
      <c r="BM56" s="0" t="n">
        <f aca="false">IF(BK56=MIN(BK54:BK58),1,0)</f>
        <v>1</v>
      </c>
    </row>
    <row r="57" customFormat="false" ht="13" hidden="false" customHeight="false" outlineLevel="0" collapsed="false">
      <c r="A57" s="0" t="n">
        <v>16</v>
      </c>
      <c r="B57" s="0" t="s">
        <v>1</v>
      </c>
      <c r="C57" s="0" t="s">
        <v>4</v>
      </c>
      <c r="D57" s="0" t="s">
        <v>4</v>
      </c>
      <c r="E57" s="0" t="n">
        <f aca="false">(IF($B57="V",1,0))+IF($C57="V",1,0)+IF($D57="V",1,0)</f>
        <v>1</v>
      </c>
      <c r="F57" s="0" t="n">
        <f aca="false">(IF($B57="E",1,0))+IF($C57="E",1,0)+IF($D57="E",1,0)</f>
        <v>0</v>
      </c>
      <c r="G57" s="0" t="n">
        <f aca="false">(IF($B57="O",1,0))+IF($C57="O",1,0)+IF($D57="O",1,0)</f>
        <v>0</v>
      </c>
      <c r="H57" s="0" t="n">
        <f aca="false">(IF($B57="L",1,0))+IF($C57="L",1,0)+IF($D57="L",1,0)</f>
        <v>2</v>
      </c>
      <c r="I57" s="0" t="n">
        <f aca="false">(IF(B57="V",1,0))</f>
        <v>1</v>
      </c>
      <c r="J57" s="0" t="n">
        <f aca="false">(IF(B57="E",1,0))</f>
        <v>0</v>
      </c>
      <c r="K57" s="0" t="n">
        <f aca="false">(IF(B57="O",1,0))</f>
        <v>0</v>
      </c>
      <c r="L57" s="0" t="n">
        <f aca="false">(IF(B57="L",1,0))</f>
        <v>0</v>
      </c>
      <c r="M57" s="0" t="n">
        <f aca="false">(IF(C57="V",1,0))</f>
        <v>0</v>
      </c>
      <c r="N57" s="0" t="n">
        <f aca="false">(IF(C57="E",1,0))</f>
        <v>0</v>
      </c>
      <c r="O57" s="0" t="n">
        <f aca="false">(IF(C57="O",1,0))</f>
        <v>0</v>
      </c>
      <c r="P57" s="0" t="n">
        <f aca="false">(IF(C57="L",1,0))</f>
        <v>1</v>
      </c>
      <c r="Q57" s="0" t="n">
        <f aca="false">(IF(D57="V",1,0))</f>
        <v>0</v>
      </c>
      <c r="R57" s="0" t="n">
        <f aca="false">(IF(D57="E",1,0))</f>
        <v>0</v>
      </c>
      <c r="S57" s="0" t="n">
        <f aca="false">(IF(D57="O",1,0))</f>
        <v>0</v>
      </c>
      <c r="T57" s="0" t="n">
        <f aca="false">(IF(D57="L",1,0))</f>
        <v>1</v>
      </c>
      <c r="U57" s="0" t="n">
        <f aca="false">MAX(E57-1,0)</f>
        <v>0</v>
      </c>
      <c r="V57" s="0" t="n">
        <f aca="false">MAX(U57-1+F57,0)</f>
        <v>0</v>
      </c>
      <c r="W57" s="0" t="n">
        <f aca="false">MAX(V57-1+G57,0)</f>
        <v>0</v>
      </c>
      <c r="X57" s="0" t="n">
        <f aca="false">MAX(W57-1+H57,0)</f>
        <v>1</v>
      </c>
      <c r="Y57" s="1" t="n">
        <f aca="false">0.5*(E57*I57+F57*J57+G57*K57+H57*L57-1)+(0+$U57*J57+$V57*K57+$W57*L57)</f>
        <v>0</v>
      </c>
      <c r="Z57" s="1" t="n">
        <f aca="false">0.5*(E57*M57+F57*N57+G57*O57+H57*P57-1)+(0+$U57*N57+$V57*O57+$W57*P57)</f>
        <v>0.5</v>
      </c>
      <c r="AA57" s="1" t="n">
        <f aca="false">0.5*(E57*Q57+F57*R57+G57*S57+H57*T57-1)+(0+$U57*R57+$V57*S57+$W57*T57)</f>
        <v>0.5</v>
      </c>
      <c r="AB57" s="0" t="n">
        <f aca="false">IF(B57="V",-2,0)+IF(B57="E",-1,0)+IF(B57="O",0,0)+IF(B57="L",1,0)+Y57</f>
        <v>-2</v>
      </c>
      <c r="AC57" s="0" t="n">
        <f aca="false">IF(C57="V",-2,0)+IF(C57="E",-1,0)+IF(C57="O",0,0)+IF(C57="L",1,0)+Z57</f>
        <v>1.5</v>
      </c>
      <c r="AD57" s="0" t="n">
        <f aca="false">IF(D57="V",-2,0)+IF(D57="E",-1,0)+IF(D57="O",0,0)+IF(D57="L",1,0)+AA57</f>
        <v>1.5</v>
      </c>
      <c r="AE57" s="1" t="n">
        <f aca="false">IF(B57="V",-2,0)+IF(B57="E",-1,0)+IF(B57="O",0,0)+IF(B57="L",1,0)</f>
        <v>-2</v>
      </c>
      <c r="AF57" s="1" t="n">
        <f aca="false">IF(B57="V",-2,0)+IF(B57="E",-1,0)+IF(B57="O",0,0)+IF(B57="L",1,0)+Y57</f>
        <v>-2</v>
      </c>
      <c r="AG57" s="1" t="n">
        <f aca="false">IF(B57="V",-2,0)+IF(B57="E",-1,0)+IF(B57="O",0,0)+IF(B57="L",1,0)+Y57*2</f>
        <v>-2</v>
      </c>
      <c r="AH57" s="1" t="n">
        <f aca="false">IF(C57="V",-2,0)+IF(C57="E",-1,0)+IF(C57="O",0,0)+IF(C57="L",1,0)</f>
        <v>1</v>
      </c>
      <c r="AI57" s="1" t="n">
        <f aca="false">IF(C57="V",-2,0)+IF(C57="E",-1,0)+IF(C57="O",0,0)+IF(C57="L",1,0)+Z57</f>
        <v>1.5</v>
      </c>
      <c r="AJ57" s="1" t="n">
        <f aca="false">IF(C57="V",-2,0)+IF(C57="E",-1,0)+IF(C57="O",0,0)+IF(C57="L",1,0)+Z57*2</f>
        <v>2</v>
      </c>
      <c r="AK57" s="1" t="n">
        <f aca="false">IF(D57="V",-2,0)+IF(D57="E",-1,0)+IF(D57="O",0,0)+IF(D57="L",1,0)</f>
        <v>1</v>
      </c>
      <c r="AL57" s="1" t="n">
        <f aca="false">IF(D57="V",-2,0)+IF(D57="E",-1,0)+IF(D57="O",0,0)+IF(D57="L",1,0)+AA57</f>
        <v>1.5</v>
      </c>
      <c r="AM57" s="1" t="n">
        <f aca="false">IF(D57="V",-2,0)+IF(D57="E",-1,0)+IF(D57="O",0,0)+IF(D57="L",1,0)+AA57*2</f>
        <v>2</v>
      </c>
      <c r="AN57" s="1" t="n">
        <f aca="false">(ABS(IF(AE57&lt;0,AE57*Early,AE57*Late))+ABS(IF(AF57&lt;0,AF57*Early,AF57*Late))+ABS(IF(AG57&lt;0,AG57*Early,AG57*Late)))/3</f>
        <v>6</v>
      </c>
      <c r="AO57" s="1" t="n">
        <f aca="false">(ABS(IF(AH57&lt;0,AH57*Early,AH57*Late))+ABS(IF(AI57&lt;0,AI57*Early,AI57*Late))+ABS(IF(AJ57&lt;0,AJ57*Early,AJ57*Late)))/3</f>
        <v>6</v>
      </c>
      <c r="AP57" s="1" t="n">
        <f aca="false">(ABS(IF(AK57&lt;0,AK57*Early,AK57*Late))+ABS(IF(AL57&lt;0,AL57*Early,AL57*Late))+ABS(IF(AM57&lt;0,AM57*Early,AM57*Late)))/3</f>
        <v>6</v>
      </c>
      <c r="AQ57" s="0" t="n">
        <f aca="false">Y57*Delay+AN57</f>
        <v>6</v>
      </c>
      <c r="AR57" s="0" t="n">
        <f aca="false">Z57*Delay+AO57</f>
        <v>6.5</v>
      </c>
      <c r="AS57" s="0" t="n">
        <f aca="false">AA57*Delay+AP57</f>
        <v>6.5</v>
      </c>
      <c r="AT57" s="0" t="n">
        <f aca="false">IF(AR57=MIN(AR54:AR57),1,0)</f>
        <v>0</v>
      </c>
      <c r="AX57" s="0" t="str">
        <f aca="false">B57&amp;C57&amp;D57</f>
        <v>VLL</v>
      </c>
      <c r="AY57" s="1" t="n">
        <f aca="false">AQ57+AR57+AS57</f>
        <v>19</v>
      </c>
      <c r="AZ57" s="1" t="str">
        <f aca="false">RIGHT(AX57,2)</f>
        <v>LL</v>
      </c>
      <c r="BA57" s="1" t="str">
        <f aca="false">LEFT(AX57,1)&amp;RIGHT(AX57,1)</f>
        <v>VL</v>
      </c>
      <c r="BB57" s="1" t="str">
        <f aca="false">LEFT(AX57,2)</f>
        <v>VL</v>
      </c>
      <c r="BC57" s="1" t="n">
        <f aca="false">VLOOKUP(AZ57,TwoPlayers!$AG$1:$AH$17,2,FALSE())</f>
        <v>13</v>
      </c>
      <c r="BD57" s="1" t="n">
        <f aca="false">VLOOKUP(BA57,TwoPlayers!$AG$1:$AH$17,2,FALSE())</f>
        <v>10</v>
      </c>
      <c r="BE57" s="1" t="n">
        <f aca="false">VLOOKUP(BB57,TwoPlayers!$AG$1:$AH$17,2,FALSE())</f>
        <v>10</v>
      </c>
      <c r="BF57" s="1" t="n">
        <f aca="false">$AY57-BC57</f>
        <v>6</v>
      </c>
      <c r="BG57" s="1" t="n">
        <f aca="false">$AY57-BD57</f>
        <v>9</v>
      </c>
      <c r="BH57" s="1" t="n">
        <f aca="false">$AY57-BE57</f>
        <v>9</v>
      </c>
      <c r="BJ57" s="0" t="n">
        <f aca="false">AQ57+BF57</f>
        <v>12</v>
      </c>
      <c r="BK57" s="0" t="n">
        <f aca="false">AR57+BG57</f>
        <v>15.5</v>
      </c>
      <c r="BL57" s="0" t="n">
        <f aca="false">AS57+BH57</f>
        <v>15.5</v>
      </c>
      <c r="BM57" s="0" t="n">
        <f aca="false">IF(BK57=MIN(BK54:BK58),1,0)</f>
        <v>0</v>
      </c>
    </row>
    <row r="58" customFormat="false" ht="13" hidden="false" customHeight="false" outlineLevel="0" collapsed="false">
      <c r="A58" s="0" t="n">
        <v>3</v>
      </c>
      <c r="B58" s="0" t="s">
        <v>1</v>
      </c>
      <c r="C58" s="0" t="s">
        <v>1</v>
      </c>
      <c r="D58" s="0" t="s">
        <v>3</v>
      </c>
      <c r="E58" s="0" t="n">
        <f aca="false">(IF($B58="V",1,0))+IF($C58="V",1,0)+IF($D58="V",1,0)</f>
        <v>2</v>
      </c>
      <c r="F58" s="0" t="n">
        <f aca="false">(IF($B58="E",1,0))+IF($C58="E",1,0)+IF($D58="E",1,0)</f>
        <v>0</v>
      </c>
      <c r="G58" s="0" t="n">
        <f aca="false">(IF($B58="O",1,0))+IF($C58="O",1,0)+IF($D58="O",1,0)</f>
        <v>1</v>
      </c>
      <c r="H58" s="0" t="n">
        <f aca="false">(IF($B58="L",1,0))+IF($C58="L",1,0)+IF($D58="L",1,0)</f>
        <v>0</v>
      </c>
      <c r="I58" s="0" t="n">
        <f aca="false">(IF(B58="V",1,0))</f>
        <v>1</v>
      </c>
      <c r="J58" s="0" t="n">
        <f aca="false">(IF(B58="E",1,0))</f>
        <v>0</v>
      </c>
      <c r="K58" s="0" t="n">
        <f aca="false">(IF(B58="O",1,0))</f>
        <v>0</v>
      </c>
      <c r="L58" s="0" t="n">
        <f aca="false">(IF(B58="L",1,0))</f>
        <v>0</v>
      </c>
      <c r="M58" s="0" t="n">
        <f aca="false">(IF(C58="V",1,0))</f>
        <v>1</v>
      </c>
      <c r="N58" s="0" t="n">
        <f aca="false">(IF(C58="E",1,0))</f>
        <v>0</v>
      </c>
      <c r="O58" s="0" t="n">
        <f aca="false">(IF(C58="O",1,0))</f>
        <v>0</v>
      </c>
      <c r="P58" s="0" t="n">
        <f aca="false">(IF(C58="L",1,0))</f>
        <v>0</v>
      </c>
      <c r="Q58" s="0" t="n">
        <f aca="false">(IF(D58="V",1,0))</f>
        <v>0</v>
      </c>
      <c r="R58" s="0" t="n">
        <f aca="false">(IF(D58="E",1,0))</f>
        <v>0</v>
      </c>
      <c r="S58" s="0" t="n">
        <f aca="false">(IF(D58="O",1,0))</f>
        <v>1</v>
      </c>
      <c r="T58" s="0" t="n">
        <f aca="false">(IF(D58="L",1,0))</f>
        <v>0</v>
      </c>
      <c r="U58" s="0" t="n">
        <f aca="false">MAX(E58-1,0)</f>
        <v>1</v>
      </c>
      <c r="V58" s="0" t="n">
        <f aca="false">MAX(U58-1+F58,0)</f>
        <v>0</v>
      </c>
      <c r="W58" s="0" t="n">
        <f aca="false">MAX(V58-1+G58,0)</f>
        <v>0</v>
      </c>
      <c r="X58" s="0" t="n">
        <f aca="false">MAX(W58-1+H58,0)</f>
        <v>0</v>
      </c>
      <c r="Y58" s="1" t="n">
        <f aca="false">0.5*(E58*I58+F58*J58+G58*K58+H58*L58-1)+(0+$U58*J58+$V58*K58+$W58*L58)</f>
        <v>0.5</v>
      </c>
      <c r="Z58" s="1" t="n">
        <f aca="false">0.5*(E58*M58+F58*N58+G58*O58+H58*P58-1)+(0+$U58*N58+$V58*O58+$W58*P58)</f>
        <v>0.5</v>
      </c>
      <c r="AA58" s="1" t="n">
        <f aca="false">0.5*(E58*Q58+F58*R58+G58*S58+H58*T58-1)+(0+$U58*R58+$V58*S58+$W58*T58)</f>
        <v>0</v>
      </c>
      <c r="AB58" s="0" t="n">
        <f aca="false">IF(B58="V",-2,0)+IF(B58="E",-1,0)+IF(B58="O",0,0)+IF(B58="L",1,0)+Y58</f>
        <v>-1.5</v>
      </c>
      <c r="AC58" s="0" t="n">
        <f aca="false">IF(C58="V",-2,0)+IF(C58="E",-1,0)+IF(C58="O",0,0)+IF(C58="L",1,0)+Z58</f>
        <v>-1.5</v>
      </c>
      <c r="AD58" s="0" t="n">
        <f aca="false">IF(D58="V",-2,0)+IF(D58="E",-1,0)+IF(D58="O",0,0)+IF(D58="L",1,0)+AA58</f>
        <v>0</v>
      </c>
      <c r="AE58" s="1" t="n">
        <f aca="false">IF(B58="V",-2,0)+IF(B58="E",-1,0)+IF(B58="O",0,0)+IF(B58="L",1,0)</f>
        <v>-2</v>
      </c>
      <c r="AF58" s="1" t="n">
        <f aca="false">IF(B58="V",-2,0)+IF(B58="E",-1,0)+IF(B58="O",0,0)+IF(B58="L",1,0)+Y58</f>
        <v>-1.5</v>
      </c>
      <c r="AG58" s="1" t="n">
        <f aca="false">IF(B58="V",-2,0)+IF(B58="E",-1,0)+IF(B58="O",0,0)+IF(B58="L",1,0)+Y58*2</f>
        <v>-1</v>
      </c>
      <c r="AH58" s="1" t="n">
        <f aca="false">IF(C58="V",-2,0)+IF(C58="E",-1,0)+IF(C58="O",0,0)+IF(C58="L",1,0)</f>
        <v>-2</v>
      </c>
      <c r="AI58" s="1" t="n">
        <f aca="false">IF(C58="V",-2,0)+IF(C58="E",-1,0)+IF(C58="O",0,0)+IF(C58="L",1,0)+Z58</f>
        <v>-1.5</v>
      </c>
      <c r="AJ58" s="1" t="n">
        <f aca="false">IF(C58="V",-2,0)+IF(C58="E",-1,0)+IF(C58="O",0,0)+IF(C58="L",1,0)+Z58*2</f>
        <v>-1</v>
      </c>
      <c r="AK58" s="1" t="n">
        <f aca="false">IF(D58="V",-2,0)+IF(D58="E",-1,0)+IF(D58="O",0,0)+IF(D58="L",1,0)</f>
        <v>0</v>
      </c>
      <c r="AL58" s="1" t="n">
        <f aca="false">IF(D58="V",-2,0)+IF(D58="E",-1,0)+IF(D58="O",0,0)+IF(D58="L",1,0)+AA58</f>
        <v>0</v>
      </c>
      <c r="AM58" s="1" t="n">
        <f aca="false">IF(D58="V",-2,0)+IF(D58="E",-1,0)+IF(D58="O",0,0)+IF(D58="L",1,0)+AA58*2</f>
        <v>0</v>
      </c>
      <c r="AN58" s="1" t="n">
        <f aca="false">(ABS(IF(AE58&lt;0,AE58*Early,AE58*Late))+ABS(IF(AF58&lt;0,AF58*Early,AF58*Late))+ABS(IF(AG58&lt;0,AG58*Early,AG58*Late)))/3</f>
        <v>4.5</v>
      </c>
      <c r="AO58" s="1" t="n">
        <f aca="false">(ABS(IF(AH58&lt;0,AH58*Early,AH58*Late))+ABS(IF(AI58&lt;0,AI58*Early,AI58*Late))+ABS(IF(AJ58&lt;0,AJ58*Early,AJ58*Late)))/3</f>
        <v>4.5</v>
      </c>
      <c r="AP58" s="1" t="n">
        <f aca="false">(ABS(IF(AK58&lt;0,AK58*Early,AK58*Late))+ABS(IF(AL58&lt;0,AL58*Early,AL58*Late))+ABS(IF(AM58&lt;0,AM58*Early,AM58*Late)))/3</f>
        <v>0</v>
      </c>
      <c r="AQ58" s="0" t="n">
        <f aca="false">Y58*Delay+AN58</f>
        <v>5</v>
      </c>
      <c r="AR58" s="0" t="n">
        <f aca="false">Z58*Delay+AO58</f>
        <v>5</v>
      </c>
      <c r="AS58" s="0" t="n">
        <f aca="false">AA58*Delay+AP58</f>
        <v>0</v>
      </c>
      <c r="AT58" s="0" t="n">
        <f aca="false">IF(AR58=MIN(AR58:AR61),1,0)</f>
        <v>0</v>
      </c>
      <c r="AX58" s="0" t="str">
        <f aca="false">B58&amp;C58&amp;D58</f>
        <v>VVO</v>
      </c>
      <c r="AY58" s="1" t="n">
        <f aca="false">AQ58+AR58+AS58</f>
        <v>10</v>
      </c>
      <c r="AZ58" s="1" t="str">
        <f aca="false">RIGHT(AX58,2)</f>
        <v>VO</v>
      </c>
      <c r="BA58" s="1" t="str">
        <f aca="false">LEFT(AX58,1)&amp;RIGHT(AX58,1)</f>
        <v>VO</v>
      </c>
      <c r="BB58" s="1" t="str">
        <f aca="false">LEFT(AX58,2)</f>
        <v>VV</v>
      </c>
      <c r="BC58" s="1" t="n">
        <f aca="false">VLOOKUP(AZ58,TwoPlayers!$AG$1:$AH$17,2,FALSE())</f>
        <v>6</v>
      </c>
      <c r="BD58" s="1" t="n">
        <f aca="false">VLOOKUP(BA58,TwoPlayers!$AG$1:$AH$17,2,FALSE())</f>
        <v>6</v>
      </c>
      <c r="BE58" s="1" t="n">
        <f aca="false">VLOOKUP(BB58,TwoPlayers!$AG$1:$AH$17,2,FALSE())</f>
        <v>10</v>
      </c>
      <c r="BF58" s="1" t="n">
        <f aca="false">$AY58-BC58</f>
        <v>4</v>
      </c>
      <c r="BG58" s="1" t="n">
        <f aca="false">$AY58-BD58</f>
        <v>4</v>
      </c>
      <c r="BH58" s="1" t="n">
        <f aca="false">$AY58-BE58</f>
        <v>0</v>
      </c>
      <c r="BJ58" s="0" t="n">
        <f aca="false">AQ58+BF58</f>
        <v>9</v>
      </c>
      <c r="BK58" s="0" t="n">
        <f aca="false">AR58+BG58</f>
        <v>9</v>
      </c>
      <c r="BL58" s="0" t="n">
        <f aca="false">AS58+BH58</f>
        <v>0</v>
      </c>
      <c r="BM58" s="0" t="n">
        <f aca="false">IF(BK58=MIN(BK58:BK62),1,0)</f>
        <v>0</v>
      </c>
    </row>
    <row r="59" customFormat="false" ht="13" hidden="false" customHeight="false" outlineLevel="0" collapsed="false">
      <c r="A59" s="0" t="n">
        <v>7</v>
      </c>
      <c r="B59" s="0" t="s">
        <v>1</v>
      </c>
      <c r="C59" s="0" t="s">
        <v>2</v>
      </c>
      <c r="D59" s="0" t="s">
        <v>3</v>
      </c>
      <c r="E59" s="0" t="n">
        <f aca="false">(IF($B59="V",1,0))+IF($C59="V",1,0)+IF($D59="V",1,0)</f>
        <v>1</v>
      </c>
      <c r="F59" s="0" t="n">
        <f aca="false">(IF($B59="E",1,0))+IF($C59="E",1,0)+IF($D59="E",1,0)</f>
        <v>1</v>
      </c>
      <c r="G59" s="0" t="n">
        <f aca="false">(IF($B59="O",1,0))+IF($C59="O",1,0)+IF($D59="O",1,0)</f>
        <v>1</v>
      </c>
      <c r="H59" s="0" t="n">
        <f aca="false">(IF($B59="L",1,0))+IF($C59="L",1,0)+IF($D59="L",1,0)</f>
        <v>0</v>
      </c>
      <c r="I59" s="0" t="n">
        <f aca="false">(IF(B59="V",1,0))</f>
        <v>1</v>
      </c>
      <c r="J59" s="0" t="n">
        <f aca="false">(IF(B59="E",1,0))</f>
        <v>0</v>
      </c>
      <c r="K59" s="0" t="n">
        <f aca="false">(IF(B59="O",1,0))</f>
        <v>0</v>
      </c>
      <c r="L59" s="0" t="n">
        <f aca="false">(IF(B59="L",1,0))</f>
        <v>0</v>
      </c>
      <c r="M59" s="0" t="n">
        <f aca="false">(IF(C59="V",1,0))</f>
        <v>0</v>
      </c>
      <c r="N59" s="0" t="n">
        <f aca="false">(IF(C59="E",1,0))</f>
        <v>1</v>
      </c>
      <c r="O59" s="0" t="n">
        <f aca="false">(IF(C59="O",1,0))</f>
        <v>0</v>
      </c>
      <c r="P59" s="0" t="n">
        <f aca="false">(IF(C59="L",1,0))</f>
        <v>0</v>
      </c>
      <c r="Q59" s="0" t="n">
        <f aca="false">(IF(D59="V",1,0))</f>
        <v>0</v>
      </c>
      <c r="R59" s="0" t="n">
        <f aca="false">(IF(D59="E",1,0))</f>
        <v>0</v>
      </c>
      <c r="S59" s="0" t="n">
        <f aca="false">(IF(D59="O",1,0))</f>
        <v>1</v>
      </c>
      <c r="T59" s="0" t="n">
        <f aca="false">(IF(D59="L",1,0))</f>
        <v>0</v>
      </c>
      <c r="U59" s="0" t="n">
        <f aca="false">MAX(E59-1,0)</f>
        <v>0</v>
      </c>
      <c r="V59" s="0" t="n">
        <f aca="false">MAX(U59-1+F59,0)</f>
        <v>0</v>
      </c>
      <c r="W59" s="0" t="n">
        <f aca="false">MAX(V59-1+G59,0)</f>
        <v>0</v>
      </c>
      <c r="X59" s="0" t="n">
        <f aca="false">MAX(W59-1+H59,0)</f>
        <v>0</v>
      </c>
      <c r="Y59" s="1" t="n">
        <f aca="false">0.5*(E59*I59+F59*J59+G59*K59+H59*L59-1)+(0+$U59*J59+$V59*K59+$W59*L59)</f>
        <v>0</v>
      </c>
      <c r="Z59" s="1" t="n">
        <f aca="false">0.5*(E59*M59+F59*N59+G59*O59+H59*P59-1)+(0+$U59*N59+$V59*O59+$W59*P59)</f>
        <v>0</v>
      </c>
      <c r="AA59" s="1" t="n">
        <f aca="false">0.5*(E59*Q59+F59*R59+G59*S59+H59*T59-1)+(0+$U59*R59+$V59*S59+$W59*T59)</f>
        <v>0</v>
      </c>
      <c r="AB59" s="0" t="n">
        <f aca="false">IF(B59="V",-2,0)+IF(B59="E",-1,0)+IF(B59="O",0,0)+IF(B59="L",1,0)+Y59</f>
        <v>-2</v>
      </c>
      <c r="AC59" s="0" t="n">
        <f aca="false">IF(C59="V",-2,0)+IF(C59="E",-1,0)+IF(C59="O",0,0)+IF(C59="L",1,0)+Z59</f>
        <v>-1</v>
      </c>
      <c r="AD59" s="0" t="n">
        <f aca="false">IF(D59="V",-2,0)+IF(D59="E",-1,0)+IF(D59="O",0,0)+IF(D59="L",1,0)+AA59</f>
        <v>0</v>
      </c>
      <c r="AE59" s="1" t="n">
        <f aca="false">IF(B59="V",-2,0)+IF(B59="E",-1,0)+IF(B59="O",0,0)+IF(B59="L",1,0)</f>
        <v>-2</v>
      </c>
      <c r="AF59" s="1" t="n">
        <f aca="false">IF(B59="V",-2,0)+IF(B59="E",-1,0)+IF(B59="O",0,0)+IF(B59="L",1,0)+Y59</f>
        <v>-2</v>
      </c>
      <c r="AG59" s="1" t="n">
        <f aca="false">IF(B59="V",-2,0)+IF(B59="E",-1,0)+IF(B59="O",0,0)+IF(B59="L",1,0)+Y59*2</f>
        <v>-2</v>
      </c>
      <c r="AH59" s="1" t="n">
        <f aca="false">IF(C59="V",-2,0)+IF(C59="E",-1,0)+IF(C59="O",0,0)+IF(C59="L",1,0)</f>
        <v>-1</v>
      </c>
      <c r="AI59" s="1" t="n">
        <f aca="false">IF(C59="V",-2,0)+IF(C59="E",-1,0)+IF(C59="O",0,0)+IF(C59="L",1,0)+Z59</f>
        <v>-1</v>
      </c>
      <c r="AJ59" s="1" t="n">
        <f aca="false">IF(C59="V",-2,0)+IF(C59="E",-1,0)+IF(C59="O",0,0)+IF(C59="L",1,0)+Z59*2</f>
        <v>-1</v>
      </c>
      <c r="AK59" s="1" t="n">
        <f aca="false">IF(D59="V",-2,0)+IF(D59="E",-1,0)+IF(D59="O",0,0)+IF(D59="L",1,0)</f>
        <v>0</v>
      </c>
      <c r="AL59" s="1" t="n">
        <f aca="false">IF(D59="V",-2,0)+IF(D59="E",-1,0)+IF(D59="O",0,0)+IF(D59="L",1,0)+AA59</f>
        <v>0</v>
      </c>
      <c r="AM59" s="1" t="n">
        <f aca="false">IF(D59="V",-2,0)+IF(D59="E",-1,0)+IF(D59="O",0,0)+IF(D59="L",1,0)+AA59*2</f>
        <v>0</v>
      </c>
      <c r="AN59" s="1" t="n">
        <f aca="false">(ABS(IF(AE59&lt;0,AE59*Early,AE59*Late))+ABS(IF(AF59&lt;0,AF59*Early,AF59*Late))+ABS(IF(AG59&lt;0,AG59*Early,AG59*Late)))/3</f>
        <v>6</v>
      </c>
      <c r="AO59" s="1" t="n">
        <f aca="false">(ABS(IF(AH59&lt;0,AH59*Early,AH59*Late))+ABS(IF(AI59&lt;0,AI59*Early,AI59*Late))+ABS(IF(AJ59&lt;0,AJ59*Early,AJ59*Late)))/3</f>
        <v>3</v>
      </c>
      <c r="AP59" s="1" t="n">
        <f aca="false">(ABS(IF(AK59&lt;0,AK59*Early,AK59*Late))+ABS(IF(AL59&lt;0,AL59*Early,AL59*Late))+ABS(IF(AM59&lt;0,AM59*Early,AM59*Late)))/3</f>
        <v>0</v>
      </c>
      <c r="AQ59" s="0" t="n">
        <f aca="false">Y59*Delay+AN59</f>
        <v>6</v>
      </c>
      <c r="AR59" s="0" t="n">
        <f aca="false">Z59*Delay+AO59</f>
        <v>3</v>
      </c>
      <c r="AS59" s="0" t="n">
        <f aca="false">AA59*Delay+AP59</f>
        <v>0</v>
      </c>
      <c r="AT59" s="0" t="n">
        <f aca="false">IF(AR59=MIN(AR58:AR61),1,0)</f>
        <v>0</v>
      </c>
      <c r="AX59" s="0" t="str">
        <f aca="false">B59&amp;C59&amp;D59</f>
        <v>VEO</v>
      </c>
      <c r="AY59" s="1" t="n">
        <f aca="false">AQ59+AR59+AS59</f>
        <v>9</v>
      </c>
      <c r="AZ59" s="1" t="str">
        <f aca="false">RIGHT(AX59,2)</f>
        <v>EO</v>
      </c>
      <c r="BA59" s="1" t="str">
        <f aca="false">LEFT(AX59,1)&amp;RIGHT(AX59,1)</f>
        <v>VO</v>
      </c>
      <c r="BB59" s="1" t="str">
        <f aca="false">LEFT(AX59,2)</f>
        <v>VE</v>
      </c>
      <c r="BC59" s="1" t="n">
        <f aca="false">VLOOKUP(AZ59,TwoPlayers!$AG$1:$AH$17,2,FALSE())</f>
        <v>3</v>
      </c>
      <c r="BD59" s="1" t="n">
        <f aca="false">VLOOKUP(BA59,TwoPlayers!$AG$1:$AH$17,2,FALSE())</f>
        <v>6</v>
      </c>
      <c r="BE59" s="1" t="n">
        <f aca="false">VLOOKUP(BB59,TwoPlayers!$AG$1:$AH$17,2,FALSE())</f>
        <v>9</v>
      </c>
      <c r="BF59" s="1" t="n">
        <f aca="false">$AY59-BC59</f>
        <v>6</v>
      </c>
      <c r="BG59" s="1" t="n">
        <f aca="false">$AY59-BD59</f>
        <v>3</v>
      </c>
      <c r="BH59" s="1" t="n">
        <f aca="false">$AY59-BE59</f>
        <v>0</v>
      </c>
      <c r="BJ59" s="0" t="n">
        <f aca="false">AQ59+BF59</f>
        <v>12</v>
      </c>
      <c r="BK59" s="0" t="n">
        <f aca="false">AR59+BG59</f>
        <v>6</v>
      </c>
      <c r="BL59" s="0" t="n">
        <f aca="false">AS59+BH59</f>
        <v>0</v>
      </c>
      <c r="BM59" s="0" t="n">
        <f aca="false">IF(BK59=MIN(BK58:BK62),1,0)</f>
        <v>1</v>
      </c>
    </row>
    <row r="60" customFormat="false" ht="13" hidden="false" customHeight="false" outlineLevel="0" collapsed="false">
      <c r="A60" s="0" t="n">
        <v>11</v>
      </c>
      <c r="B60" s="0" t="s">
        <v>1</v>
      </c>
      <c r="C60" s="0" t="s">
        <v>3</v>
      </c>
      <c r="D60" s="0" t="s">
        <v>3</v>
      </c>
      <c r="E60" s="0" t="n">
        <f aca="false">(IF($B60="V",1,0))+IF($C60="V",1,0)+IF($D60="V",1,0)</f>
        <v>1</v>
      </c>
      <c r="F60" s="0" t="n">
        <f aca="false">(IF($B60="E",1,0))+IF($C60="E",1,0)+IF($D60="E",1,0)</f>
        <v>0</v>
      </c>
      <c r="G60" s="0" t="n">
        <f aca="false">(IF($B60="O",1,0))+IF($C60="O",1,0)+IF($D60="O",1,0)</f>
        <v>2</v>
      </c>
      <c r="H60" s="0" t="n">
        <f aca="false">(IF($B60="L",1,0))+IF($C60="L",1,0)+IF($D60="L",1,0)</f>
        <v>0</v>
      </c>
      <c r="I60" s="0" t="n">
        <f aca="false">(IF(B60="V",1,0))</f>
        <v>1</v>
      </c>
      <c r="J60" s="0" t="n">
        <f aca="false">(IF(B60="E",1,0))</f>
        <v>0</v>
      </c>
      <c r="K60" s="0" t="n">
        <f aca="false">(IF(B60="O",1,0))</f>
        <v>0</v>
      </c>
      <c r="L60" s="0" t="n">
        <f aca="false">(IF(B60="L",1,0))</f>
        <v>0</v>
      </c>
      <c r="M60" s="0" t="n">
        <f aca="false">(IF(C60="V",1,0))</f>
        <v>0</v>
      </c>
      <c r="N60" s="0" t="n">
        <f aca="false">(IF(C60="E",1,0))</f>
        <v>0</v>
      </c>
      <c r="O60" s="0" t="n">
        <f aca="false">(IF(C60="O",1,0))</f>
        <v>1</v>
      </c>
      <c r="P60" s="0" t="n">
        <f aca="false">(IF(C60="L",1,0))</f>
        <v>0</v>
      </c>
      <c r="Q60" s="0" t="n">
        <f aca="false">(IF(D60="V",1,0))</f>
        <v>0</v>
      </c>
      <c r="R60" s="0" t="n">
        <f aca="false">(IF(D60="E",1,0))</f>
        <v>0</v>
      </c>
      <c r="S60" s="0" t="n">
        <f aca="false">(IF(D60="O",1,0))</f>
        <v>1</v>
      </c>
      <c r="T60" s="0" t="n">
        <f aca="false">(IF(D60="L",1,0))</f>
        <v>0</v>
      </c>
      <c r="U60" s="0" t="n">
        <f aca="false">MAX(E60-1,0)</f>
        <v>0</v>
      </c>
      <c r="V60" s="0" t="n">
        <f aca="false">MAX(U60-1+F60,0)</f>
        <v>0</v>
      </c>
      <c r="W60" s="0" t="n">
        <f aca="false">MAX(V60-1+G60,0)</f>
        <v>1</v>
      </c>
      <c r="X60" s="0" t="n">
        <f aca="false">MAX(W60-1+H60,0)</f>
        <v>0</v>
      </c>
      <c r="Y60" s="1" t="n">
        <f aca="false">0.5*(E60*I60+F60*J60+G60*K60+H60*L60-1)+(0+$U60*J60+$V60*K60+$W60*L60)</f>
        <v>0</v>
      </c>
      <c r="Z60" s="1" t="n">
        <f aca="false">0.5*(E60*M60+F60*N60+G60*O60+H60*P60-1)+(0+$U60*N60+$V60*O60+$W60*P60)</f>
        <v>0.5</v>
      </c>
      <c r="AA60" s="1" t="n">
        <f aca="false">0.5*(E60*Q60+F60*R60+G60*S60+H60*T60-1)+(0+$U60*R60+$V60*S60+$W60*T60)</f>
        <v>0.5</v>
      </c>
      <c r="AB60" s="0" t="n">
        <f aca="false">IF(B60="V",-2,0)+IF(B60="E",-1,0)+IF(B60="O",0,0)+IF(B60="L",1,0)+Y60</f>
        <v>-2</v>
      </c>
      <c r="AC60" s="0" t="n">
        <f aca="false">IF(C60="V",-2,0)+IF(C60="E",-1,0)+IF(C60="O",0,0)+IF(C60="L",1,0)+Z60</f>
        <v>0.5</v>
      </c>
      <c r="AD60" s="0" t="n">
        <f aca="false">IF(D60="V",-2,0)+IF(D60="E",-1,0)+IF(D60="O",0,0)+IF(D60="L",1,0)+AA60</f>
        <v>0.5</v>
      </c>
      <c r="AE60" s="1" t="n">
        <f aca="false">IF(B60="V",-2,0)+IF(B60="E",-1,0)+IF(B60="O",0,0)+IF(B60="L",1,0)</f>
        <v>-2</v>
      </c>
      <c r="AF60" s="1" t="n">
        <f aca="false">IF(B60="V",-2,0)+IF(B60="E",-1,0)+IF(B60="O",0,0)+IF(B60="L",1,0)+Y60</f>
        <v>-2</v>
      </c>
      <c r="AG60" s="1" t="n">
        <f aca="false">IF(B60="V",-2,0)+IF(B60="E",-1,0)+IF(B60="O",0,0)+IF(B60="L",1,0)+Y60*2</f>
        <v>-2</v>
      </c>
      <c r="AH60" s="1" t="n">
        <f aca="false">IF(C60="V",-2,0)+IF(C60="E",-1,0)+IF(C60="O",0,0)+IF(C60="L",1,0)</f>
        <v>0</v>
      </c>
      <c r="AI60" s="1" t="n">
        <f aca="false">IF(C60="V",-2,0)+IF(C60="E",-1,0)+IF(C60="O",0,0)+IF(C60="L",1,0)+Z60</f>
        <v>0.5</v>
      </c>
      <c r="AJ60" s="1" t="n">
        <f aca="false">IF(C60="V",-2,0)+IF(C60="E",-1,0)+IF(C60="O",0,0)+IF(C60="L",1,0)+Z60*2</f>
        <v>1</v>
      </c>
      <c r="AK60" s="1" t="n">
        <f aca="false">IF(D60="V",-2,0)+IF(D60="E",-1,0)+IF(D60="O",0,0)+IF(D60="L",1,0)</f>
        <v>0</v>
      </c>
      <c r="AL60" s="1" t="n">
        <f aca="false">IF(D60="V",-2,0)+IF(D60="E",-1,0)+IF(D60="O",0,0)+IF(D60="L",1,0)+AA60</f>
        <v>0.5</v>
      </c>
      <c r="AM60" s="1" t="n">
        <f aca="false">IF(D60="V",-2,0)+IF(D60="E",-1,0)+IF(D60="O",0,0)+IF(D60="L",1,0)+AA60*2</f>
        <v>1</v>
      </c>
      <c r="AN60" s="1" t="n">
        <f aca="false">(ABS(IF(AE60&lt;0,AE60*Early,AE60*Late))+ABS(IF(AF60&lt;0,AF60*Early,AF60*Late))+ABS(IF(AG60&lt;0,AG60*Early,AG60*Late)))/3</f>
        <v>6</v>
      </c>
      <c r="AO60" s="1" t="n">
        <f aca="false">(ABS(IF(AH60&lt;0,AH60*Early,AH60*Late))+ABS(IF(AI60&lt;0,AI60*Early,AI60*Late))+ABS(IF(AJ60&lt;0,AJ60*Early,AJ60*Late)))/3</f>
        <v>2</v>
      </c>
      <c r="AP60" s="1" t="n">
        <f aca="false">(ABS(IF(AK60&lt;0,AK60*Early,AK60*Late))+ABS(IF(AL60&lt;0,AL60*Early,AL60*Late))+ABS(IF(AM60&lt;0,AM60*Early,AM60*Late)))/3</f>
        <v>2</v>
      </c>
      <c r="AQ60" s="0" t="n">
        <f aca="false">Y60*Delay+AN60</f>
        <v>6</v>
      </c>
      <c r="AR60" s="0" t="n">
        <f aca="false">Z60*Delay+AO60</f>
        <v>2.5</v>
      </c>
      <c r="AS60" s="0" t="n">
        <f aca="false">AA60*Delay+AP60</f>
        <v>2.5</v>
      </c>
      <c r="AT60" s="0" t="n">
        <f aca="false">IF(AR60=MIN(AR58:AR61),1,0)</f>
        <v>1</v>
      </c>
      <c r="AX60" s="0" t="str">
        <f aca="false">B60&amp;C60&amp;D60</f>
        <v>VOO</v>
      </c>
      <c r="AY60" s="1" t="n">
        <f aca="false">AQ60+AR60+AS60</f>
        <v>11</v>
      </c>
      <c r="AZ60" s="1" t="str">
        <f aca="false">RIGHT(AX60,2)</f>
        <v>OO</v>
      </c>
      <c r="BA60" s="1" t="str">
        <f aca="false">LEFT(AX60,1)&amp;RIGHT(AX60,1)</f>
        <v>VO</v>
      </c>
      <c r="BB60" s="1" t="str">
        <f aca="false">LEFT(AX60,2)</f>
        <v>VO</v>
      </c>
      <c r="BC60" s="1" t="n">
        <f aca="false">VLOOKUP(AZ60,TwoPlayers!$AG$1:$AH$17,2,FALSE())</f>
        <v>5</v>
      </c>
      <c r="BD60" s="1" t="n">
        <f aca="false">VLOOKUP(BA60,TwoPlayers!$AG$1:$AH$17,2,FALSE())</f>
        <v>6</v>
      </c>
      <c r="BE60" s="1" t="n">
        <f aca="false">VLOOKUP(BB60,TwoPlayers!$AG$1:$AH$17,2,FALSE())</f>
        <v>6</v>
      </c>
      <c r="BF60" s="1" t="n">
        <f aca="false">$AY60-BC60</f>
        <v>6</v>
      </c>
      <c r="BG60" s="1" t="n">
        <f aca="false">$AY60-BD60</f>
        <v>5</v>
      </c>
      <c r="BH60" s="1" t="n">
        <f aca="false">$AY60-BE60</f>
        <v>5</v>
      </c>
      <c r="BJ60" s="0" t="n">
        <f aca="false">AQ60+BF60</f>
        <v>12</v>
      </c>
      <c r="BK60" s="0" t="n">
        <f aca="false">AR60+BG60</f>
        <v>7.5</v>
      </c>
      <c r="BL60" s="0" t="n">
        <f aca="false">AS60+BH60</f>
        <v>7.5</v>
      </c>
      <c r="BM60" s="0" t="n">
        <f aca="false">IF(BK60=MIN(BK58:BK62),1,0)</f>
        <v>0</v>
      </c>
    </row>
    <row r="61" customFormat="false" ht="13" hidden="false" customHeight="false" outlineLevel="0" collapsed="false">
      <c r="A61" s="0" t="n">
        <v>15</v>
      </c>
      <c r="B61" s="0" t="s">
        <v>1</v>
      </c>
      <c r="C61" s="0" t="s">
        <v>4</v>
      </c>
      <c r="D61" s="0" t="s">
        <v>3</v>
      </c>
      <c r="E61" s="0" t="n">
        <f aca="false">(IF($B61="V",1,0))+IF($C61="V",1,0)+IF($D61="V",1,0)</f>
        <v>1</v>
      </c>
      <c r="F61" s="0" t="n">
        <f aca="false">(IF($B61="E",1,0))+IF($C61="E",1,0)+IF($D61="E",1,0)</f>
        <v>0</v>
      </c>
      <c r="G61" s="0" t="n">
        <f aca="false">(IF($B61="O",1,0))+IF($C61="O",1,0)+IF($D61="O",1,0)</f>
        <v>1</v>
      </c>
      <c r="H61" s="0" t="n">
        <f aca="false">(IF($B61="L",1,0))+IF($C61="L",1,0)+IF($D61="L",1,0)</f>
        <v>1</v>
      </c>
      <c r="I61" s="0" t="n">
        <f aca="false">(IF(B61="V",1,0))</f>
        <v>1</v>
      </c>
      <c r="J61" s="0" t="n">
        <f aca="false">(IF(B61="E",1,0))</f>
        <v>0</v>
      </c>
      <c r="K61" s="0" t="n">
        <f aca="false">(IF(B61="O",1,0))</f>
        <v>0</v>
      </c>
      <c r="L61" s="0" t="n">
        <f aca="false">(IF(B61="L",1,0))</f>
        <v>0</v>
      </c>
      <c r="M61" s="0" t="n">
        <f aca="false">(IF(C61="V",1,0))</f>
        <v>0</v>
      </c>
      <c r="N61" s="0" t="n">
        <f aca="false">(IF(C61="E",1,0))</f>
        <v>0</v>
      </c>
      <c r="O61" s="0" t="n">
        <f aca="false">(IF(C61="O",1,0))</f>
        <v>0</v>
      </c>
      <c r="P61" s="0" t="n">
        <f aca="false">(IF(C61="L",1,0))</f>
        <v>1</v>
      </c>
      <c r="Q61" s="0" t="n">
        <f aca="false">(IF(D61="V",1,0))</f>
        <v>0</v>
      </c>
      <c r="R61" s="0" t="n">
        <f aca="false">(IF(D61="E",1,0))</f>
        <v>0</v>
      </c>
      <c r="S61" s="0" t="n">
        <f aca="false">(IF(D61="O",1,0))</f>
        <v>1</v>
      </c>
      <c r="T61" s="0" t="n">
        <f aca="false">(IF(D61="L",1,0))</f>
        <v>0</v>
      </c>
      <c r="U61" s="0" t="n">
        <f aca="false">MAX(E61-1,0)</f>
        <v>0</v>
      </c>
      <c r="V61" s="0" t="n">
        <f aca="false">MAX(U61-1+F61,0)</f>
        <v>0</v>
      </c>
      <c r="W61" s="0" t="n">
        <f aca="false">MAX(V61-1+G61,0)</f>
        <v>0</v>
      </c>
      <c r="X61" s="0" t="n">
        <f aca="false">MAX(W61-1+H61,0)</f>
        <v>0</v>
      </c>
      <c r="Y61" s="1" t="n">
        <f aca="false">0.5*(E61*I61+F61*J61+G61*K61+H61*L61-1)+(0+$U61*J61+$V61*K61+$W61*L61)</f>
        <v>0</v>
      </c>
      <c r="Z61" s="1" t="n">
        <f aca="false">0.5*(E61*M61+F61*N61+G61*O61+H61*P61-1)+(0+$U61*N61+$V61*O61+$W61*P61)</f>
        <v>0</v>
      </c>
      <c r="AA61" s="1" t="n">
        <f aca="false">0.5*(E61*Q61+F61*R61+G61*S61+H61*T61-1)+(0+$U61*R61+$V61*S61+$W61*T61)</f>
        <v>0</v>
      </c>
      <c r="AB61" s="0" t="n">
        <f aca="false">IF(B61="V",-2,0)+IF(B61="E",-1,0)+IF(B61="O",0,0)+IF(B61="L",1,0)+Y61</f>
        <v>-2</v>
      </c>
      <c r="AC61" s="0" t="n">
        <f aca="false">IF(C61="V",-2,0)+IF(C61="E",-1,0)+IF(C61="O",0,0)+IF(C61="L",1,0)+Z61</f>
        <v>1</v>
      </c>
      <c r="AD61" s="0" t="n">
        <f aca="false">IF(D61="V",-2,0)+IF(D61="E",-1,0)+IF(D61="O",0,0)+IF(D61="L",1,0)+AA61</f>
        <v>0</v>
      </c>
      <c r="AE61" s="1" t="n">
        <f aca="false">IF(B61="V",-2,0)+IF(B61="E",-1,0)+IF(B61="O",0,0)+IF(B61="L",1,0)</f>
        <v>-2</v>
      </c>
      <c r="AF61" s="1" t="n">
        <f aca="false">IF(B61="V",-2,0)+IF(B61="E",-1,0)+IF(B61="O",0,0)+IF(B61="L",1,0)+Y61</f>
        <v>-2</v>
      </c>
      <c r="AG61" s="1" t="n">
        <f aca="false">IF(B61="V",-2,0)+IF(B61="E",-1,0)+IF(B61="O",0,0)+IF(B61="L",1,0)+Y61*2</f>
        <v>-2</v>
      </c>
      <c r="AH61" s="1" t="n">
        <f aca="false">IF(C61="V",-2,0)+IF(C61="E",-1,0)+IF(C61="O",0,0)+IF(C61="L",1,0)</f>
        <v>1</v>
      </c>
      <c r="AI61" s="1" t="n">
        <f aca="false">IF(C61="V",-2,0)+IF(C61="E",-1,0)+IF(C61="O",0,0)+IF(C61="L",1,0)+Z61</f>
        <v>1</v>
      </c>
      <c r="AJ61" s="1" t="n">
        <f aca="false">IF(C61="V",-2,0)+IF(C61="E",-1,0)+IF(C61="O",0,0)+IF(C61="L",1,0)+Z61*2</f>
        <v>1</v>
      </c>
      <c r="AK61" s="1" t="n">
        <f aca="false">IF(D61="V",-2,0)+IF(D61="E",-1,0)+IF(D61="O",0,0)+IF(D61="L",1,0)</f>
        <v>0</v>
      </c>
      <c r="AL61" s="1" t="n">
        <f aca="false">IF(D61="V",-2,0)+IF(D61="E",-1,0)+IF(D61="O",0,0)+IF(D61="L",1,0)+AA61</f>
        <v>0</v>
      </c>
      <c r="AM61" s="1" t="n">
        <f aca="false">IF(D61="V",-2,0)+IF(D61="E",-1,0)+IF(D61="O",0,0)+IF(D61="L",1,0)+AA61*2</f>
        <v>0</v>
      </c>
      <c r="AN61" s="1" t="n">
        <f aca="false">(ABS(IF(AE61&lt;0,AE61*Early,AE61*Late))+ABS(IF(AF61&lt;0,AF61*Early,AF61*Late))+ABS(IF(AG61&lt;0,AG61*Early,AG61*Late)))/3</f>
        <v>6</v>
      </c>
      <c r="AO61" s="1" t="n">
        <f aca="false">(ABS(IF(AH61&lt;0,AH61*Early,AH61*Late))+ABS(IF(AI61&lt;0,AI61*Early,AI61*Late))+ABS(IF(AJ61&lt;0,AJ61*Early,AJ61*Late)))/3</f>
        <v>4</v>
      </c>
      <c r="AP61" s="1" t="n">
        <f aca="false">(ABS(IF(AK61&lt;0,AK61*Early,AK61*Late))+ABS(IF(AL61&lt;0,AL61*Early,AL61*Late))+ABS(IF(AM61&lt;0,AM61*Early,AM61*Late)))/3</f>
        <v>0</v>
      </c>
      <c r="AQ61" s="0" t="n">
        <f aca="false">Y61*Delay+AN61</f>
        <v>6</v>
      </c>
      <c r="AR61" s="0" t="n">
        <f aca="false">Z61*Delay+AO61</f>
        <v>4</v>
      </c>
      <c r="AS61" s="0" t="n">
        <f aca="false">AA61*Delay+AP61</f>
        <v>0</v>
      </c>
      <c r="AT61" s="0" t="n">
        <f aca="false">IF(AR61=MIN(AR58:AR61),1,0)</f>
        <v>0</v>
      </c>
      <c r="AX61" s="0" t="str">
        <f aca="false">B61&amp;C61&amp;D61</f>
        <v>VLO</v>
      </c>
      <c r="AY61" s="1" t="n">
        <f aca="false">AQ61+AR61+AS61</f>
        <v>10</v>
      </c>
      <c r="AZ61" s="1" t="str">
        <f aca="false">RIGHT(AX61,2)</f>
        <v>LO</v>
      </c>
      <c r="BA61" s="1" t="str">
        <f aca="false">LEFT(AX61,1)&amp;RIGHT(AX61,1)</f>
        <v>VO</v>
      </c>
      <c r="BB61" s="1" t="str">
        <f aca="false">LEFT(AX61,2)</f>
        <v>VL</v>
      </c>
      <c r="BC61" s="1" t="n">
        <f aca="false">VLOOKUP(AZ61,TwoPlayers!$AG$1:$AH$17,2,FALSE())</f>
        <v>4</v>
      </c>
      <c r="BD61" s="1" t="n">
        <f aca="false">VLOOKUP(BA61,TwoPlayers!$AG$1:$AH$17,2,FALSE())</f>
        <v>6</v>
      </c>
      <c r="BE61" s="1" t="n">
        <f aca="false">VLOOKUP(BB61,TwoPlayers!$AG$1:$AH$17,2,FALSE())</f>
        <v>10</v>
      </c>
      <c r="BF61" s="1" t="n">
        <f aca="false">$AY61-BC61</f>
        <v>6</v>
      </c>
      <c r="BG61" s="1" t="n">
        <f aca="false">$AY61-BD61</f>
        <v>4</v>
      </c>
      <c r="BH61" s="1" t="n">
        <f aca="false">$AY61-BE61</f>
        <v>0</v>
      </c>
      <c r="BJ61" s="0" t="n">
        <f aca="false">AQ61+BF61</f>
        <v>12</v>
      </c>
      <c r="BK61" s="0" t="n">
        <f aca="false">AR61+BG61</f>
        <v>8</v>
      </c>
      <c r="BL61" s="0" t="n">
        <f aca="false">AS61+BH61</f>
        <v>0</v>
      </c>
      <c r="BM61" s="0" t="n">
        <f aca="false">IF(BK61=MIN(BK58:BK62),1,0)</f>
        <v>0</v>
      </c>
    </row>
    <row r="62" customFormat="false" ht="13" hidden="false" customHeight="false" outlineLevel="0" collapsed="false">
      <c r="A62" s="0" t="n">
        <v>1</v>
      </c>
      <c r="B62" s="0" t="s">
        <v>1</v>
      </c>
      <c r="C62" s="0" t="s">
        <v>1</v>
      </c>
      <c r="D62" s="0" t="s">
        <v>1</v>
      </c>
      <c r="E62" s="0" t="n">
        <f aca="false">(IF($B62="V",1,0))+IF($C62="V",1,0)+IF($D62="V",1,0)</f>
        <v>3</v>
      </c>
      <c r="F62" s="0" t="n">
        <f aca="false">(IF($B62="E",1,0))+IF($C62="E",1,0)+IF($D62="E",1,0)</f>
        <v>0</v>
      </c>
      <c r="G62" s="0" t="n">
        <f aca="false">(IF($B62="O",1,0))+IF($C62="O",1,0)+IF($D62="O",1,0)</f>
        <v>0</v>
      </c>
      <c r="H62" s="0" t="n">
        <f aca="false">(IF($B62="L",1,0))+IF($C62="L",1,0)+IF($D62="L",1,0)</f>
        <v>0</v>
      </c>
      <c r="I62" s="0" t="n">
        <f aca="false">(IF(B62="V",1,0))</f>
        <v>1</v>
      </c>
      <c r="J62" s="0" t="n">
        <f aca="false">(IF(B62="E",1,0))</f>
        <v>0</v>
      </c>
      <c r="K62" s="0" t="n">
        <f aca="false">(IF(B62="O",1,0))</f>
        <v>0</v>
      </c>
      <c r="L62" s="0" t="n">
        <f aca="false">(IF(B62="L",1,0))</f>
        <v>0</v>
      </c>
      <c r="M62" s="0" t="n">
        <f aca="false">(IF(C62="V",1,0))</f>
        <v>1</v>
      </c>
      <c r="N62" s="0" t="n">
        <f aca="false">(IF(C62="E",1,0))</f>
        <v>0</v>
      </c>
      <c r="O62" s="0" t="n">
        <f aca="false">(IF(C62="O",1,0))</f>
        <v>0</v>
      </c>
      <c r="P62" s="0" t="n">
        <f aca="false">(IF(C62="L",1,0))</f>
        <v>0</v>
      </c>
      <c r="Q62" s="0" t="n">
        <f aca="false">(IF(D62="V",1,0))</f>
        <v>1</v>
      </c>
      <c r="R62" s="0" t="n">
        <f aca="false">(IF(D62="E",1,0))</f>
        <v>0</v>
      </c>
      <c r="S62" s="0" t="n">
        <f aca="false">(IF(D62="O",1,0))</f>
        <v>0</v>
      </c>
      <c r="T62" s="0" t="n">
        <f aca="false">(IF(D62="L",1,0))</f>
        <v>0</v>
      </c>
      <c r="U62" s="0" t="n">
        <f aca="false">MAX(E62-1,0)</f>
        <v>2</v>
      </c>
      <c r="V62" s="0" t="n">
        <f aca="false">MAX(U62-1+F62,0)</f>
        <v>1</v>
      </c>
      <c r="W62" s="0" t="n">
        <f aca="false">MAX(V62-1+G62,0)</f>
        <v>0</v>
      </c>
      <c r="X62" s="0" t="n">
        <f aca="false">MAX(W62-1+H62,0)</f>
        <v>0</v>
      </c>
      <c r="Y62" s="1" t="n">
        <f aca="false">0.5*(E62*I62+F62*J62+G62*K62+H62*L62-1)+(0+$U62*J62+$V62*K62+$W62*L62)</f>
        <v>1</v>
      </c>
      <c r="Z62" s="1" t="n">
        <f aca="false">0.5*(E62*M62+F62*N62+G62*O62+H62*P62-1)+(0+$U62*N62+$V62*O62+$W62*P62)</f>
        <v>1</v>
      </c>
      <c r="AA62" s="1" t="n">
        <f aca="false">0.5*(E62*Q62+F62*R62+G62*S62+H62*T62-1)+(0+$U62*R62+$V62*S62+$W62*T62)</f>
        <v>1</v>
      </c>
      <c r="AB62" s="0" t="n">
        <f aca="false">IF(B62="V",-2,0)+IF(B62="E",-1,0)+IF(B62="O",0,0)+IF(B62="L",1,0)+Y62</f>
        <v>-1</v>
      </c>
      <c r="AC62" s="0" t="n">
        <f aca="false">IF(C62="V",-2,0)+IF(C62="E",-1,0)+IF(C62="O",0,0)+IF(C62="L",1,0)+Z62</f>
        <v>-1</v>
      </c>
      <c r="AD62" s="0" t="n">
        <f aca="false">IF(D62="V",-2,0)+IF(D62="E",-1,0)+IF(D62="O",0,0)+IF(D62="L",1,0)+AA62</f>
        <v>-1</v>
      </c>
      <c r="AE62" s="1" t="n">
        <f aca="false">IF(B62="V",-2,0)+IF(B62="E",-1,0)+IF(B62="O",0,0)+IF(B62="L",1,0)</f>
        <v>-2</v>
      </c>
      <c r="AF62" s="1" t="n">
        <f aca="false">IF(B62="V",-2,0)+IF(B62="E",-1,0)+IF(B62="O",0,0)+IF(B62="L",1,0)+Y62</f>
        <v>-1</v>
      </c>
      <c r="AG62" s="1" t="n">
        <f aca="false">IF(B62="V",-2,0)+IF(B62="E",-1,0)+IF(B62="O",0,0)+IF(B62="L",1,0)+Y62*2</f>
        <v>0</v>
      </c>
      <c r="AH62" s="1" t="n">
        <f aca="false">IF(C62="V",-2,0)+IF(C62="E",-1,0)+IF(C62="O",0,0)+IF(C62="L",1,0)</f>
        <v>-2</v>
      </c>
      <c r="AI62" s="1" t="n">
        <f aca="false">IF(C62="V",-2,0)+IF(C62="E",-1,0)+IF(C62="O",0,0)+IF(C62="L",1,0)+Z62</f>
        <v>-1</v>
      </c>
      <c r="AJ62" s="1" t="n">
        <f aca="false">IF(C62="V",-2,0)+IF(C62="E",-1,0)+IF(C62="O",0,0)+IF(C62="L",1,0)+Z62*2</f>
        <v>0</v>
      </c>
      <c r="AK62" s="1" t="n">
        <f aca="false">IF(D62="V",-2,0)+IF(D62="E",-1,0)+IF(D62="O",0,0)+IF(D62="L",1,0)</f>
        <v>-2</v>
      </c>
      <c r="AL62" s="1" t="n">
        <f aca="false">IF(D62="V",-2,0)+IF(D62="E",-1,0)+IF(D62="O",0,0)+IF(D62="L",1,0)+AA62</f>
        <v>-1</v>
      </c>
      <c r="AM62" s="1" t="n">
        <f aca="false">IF(D62="V",-2,0)+IF(D62="E",-1,0)+IF(D62="O",0,0)+IF(D62="L",1,0)+AA62*2</f>
        <v>0</v>
      </c>
      <c r="AN62" s="1" t="n">
        <f aca="false">(ABS(IF(AE62&lt;0,AE62*Early,AE62*Late))+ABS(IF(AF62&lt;0,AF62*Early,AF62*Late))+ABS(IF(AG62&lt;0,AG62*Early,AG62*Late)))/3</f>
        <v>3</v>
      </c>
      <c r="AO62" s="1" t="n">
        <f aca="false">(ABS(IF(AH62&lt;0,AH62*Early,AH62*Late))+ABS(IF(AI62&lt;0,AI62*Early,AI62*Late))+ABS(IF(AJ62&lt;0,AJ62*Early,AJ62*Late)))/3</f>
        <v>3</v>
      </c>
      <c r="AP62" s="1" t="n">
        <f aca="false">(ABS(IF(AK62&lt;0,AK62*Early,AK62*Late))+ABS(IF(AL62&lt;0,AL62*Early,AL62*Late))+ABS(IF(AM62&lt;0,AM62*Early,AM62*Late)))/3</f>
        <v>3</v>
      </c>
      <c r="AQ62" s="0" t="n">
        <f aca="false">Y62*Delay+AN62</f>
        <v>4</v>
      </c>
      <c r="AR62" s="0" t="n">
        <f aca="false">Z62*Delay+AO62</f>
        <v>4</v>
      </c>
      <c r="AS62" s="0" t="n">
        <f aca="false">AA62*Delay+AP62</f>
        <v>4</v>
      </c>
      <c r="AT62" s="0" t="n">
        <f aca="false">IF(AR62=MIN(AR62:AR65),1,0)</f>
        <v>0</v>
      </c>
      <c r="AX62" s="0" t="str">
        <f aca="false">B62&amp;C62&amp;D62</f>
        <v>VVV</v>
      </c>
      <c r="AY62" s="1" t="n">
        <f aca="false">AQ62+AR62+AS62</f>
        <v>12</v>
      </c>
      <c r="AZ62" s="1" t="str">
        <f aca="false">RIGHT(AX62,2)</f>
        <v>VV</v>
      </c>
      <c r="BA62" s="1" t="str">
        <f aca="false">LEFT(AX62,1)&amp;RIGHT(AX62,1)</f>
        <v>VV</v>
      </c>
      <c r="BB62" s="1" t="str">
        <f aca="false">LEFT(AX62,2)</f>
        <v>VV</v>
      </c>
      <c r="BC62" s="1" t="n">
        <f aca="false">VLOOKUP(AZ62,TwoPlayers!$AG$1:$AH$17,2,FALSE())</f>
        <v>10</v>
      </c>
      <c r="BD62" s="1" t="n">
        <f aca="false">VLOOKUP(BA62,TwoPlayers!$AG$1:$AH$17,2,FALSE())</f>
        <v>10</v>
      </c>
      <c r="BE62" s="1" t="n">
        <f aca="false">VLOOKUP(BB62,TwoPlayers!$AG$1:$AH$17,2,FALSE())</f>
        <v>10</v>
      </c>
      <c r="BF62" s="1" t="n">
        <f aca="false">$AY62-BC62</f>
        <v>2</v>
      </c>
      <c r="BG62" s="1" t="n">
        <f aca="false">$AY62-BD62</f>
        <v>2</v>
      </c>
      <c r="BH62" s="1" t="n">
        <f aca="false">$AY62-BE62</f>
        <v>2</v>
      </c>
      <c r="BJ62" s="0" t="n">
        <f aca="false">AQ62+BF62</f>
        <v>6</v>
      </c>
      <c r="BK62" s="0" t="n">
        <f aca="false">AR62+BG62</f>
        <v>6</v>
      </c>
      <c r="BL62" s="0" t="n">
        <f aca="false">AS62+BH62</f>
        <v>6</v>
      </c>
      <c r="BM62" s="0" t="n">
        <f aca="false">IF(BK62=MIN(BK62:BK66),1,0)</f>
        <v>0</v>
      </c>
    </row>
    <row r="63" customFormat="false" ht="13" hidden="false" customHeight="false" outlineLevel="0" collapsed="false">
      <c r="A63" s="0" t="n">
        <v>5</v>
      </c>
      <c r="B63" s="0" t="s">
        <v>1</v>
      </c>
      <c r="C63" s="0" t="s">
        <v>2</v>
      </c>
      <c r="D63" s="0" t="s">
        <v>1</v>
      </c>
      <c r="E63" s="0" t="n">
        <f aca="false">(IF($B63="V",1,0))+IF($C63="V",1,0)+IF($D63="V",1,0)</f>
        <v>2</v>
      </c>
      <c r="F63" s="0" t="n">
        <f aca="false">(IF($B63="E",1,0))+IF($C63="E",1,0)+IF($D63="E",1,0)</f>
        <v>1</v>
      </c>
      <c r="G63" s="0" t="n">
        <f aca="false">(IF($B63="O",1,0))+IF($C63="O",1,0)+IF($D63="O",1,0)</f>
        <v>0</v>
      </c>
      <c r="H63" s="0" t="n">
        <f aca="false">(IF($B63="L",1,0))+IF($C63="L",1,0)+IF($D63="L",1,0)</f>
        <v>0</v>
      </c>
      <c r="I63" s="0" t="n">
        <f aca="false">(IF(B63="V",1,0))</f>
        <v>1</v>
      </c>
      <c r="J63" s="0" t="n">
        <f aca="false">(IF(B63="E",1,0))</f>
        <v>0</v>
      </c>
      <c r="K63" s="0" t="n">
        <f aca="false">(IF(B63="O",1,0))</f>
        <v>0</v>
      </c>
      <c r="L63" s="0" t="n">
        <f aca="false">(IF(B63="L",1,0))</f>
        <v>0</v>
      </c>
      <c r="M63" s="0" t="n">
        <f aca="false">(IF(C63="V",1,0))</f>
        <v>0</v>
      </c>
      <c r="N63" s="0" t="n">
        <f aca="false">(IF(C63="E",1,0))</f>
        <v>1</v>
      </c>
      <c r="O63" s="0" t="n">
        <f aca="false">(IF(C63="O",1,0))</f>
        <v>0</v>
      </c>
      <c r="P63" s="0" t="n">
        <f aca="false">(IF(C63="L",1,0))</f>
        <v>0</v>
      </c>
      <c r="Q63" s="0" t="n">
        <f aca="false">(IF(D63="V",1,0))</f>
        <v>1</v>
      </c>
      <c r="R63" s="0" t="n">
        <f aca="false">(IF(D63="E",1,0))</f>
        <v>0</v>
      </c>
      <c r="S63" s="0" t="n">
        <f aca="false">(IF(D63="O",1,0))</f>
        <v>0</v>
      </c>
      <c r="T63" s="0" t="n">
        <f aca="false">(IF(D63="L",1,0))</f>
        <v>0</v>
      </c>
      <c r="U63" s="0" t="n">
        <f aca="false">MAX(E63-1,0)</f>
        <v>1</v>
      </c>
      <c r="V63" s="0" t="n">
        <f aca="false">MAX(U63-1+F63,0)</f>
        <v>1</v>
      </c>
      <c r="W63" s="0" t="n">
        <f aca="false">MAX(V63-1+G63,0)</f>
        <v>0</v>
      </c>
      <c r="X63" s="0" t="n">
        <f aca="false">MAX(W63-1+H63,0)</f>
        <v>0</v>
      </c>
      <c r="Y63" s="1" t="n">
        <f aca="false">0.5*(E63*I63+F63*J63+G63*K63+H63*L63-1)+(0+$U63*J63+$V63*K63+$W63*L63)</f>
        <v>0.5</v>
      </c>
      <c r="Z63" s="1" t="n">
        <f aca="false">0.5*(E63*M63+F63*N63+G63*O63+H63*P63-1)+(0+$U63*N63+$V63*O63+$W63*P63)</f>
        <v>1</v>
      </c>
      <c r="AA63" s="1" t="n">
        <f aca="false">0.5*(E63*Q63+F63*R63+G63*S63+H63*T63-1)+(0+$U63*R63+$V63*S63+$W63*T63)</f>
        <v>0.5</v>
      </c>
      <c r="AB63" s="0" t="n">
        <f aca="false">IF(B63="V",-2,0)+IF(B63="E",-1,0)+IF(B63="O",0,0)+IF(B63="L",1,0)+Y63</f>
        <v>-1.5</v>
      </c>
      <c r="AC63" s="0" t="n">
        <f aca="false">IF(C63="V",-2,0)+IF(C63="E",-1,0)+IF(C63="O",0,0)+IF(C63="L",1,0)+Z63</f>
        <v>0</v>
      </c>
      <c r="AD63" s="0" t="n">
        <f aca="false">IF(D63="V",-2,0)+IF(D63="E",-1,0)+IF(D63="O",0,0)+IF(D63="L",1,0)+AA63</f>
        <v>-1.5</v>
      </c>
      <c r="AE63" s="1" t="n">
        <f aca="false">IF(B63="V",-2,0)+IF(B63="E",-1,0)+IF(B63="O",0,0)+IF(B63="L",1,0)</f>
        <v>-2</v>
      </c>
      <c r="AF63" s="1" t="n">
        <f aca="false">IF(B63="V",-2,0)+IF(B63="E",-1,0)+IF(B63="O",0,0)+IF(B63="L",1,0)+Y63</f>
        <v>-1.5</v>
      </c>
      <c r="AG63" s="1" t="n">
        <f aca="false">IF(B63="V",-2,0)+IF(B63="E",-1,0)+IF(B63="O",0,0)+IF(B63="L",1,0)+Y63*2</f>
        <v>-1</v>
      </c>
      <c r="AH63" s="1" t="n">
        <f aca="false">IF(C63="V",-2,0)+IF(C63="E",-1,0)+IF(C63="O",0,0)+IF(C63="L",1,0)</f>
        <v>-1</v>
      </c>
      <c r="AI63" s="1" t="n">
        <f aca="false">IF(C63="V",-2,0)+IF(C63="E",-1,0)+IF(C63="O",0,0)+IF(C63="L",1,0)+Z63</f>
        <v>0</v>
      </c>
      <c r="AJ63" s="1" t="n">
        <f aca="false">IF(C63="V",-2,0)+IF(C63="E",-1,0)+IF(C63="O",0,0)+IF(C63="L",1,0)+Z63*2</f>
        <v>1</v>
      </c>
      <c r="AK63" s="1" t="n">
        <f aca="false">IF(D63="V",-2,0)+IF(D63="E",-1,0)+IF(D63="O",0,0)+IF(D63="L",1,0)</f>
        <v>-2</v>
      </c>
      <c r="AL63" s="1" t="n">
        <f aca="false">IF(D63="V",-2,0)+IF(D63="E",-1,0)+IF(D63="O",0,0)+IF(D63="L",1,0)+AA63</f>
        <v>-1.5</v>
      </c>
      <c r="AM63" s="1" t="n">
        <f aca="false">IF(D63="V",-2,0)+IF(D63="E",-1,0)+IF(D63="O",0,0)+IF(D63="L",1,0)+AA63*2</f>
        <v>-1</v>
      </c>
      <c r="AN63" s="1" t="n">
        <f aca="false">(ABS(IF(AE63&lt;0,AE63*Early,AE63*Late))+ABS(IF(AF63&lt;0,AF63*Early,AF63*Late))+ABS(IF(AG63&lt;0,AG63*Early,AG63*Late)))/3</f>
        <v>4.5</v>
      </c>
      <c r="AO63" s="1" t="n">
        <f aca="false">(ABS(IF(AH63&lt;0,AH63*Early,AH63*Late))+ABS(IF(AI63&lt;0,AI63*Early,AI63*Late))+ABS(IF(AJ63&lt;0,AJ63*Early,AJ63*Late)))/3</f>
        <v>2.33333333333333</v>
      </c>
      <c r="AP63" s="1" t="n">
        <f aca="false">(ABS(IF(AK63&lt;0,AK63*Early,AK63*Late))+ABS(IF(AL63&lt;0,AL63*Early,AL63*Late))+ABS(IF(AM63&lt;0,AM63*Early,AM63*Late)))/3</f>
        <v>4.5</v>
      </c>
      <c r="AQ63" s="0" t="n">
        <f aca="false">Y63*Delay+AN63</f>
        <v>5</v>
      </c>
      <c r="AR63" s="0" t="n">
        <f aca="false">Z63*Delay+AO63</f>
        <v>3.33333333333333</v>
      </c>
      <c r="AS63" s="0" t="n">
        <f aca="false">AA63*Delay+AP63</f>
        <v>5</v>
      </c>
      <c r="AT63" s="0" t="n">
        <f aca="false">IF(AR63=MIN(AR62:AR65),1,0)</f>
        <v>0</v>
      </c>
      <c r="AX63" s="0" t="str">
        <f aca="false">B63&amp;C63&amp;D63</f>
        <v>VEV</v>
      </c>
      <c r="AY63" s="1" t="n">
        <f aca="false">AQ63+AR63+AS63</f>
        <v>13.3333333333333</v>
      </c>
      <c r="AZ63" s="1" t="str">
        <f aca="false">RIGHT(AX63,2)</f>
        <v>EV</v>
      </c>
      <c r="BA63" s="1" t="str">
        <f aca="false">LEFT(AX63,1)&amp;RIGHT(AX63,1)</f>
        <v>VV</v>
      </c>
      <c r="BB63" s="1" t="str">
        <f aca="false">LEFT(AX63,2)</f>
        <v>VE</v>
      </c>
      <c r="BC63" s="1" t="n">
        <f aca="false">VLOOKUP(AZ63,TwoPlayers!$AG$1:$AH$17,2,FALSE())</f>
        <v>9</v>
      </c>
      <c r="BD63" s="1" t="n">
        <f aca="false">VLOOKUP(BA63,TwoPlayers!$AG$1:$AH$17,2,FALSE())</f>
        <v>10</v>
      </c>
      <c r="BE63" s="1" t="n">
        <f aca="false">VLOOKUP(BB63,TwoPlayers!$AG$1:$AH$17,2,FALSE())</f>
        <v>9</v>
      </c>
      <c r="BF63" s="1" t="n">
        <f aca="false">$AY63-BC63</f>
        <v>4.33333333333333</v>
      </c>
      <c r="BG63" s="1" t="n">
        <f aca="false">$AY63-BD63</f>
        <v>3.33333333333333</v>
      </c>
      <c r="BH63" s="1" t="n">
        <f aca="false">$AY63-BE63</f>
        <v>4.33333333333333</v>
      </c>
      <c r="BJ63" s="0" t="n">
        <f aca="false">AQ63+BF63</f>
        <v>9.33333333333333</v>
      </c>
      <c r="BK63" s="0" t="n">
        <f aca="false">AR63+BG63</f>
        <v>6.66666666666667</v>
      </c>
      <c r="BL63" s="0" t="n">
        <f aca="false">AS63+BH63</f>
        <v>9.33333333333333</v>
      </c>
      <c r="BM63" s="0" t="n">
        <f aca="false">IF(BK63=MIN(BK62:BK66),1,0)</f>
        <v>0</v>
      </c>
    </row>
    <row r="64" customFormat="false" ht="13" hidden="false" customHeight="false" outlineLevel="0" collapsed="false">
      <c r="A64" s="0" t="n">
        <v>9</v>
      </c>
      <c r="B64" s="0" t="s">
        <v>1</v>
      </c>
      <c r="C64" s="0" t="s">
        <v>3</v>
      </c>
      <c r="D64" s="0" t="s">
        <v>1</v>
      </c>
      <c r="E64" s="0" t="n">
        <f aca="false">(IF($B64="V",1,0))+IF($C64="V",1,0)+IF($D64="V",1,0)</f>
        <v>2</v>
      </c>
      <c r="F64" s="0" t="n">
        <f aca="false">(IF($B64="E",1,0))+IF($C64="E",1,0)+IF($D64="E",1,0)</f>
        <v>0</v>
      </c>
      <c r="G64" s="0" t="n">
        <f aca="false">(IF($B64="O",1,0))+IF($C64="O",1,0)+IF($D64="O",1,0)</f>
        <v>1</v>
      </c>
      <c r="H64" s="0" t="n">
        <f aca="false">(IF($B64="L",1,0))+IF($C64="L",1,0)+IF($D64="L",1,0)</f>
        <v>0</v>
      </c>
      <c r="I64" s="0" t="n">
        <f aca="false">(IF(B64="V",1,0))</f>
        <v>1</v>
      </c>
      <c r="J64" s="0" t="n">
        <f aca="false">(IF(B64="E",1,0))</f>
        <v>0</v>
      </c>
      <c r="K64" s="0" t="n">
        <f aca="false">(IF(B64="O",1,0))</f>
        <v>0</v>
      </c>
      <c r="L64" s="0" t="n">
        <f aca="false">(IF(B64="L",1,0))</f>
        <v>0</v>
      </c>
      <c r="M64" s="0" t="n">
        <f aca="false">(IF(C64="V",1,0))</f>
        <v>0</v>
      </c>
      <c r="N64" s="0" t="n">
        <f aca="false">(IF(C64="E",1,0))</f>
        <v>0</v>
      </c>
      <c r="O64" s="0" t="n">
        <f aca="false">(IF(C64="O",1,0))</f>
        <v>1</v>
      </c>
      <c r="P64" s="0" t="n">
        <f aca="false">(IF(C64="L",1,0))</f>
        <v>0</v>
      </c>
      <c r="Q64" s="0" t="n">
        <f aca="false">(IF(D64="V",1,0))</f>
        <v>1</v>
      </c>
      <c r="R64" s="0" t="n">
        <f aca="false">(IF(D64="E",1,0))</f>
        <v>0</v>
      </c>
      <c r="S64" s="0" t="n">
        <f aca="false">(IF(D64="O",1,0))</f>
        <v>0</v>
      </c>
      <c r="T64" s="0" t="n">
        <f aca="false">(IF(D64="L",1,0))</f>
        <v>0</v>
      </c>
      <c r="U64" s="0" t="n">
        <f aca="false">MAX(E64-1,0)</f>
        <v>1</v>
      </c>
      <c r="V64" s="0" t="n">
        <f aca="false">MAX(U64-1+F64,0)</f>
        <v>0</v>
      </c>
      <c r="W64" s="0" t="n">
        <f aca="false">MAX(V64-1+G64,0)</f>
        <v>0</v>
      </c>
      <c r="X64" s="0" t="n">
        <f aca="false">MAX(W64-1+H64,0)</f>
        <v>0</v>
      </c>
      <c r="Y64" s="1" t="n">
        <f aca="false">0.5*(E64*I64+F64*J64+G64*K64+H64*L64-1)+(0+$U64*J64+$V64*K64+$W64*L64)</f>
        <v>0.5</v>
      </c>
      <c r="Z64" s="1" t="n">
        <f aca="false">0.5*(E64*M64+F64*N64+G64*O64+H64*P64-1)+(0+$U64*N64+$V64*O64+$W64*P64)</f>
        <v>0</v>
      </c>
      <c r="AA64" s="1" t="n">
        <f aca="false">0.5*(E64*Q64+F64*R64+G64*S64+H64*T64-1)+(0+$U64*R64+$V64*S64+$W64*T64)</f>
        <v>0.5</v>
      </c>
      <c r="AB64" s="0" t="n">
        <f aca="false">IF(B64="V",-2,0)+IF(B64="E",-1,0)+IF(B64="O",0,0)+IF(B64="L",1,0)+Y64</f>
        <v>-1.5</v>
      </c>
      <c r="AC64" s="0" t="n">
        <f aca="false">IF(C64="V",-2,0)+IF(C64="E",-1,0)+IF(C64="O",0,0)+IF(C64="L",1,0)+Z64</f>
        <v>0</v>
      </c>
      <c r="AD64" s="0" t="n">
        <f aca="false">IF(D64="V",-2,0)+IF(D64="E",-1,0)+IF(D64="O",0,0)+IF(D64="L",1,0)+AA64</f>
        <v>-1.5</v>
      </c>
      <c r="AE64" s="1" t="n">
        <f aca="false">IF(B64="V",-2,0)+IF(B64="E",-1,0)+IF(B64="O",0,0)+IF(B64="L",1,0)</f>
        <v>-2</v>
      </c>
      <c r="AF64" s="1" t="n">
        <f aca="false">IF(B64="V",-2,0)+IF(B64="E",-1,0)+IF(B64="O",0,0)+IF(B64="L",1,0)+Y64</f>
        <v>-1.5</v>
      </c>
      <c r="AG64" s="1" t="n">
        <f aca="false">IF(B64="V",-2,0)+IF(B64="E",-1,0)+IF(B64="O",0,0)+IF(B64="L",1,0)+Y64*2</f>
        <v>-1</v>
      </c>
      <c r="AH64" s="1" t="n">
        <f aca="false">IF(C64="V",-2,0)+IF(C64="E",-1,0)+IF(C64="O",0,0)+IF(C64="L",1,0)</f>
        <v>0</v>
      </c>
      <c r="AI64" s="1" t="n">
        <f aca="false">IF(C64="V",-2,0)+IF(C64="E",-1,0)+IF(C64="O",0,0)+IF(C64="L",1,0)+Z64</f>
        <v>0</v>
      </c>
      <c r="AJ64" s="1" t="n">
        <f aca="false">IF(C64="V",-2,0)+IF(C64="E",-1,0)+IF(C64="O",0,0)+IF(C64="L",1,0)+Z64*2</f>
        <v>0</v>
      </c>
      <c r="AK64" s="1" t="n">
        <f aca="false">IF(D64="V",-2,0)+IF(D64="E",-1,0)+IF(D64="O",0,0)+IF(D64="L",1,0)</f>
        <v>-2</v>
      </c>
      <c r="AL64" s="1" t="n">
        <f aca="false">IF(D64="V",-2,0)+IF(D64="E",-1,0)+IF(D64="O",0,0)+IF(D64="L",1,0)+AA64</f>
        <v>-1.5</v>
      </c>
      <c r="AM64" s="1" t="n">
        <f aca="false">IF(D64="V",-2,0)+IF(D64="E",-1,0)+IF(D64="O",0,0)+IF(D64="L",1,0)+AA64*2</f>
        <v>-1</v>
      </c>
      <c r="AN64" s="1" t="n">
        <f aca="false">(ABS(IF(AE64&lt;0,AE64*Early,AE64*Late))+ABS(IF(AF64&lt;0,AF64*Early,AF64*Late))+ABS(IF(AG64&lt;0,AG64*Early,AG64*Late)))/3</f>
        <v>4.5</v>
      </c>
      <c r="AO64" s="1" t="n">
        <f aca="false">(ABS(IF(AH64&lt;0,AH64*Early,AH64*Late))+ABS(IF(AI64&lt;0,AI64*Early,AI64*Late))+ABS(IF(AJ64&lt;0,AJ64*Early,AJ64*Late)))/3</f>
        <v>0</v>
      </c>
      <c r="AP64" s="1" t="n">
        <f aca="false">(ABS(IF(AK64&lt;0,AK64*Early,AK64*Late))+ABS(IF(AL64&lt;0,AL64*Early,AL64*Late))+ABS(IF(AM64&lt;0,AM64*Early,AM64*Late)))/3</f>
        <v>4.5</v>
      </c>
      <c r="AQ64" s="0" t="n">
        <f aca="false">Y64*Delay+AN64</f>
        <v>5</v>
      </c>
      <c r="AR64" s="0" t="n">
        <f aca="false">Z64*Delay+AO64</f>
        <v>0</v>
      </c>
      <c r="AS64" s="0" t="n">
        <f aca="false">AA64*Delay+AP64</f>
        <v>5</v>
      </c>
      <c r="AT64" s="0" t="n">
        <f aca="false">IF(AR64=MIN(AR62:AR65),1,0)</f>
        <v>1</v>
      </c>
      <c r="AX64" s="0" t="str">
        <f aca="false">B64&amp;C64&amp;D64</f>
        <v>VOV</v>
      </c>
      <c r="AY64" s="1" t="n">
        <f aca="false">AQ64+AR64+AS64</f>
        <v>10</v>
      </c>
      <c r="AZ64" s="1" t="str">
        <f aca="false">RIGHT(AX64,2)</f>
        <v>OV</v>
      </c>
      <c r="BA64" s="1" t="str">
        <f aca="false">LEFT(AX64,1)&amp;RIGHT(AX64,1)</f>
        <v>VV</v>
      </c>
      <c r="BB64" s="1" t="str">
        <f aca="false">LEFT(AX64,2)</f>
        <v>VO</v>
      </c>
      <c r="BC64" s="1" t="n">
        <f aca="false">VLOOKUP(AZ64,TwoPlayers!$AG$1:$AH$17,2,FALSE())</f>
        <v>6</v>
      </c>
      <c r="BD64" s="1" t="n">
        <f aca="false">VLOOKUP(BA64,TwoPlayers!$AG$1:$AH$17,2,FALSE())</f>
        <v>10</v>
      </c>
      <c r="BE64" s="1" t="n">
        <f aca="false">VLOOKUP(BB64,TwoPlayers!$AG$1:$AH$17,2,FALSE())</f>
        <v>6</v>
      </c>
      <c r="BF64" s="1" t="n">
        <f aca="false">$AY64-BC64</f>
        <v>4</v>
      </c>
      <c r="BG64" s="1" t="n">
        <f aca="false">$AY64-BD64</f>
        <v>0</v>
      </c>
      <c r="BH64" s="1" t="n">
        <f aca="false">$AY64-BE64</f>
        <v>4</v>
      </c>
      <c r="BJ64" s="0" t="n">
        <f aca="false">AQ64+BF64</f>
        <v>9</v>
      </c>
      <c r="BK64" s="0" t="n">
        <f aca="false">AR64+BG64</f>
        <v>0</v>
      </c>
      <c r="BL64" s="0" t="n">
        <f aca="false">AS64+BH64</f>
        <v>9</v>
      </c>
      <c r="BM64" s="0" t="n">
        <f aca="false">IF(BK64=MIN(BK62:BK66),1,0)</f>
        <v>1</v>
      </c>
    </row>
    <row r="65" customFormat="false" ht="13" hidden="false" customHeight="false" outlineLevel="0" collapsed="false">
      <c r="A65" s="0" t="n">
        <v>13</v>
      </c>
      <c r="B65" s="0" t="s">
        <v>1</v>
      </c>
      <c r="C65" s="0" t="s">
        <v>4</v>
      </c>
      <c r="D65" s="0" t="s">
        <v>1</v>
      </c>
      <c r="E65" s="0" t="n">
        <f aca="false">(IF($B65="V",1,0))+IF($C65="V",1,0)+IF($D65="V",1,0)</f>
        <v>2</v>
      </c>
      <c r="F65" s="0" t="n">
        <f aca="false">(IF($B65="E",1,0))+IF($C65="E",1,0)+IF($D65="E",1,0)</f>
        <v>0</v>
      </c>
      <c r="G65" s="0" t="n">
        <f aca="false">(IF($B65="O",1,0))+IF($C65="O",1,0)+IF($D65="O",1,0)</f>
        <v>0</v>
      </c>
      <c r="H65" s="0" t="n">
        <f aca="false">(IF($B65="L",1,0))+IF($C65="L",1,0)+IF($D65="L",1,0)</f>
        <v>1</v>
      </c>
      <c r="I65" s="0" t="n">
        <f aca="false">(IF(B65="V",1,0))</f>
        <v>1</v>
      </c>
      <c r="J65" s="0" t="n">
        <f aca="false">(IF(B65="E",1,0))</f>
        <v>0</v>
      </c>
      <c r="K65" s="0" t="n">
        <f aca="false">(IF(B65="O",1,0))</f>
        <v>0</v>
      </c>
      <c r="L65" s="0" t="n">
        <f aca="false">(IF(B65="L",1,0))</f>
        <v>0</v>
      </c>
      <c r="M65" s="0" t="n">
        <f aca="false">(IF(C65="V",1,0))</f>
        <v>0</v>
      </c>
      <c r="N65" s="0" t="n">
        <f aca="false">(IF(C65="E",1,0))</f>
        <v>0</v>
      </c>
      <c r="O65" s="0" t="n">
        <f aca="false">(IF(C65="O",1,0))</f>
        <v>0</v>
      </c>
      <c r="P65" s="0" t="n">
        <f aca="false">(IF(C65="L",1,0))</f>
        <v>1</v>
      </c>
      <c r="Q65" s="0" t="n">
        <f aca="false">(IF(D65="V",1,0))</f>
        <v>1</v>
      </c>
      <c r="R65" s="0" t="n">
        <f aca="false">(IF(D65="E",1,0))</f>
        <v>0</v>
      </c>
      <c r="S65" s="0" t="n">
        <f aca="false">(IF(D65="O",1,0))</f>
        <v>0</v>
      </c>
      <c r="T65" s="0" t="n">
        <f aca="false">(IF(D65="L",1,0))</f>
        <v>0</v>
      </c>
      <c r="U65" s="0" t="n">
        <f aca="false">MAX(E65-1,0)</f>
        <v>1</v>
      </c>
      <c r="V65" s="0" t="n">
        <f aca="false">MAX(U65-1+F65,0)</f>
        <v>0</v>
      </c>
      <c r="W65" s="0" t="n">
        <f aca="false">MAX(V65-1+G65,0)</f>
        <v>0</v>
      </c>
      <c r="X65" s="0" t="n">
        <f aca="false">MAX(W65-1+H65,0)</f>
        <v>0</v>
      </c>
      <c r="Y65" s="1" t="n">
        <f aca="false">0.5*(E65*I65+F65*J65+G65*K65+H65*L65-1)+(0+$U65*J65+$V65*K65+$W65*L65)</f>
        <v>0.5</v>
      </c>
      <c r="Z65" s="1" t="n">
        <f aca="false">0.5*(E65*M65+F65*N65+G65*O65+H65*P65-1)+(0+$U65*N65+$V65*O65+$W65*P65)</f>
        <v>0</v>
      </c>
      <c r="AA65" s="1" t="n">
        <f aca="false">0.5*(E65*Q65+F65*R65+G65*S65+H65*T65-1)+(0+$U65*R65+$V65*S65+$W65*T65)</f>
        <v>0.5</v>
      </c>
      <c r="AB65" s="0" t="n">
        <f aca="false">IF(B65="V",-2,0)+IF(B65="E",-1,0)+IF(B65="O",0,0)+IF(B65="L",1,0)+Y65</f>
        <v>-1.5</v>
      </c>
      <c r="AC65" s="0" t="n">
        <f aca="false">IF(C65="V",-2,0)+IF(C65="E",-1,0)+IF(C65="O",0,0)+IF(C65="L",1,0)+Z65</f>
        <v>1</v>
      </c>
      <c r="AD65" s="0" t="n">
        <f aca="false">IF(D65="V",-2,0)+IF(D65="E",-1,0)+IF(D65="O",0,0)+IF(D65="L",1,0)+AA65</f>
        <v>-1.5</v>
      </c>
      <c r="AE65" s="1" t="n">
        <f aca="false">IF(B65="V",-2,0)+IF(B65="E",-1,0)+IF(B65="O",0,0)+IF(B65="L",1,0)</f>
        <v>-2</v>
      </c>
      <c r="AF65" s="1" t="n">
        <f aca="false">IF(B65="V",-2,0)+IF(B65="E",-1,0)+IF(B65="O",0,0)+IF(B65="L",1,0)+Y65</f>
        <v>-1.5</v>
      </c>
      <c r="AG65" s="1" t="n">
        <f aca="false">IF(B65="V",-2,0)+IF(B65="E",-1,0)+IF(B65="O",0,0)+IF(B65="L",1,0)+Y65*2</f>
        <v>-1</v>
      </c>
      <c r="AH65" s="1" t="n">
        <f aca="false">IF(C65="V",-2,0)+IF(C65="E",-1,0)+IF(C65="O",0,0)+IF(C65="L",1,0)</f>
        <v>1</v>
      </c>
      <c r="AI65" s="1" t="n">
        <f aca="false">IF(C65="V",-2,0)+IF(C65="E",-1,0)+IF(C65="O",0,0)+IF(C65="L",1,0)+Z65</f>
        <v>1</v>
      </c>
      <c r="AJ65" s="1" t="n">
        <f aca="false">IF(C65="V",-2,0)+IF(C65="E",-1,0)+IF(C65="O",0,0)+IF(C65="L",1,0)+Z65*2</f>
        <v>1</v>
      </c>
      <c r="AK65" s="1" t="n">
        <f aca="false">IF(D65="V",-2,0)+IF(D65="E",-1,0)+IF(D65="O",0,0)+IF(D65="L",1,0)</f>
        <v>-2</v>
      </c>
      <c r="AL65" s="1" t="n">
        <f aca="false">IF(D65="V",-2,0)+IF(D65="E",-1,0)+IF(D65="O",0,0)+IF(D65="L",1,0)+AA65</f>
        <v>-1.5</v>
      </c>
      <c r="AM65" s="1" t="n">
        <f aca="false">IF(D65="V",-2,0)+IF(D65="E",-1,0)+IF(D65="O",0,0)+IF(D65="L",1,0)+AA65*2</f>
        <v>-1</v>
      </c>
      <c r="AN65" s="1" t="n">
        <f aca="false">(ABS(IF(AE65&lt;0,AE65*Early,AE65*Late))+ABS(IF(AF65&lt;0,AF65*Early,AF65*Late))+ABS(IF(AG65&lt;0,AG65*Early,AG65*Late)))/3</f>
        <v>4.5</v>
      </c>
      <c r="AO65" s="1" t="n">
        <f aca="false">(ABS(IF(AH65&lt;0,AH65*Early,AH65*Late))+ABS(IF(AI65&lt;0,AI65*Early,AI65*Late))+ABS(IF(AJ65&lt;0,AJ65*Early,AJ65*Late)))/3</f>
        <v>4</v>
      </c>
      <c r="AP65" s="1" t="n">
        <f aca="false">(ABS(IF(AK65&lt;0,AK65*Early,AK65*Late))+ABS(IF(AL65&lt;0,AL65*Early,AL65*Late))+ABS(IF(AM65&lt;0,AM65*Early,AM65*Late)))/3</f>
        <v>4.5</v>
      </c>
      <c r="AQ65" s="0" t="n">
        <f aca="false">Y65*Delay+AN65</f>
        <v>5</v>
      </c>
      <c r="AR65" s="0" t="n">
        <f aca="false">Z65*Delay+AO65</f>
        <v>4</v>
      </c>
      <c r="AS65" s="0" t="n">
        <f aca="false">AA65*Delay+AP65</f>
        <v>5</v>
      </c>
      <c r="AT65" s="0" t="n">
        <f aca="false">IF(AR65=MIN(AR62:AR65),1,0)</f>
        <v>0</v>
      </c>
      <c r="AX65" s="1" t="str">
        <f aca="false">B65&amp;C65&amp;D65</f>
        <v>VLV</v>
      </c>
      <c r="AY65" s="1" t="n">
        <f aca="false">AQ65+AR65+AS65</f>
        <v>14</v>
      </c>
      <c r="AZ65" s="1" t="str">
        <f aca="false">RIGHT(AX65,2)</f>
        <v>LV</v>
      </c>
      <c r="BA65" s="1" t="str">
        <f aca="false">LEFT(AX65,1)&amp;RIGHT(AX65,1)</f>
        <v>VV</v>
      </c>
      <c r="BB65" s="1" t="str">
        <f aca="false">LEFT(AX65,2)</f>
        <v>VL</v>
      </c>
      <c r="BC65" s="1" t="n">
        <f aca="false">VLOOKUP(AZ65,TwoPlayers!$AG$1:$AH$17,2,FALSE())</f>
        <v>10</v>
      </c>
      <c r="BD65" s="1" t="n">
        <f aca="false">VLOOKUP(BA65,TwoPlayers!$AG$1:$AH$17,2,FALSE())</f>
        <v>10</v>
      </c>
      <c r="BE65" s="1" t="n">
        <f aca="false">VLOOKUP(BB65,TwoPlayers!$AG$1:$AH$17,2,FALSE())</f>
        <v>10</v>
      </c>
      <c r="BF65" s="1" t="n">
        <f aca="false">$AY65-BC65</f>
        <v>4</v>
      </c>
      <c r="BG65" s="1" t="n">
        <f aca="false">$AY65-BD65</f>
        <v>4</v>
      </c>
      <c r="BH65" s="1" t="n">
        <f aca="false">$AY65-BE65</f>
        <v>4</v>
      </c>
      <c r="BJ65" s="0" t="n">
        <f aca="false">AQ65+BF65</f>
        <v>9</v>
      </c>
      <c r="BK65" s="0" t="n">
        <f aca="false">AR65+BG65</f>
        <v>8</v>
      </c>
      <c r="BL65" s="0" t="n">
        <f aca="false">AS65+BH65</f>
        <v>9</v>
      </c>
      <c r="BM65" s="0" t="n">
        <f aca="false">IF(BK65=MIN(BK62:BK66),1,0)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65"/>
  <sheetViews>
    <sheetView showFormulas="false" showGridLines="true" showRowColHeaders="true" showZeros="true" rightToLeft="false" tabSelected="false" showOutlineSymbols="true" defaultGridColor="true" view="normal" topLeftCell="AM1" colorId="64" zoomScale="100" zoomScaleNormal="100" zoomScalePageLayoutView="100" workbookViewId="0">
      <selection pane="topLeft" activeCell="AT11" activeCellId="0" sqref="AT11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83" min="1" style="0" width="5.7"/>
  </cols>
  <sheetData>
    <row r="1" customFormat="false" ht="13" hidden="false" customHeight="false" outlineLevel="0" collapsed="false">
      <c r="A1" s="0" t="s">
        <v>162</v>
      </c>
      <c r="B1" s="0" t="s">
        <v>132</v>
      </c>
      <c r="C1" s="0" t="s">
        <v>133</v>
      </c>
      <c r="D1" s="0" t="s">
        <v>163</v>
      </c>
      <c r="E1" s="0" t="s">
        <v>1</v>
      </c>
      <c r="F1" s="0" t="s">
        <v>2</v>
      </c>
      <c r="G1" s="0" t="s">
        <v>3</v>
      </c>
      <c r="H1" s="0" t="s">
        <v>4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164</v>
      </c>
      <c r="R1" s="0" t="s">
        <v>165</v>
      </c>
      <c r="S1" s="0" t="s">
        <v>166</v>
      </c>
      <c r="T1" s="0" t="s">
        <v>167</v>
      </c>
      <c r="U1" s="0" t="s">
        <v>142</v>
      </c>
      <c r="V1" s="0" t="s">
        <v>143</v>
      </c>
      <c r="W1" s="0" t="s">
        <v>144</v>
      </c>
      <c r="X1" s="0" t="s">
        <v>145</v>
      </c>
      <c r="Y1" s="0" t="s">
        <v>146</v>
      </c>
      <c r="Z1" s="0" t="s">
        <v>147</v>
      </c>
      <c r="AA1" s="0" t="s">
        <v>168</v>
      </c>
      <c r="AB1" s="0" t="s">
        <v>148</v>
      </c>
      <c r="AC1" s="0" t="s">
        <v>149</v>
      </c>
      <c r="AD1" s="0" t="s">
        <v>169</v>
      </c>
      <c r="AE1" s="0" t="s">
        <v>150</v>
      </c>
      <c r="AF1" s="0" t="s">
        <v>151</v>
      </c>
      <c r="AG1" s="0" t="s">
        <v>152</v>
      </c>
      <c r="AH1" s="0" t="s">
        <v>153</v>
      </c>
      <c r="AI1" s="0" t="s">
        <v>154</v>
      </c>
      <c r="AJ1" s="0" t="s">
        <v>155</v>
      </c>
      <c r="AK1" s="0" t="s">
        <v>170</v>
      </c>
      <c r="AL1" s="0" t="s">
        <v>171</v>
      </c>
      <c r="AM1" s="0" t="s">
        <v>172</v>
      </c>
      <c r="AN1" s="0" t="s">
        <v>156</v>
      </c>
      <c r="AO1" s="0" t="s">
        <v>157</v>
      </c>
      <c r="AP1" s="0" t="s">
        <v>173</v>
      </c>
      <c r="AQ1" s="0" t="s">
        <v>158</v>
      </c>
      <c r="AR1" s="0" t="s">
        <v>159</v>
      </c>
      <c r="AS1" s="0" t="s">
        <v>174</v>
      </c>
      <c r="AT1" s="0" t="s">
        <v>177</v>
      </c>
      <c r="AX1" s="0" t="s">
        <v>179</v>
      </c>
      <c r="AY1" s="0" t="s">
        <v>161</v>
      </c>
      <c r="AZ1" s="0" t="s">
        <v>180</v>
      </c>
      <c r="BA1" s="0" t="s">
        <v>181</v>
      </c>
      <c r="BB1" s="0" t="s">
        <v>182</v>
      </c>
      <c r="BC1" s="0" t="s">
        <v>183</v>
      </c>
      <c r="BD1" s="0" t="s">
        <v>184</v>
      </c>
      <c r="BE1" s="0" t="s">
        <v>185</v>
      </c>
      <c r="BF1" s="0" t="s">
        <v>186</v>
      </c>
      <c r="BG1" s="0" t="s">
        <v>187</v>
      </c>
      <c r="BH1" s="0" t="s">
        <v>188</v>
      </c>
      <c r="BJ1" s="0" t="s">
        <v>158</v>
      </c>
      <c r="BK1" s="0" t="s">
        <v>159</v>
      </c>
      <c r="BL1" s="0" t="s">
        <v>174</v>
      </c>
      <c r="BM1" s="0" t="s">
        <v>177</v>
      </c>
    </row>
    <row r="2" customFormat="false" ht="13" hidden="false" customHeight="false" outlineLevel="0" collapsed="false">
      <c r="A2" s="0" t="n">
        <v>1</v>
      </c>
      <c r="B2" s="0" t="s">
        <v>1</v>
      </c>
      <c r="C2" s="0" t="s">
        <v>1</v>
      </c>
      <c r="D2" s="0" t="s">
        <v>1</v>
      </c>
      <c r="E2" s="0" t="n">
        <f aca="false">(IF($B2="V",1,0))+IF($C2="V",1,0)+IF($D2="V",1,0)</f>
        <v>3</v>
      </c>
      <c r="F2" s="0" t="n">
        <f aca="false">(IF($B2="E",1,0))+IF($C2="E",1,0)+IF($D2="E",1,0)</f>
        <v>0</v>
      </c>
      <c r="G2" s="0" t="n">
        <f aca="false">(IF($B2="O",1,0))+IF($C2="O",1,0)+IF($D2="O",1,0)</f>
        <v>0</v>
      </c>
      <c r="H2" s="0" t="n">
        <f aca="false">(IF($B2="L",1,0))+IF($C2="L",1,0)+IF($D2="L",1,0)</f>
        <v>0</v>
      </c>
      <c r="I2" s="0" t="n">
        <f aca="false">(IF(B2="V",1,0))</f>
        <v>1</v>
      </c>
      <c r="J2" s="0" t="n">
        <f aca="false">(IF(B2="E",1,0))</f>
        <v>0</v>
      </c>
      <c r="K2" s="0" t="n">
        <f aca="false">(IF(B2="O",1,0))</f>
        <v>0</v>
      </c>
      <c r="L2" s="0" t="n">
        <f aca="false">(IF(B2="L",1,0))</f>
        <v>0</v>
      </c>
      <c r="M2" s="0" t="n">
        <f aca="false">(IF(C2="V",1,0))</f>
        <v>1</v>
      </c>
      <c r="N2" s="0" t="n">
        <f aca="false">(IF(C2="E",1,0))</f>
        <v>0</v>
      </c>
      <c r="O2" s="0" t="n">
        <f aca="false">(IF(C2="O",1,0))</f>
        <v>0</v>
      </c>
      <c r="P2" s="0" t="n">
        <f aca="false">(IF(C2="L",1,0))</f>
        <v>0</v>
      </c>
      <c r="Q2" s="0" t="n">
        <f aca="false">(IF(D2="V",1,0))</f>
        <v>1</v>
      </c>
      <c r="R2" s="0" t="n">
        <f aca="false">(IF(D2="E",1,0))</f>
        <v>0</v>
      </c>
      <c r="S2" s="0" t="n">
        <f aca="false">(IF(D2="O",1,0))</f>
        <v>0</v>
      </c>
      <c r="T2" s="0" t="n">
        <f aca="false">(IF(D2="L",1,0))</f>
        <v>0</v>
      </c>
      <c r="U2" s="0" t="n">
        <f aca="false">MAX(E2-1,0)</f>
        <v>2</v>
      </c>
      <c r="V2" s="0" t="n">
        <f aca="false">MAX(U2-1+F2,0)</f>
        <v>1</v>
      </c>
      <c r="W2" s="0" t="n">
        <f aca="false">MAX(V2-1+G2,0)</f>
        <v>0</v>
      </c>
      <c r="X2" s="0" t="n">
        <f aca="false">MAX(W2-1+H2,0)</f>
        <v>0</v>
      </c>
      <c r="Y2" s="1" t="n">
        <f aca="false">0.5*(E2*I2+F2*J2+G2*K2+H2*L2-1)+(0+$U2*J2+$V2*K2+$W2*L2)</f>
        <v>1</v>
      </c>
      <c r="Z2" s="1" t="n">
        <f aca="false">0.5*(E2*M2+F2*N2+G2*O2+H2*P2-1)+(0+$U2*N2+$V2*O2+$W2*P2)</f>
        <v>1</v>
      </c>
      <c r="AA2" s="1" t="n">
        <f aca="false">0.5*(E2*Q2+F2*R2+G2*S2+H2*T2-1)+(0+$U2*R2+$V2*S2+$W2*T2)</f>
        <v>1</v>
      </c>
      <c r="AB2" s="0" t="n">
        <f aca="false">IF(B2="V",-2,0)+IF(B2="E",-1,0)+IF(B2="O",0,0)+IF(B2="L",1,0)+Y2</f>
        <v>-1</v>
      </c>
      <c r="AC2" s="0" t="n">
        <f aca="false">IF(C2="V",-2,0)+IF(C2="E",-1,0)+IF(C2="O",0,0)+IF(C2="L",1,0)+Z2</f>
        <v>-1</v>
      </c>
      <c r="AD2" s="0" t="n">
        <f aca="false">IF(D2="V",-2,0)+IF(D2="E",-1,0)+IF(D2="O",0,0)+IF(D2="L",1,0)+AA2</f>
        <v>-1</v>
      </c>
      <c r="AE2" s="1" t="n">
        <f aca="false">IF(B2="V",-2,0)+IF(B2="E",-1,0)+IF(B2="O",0,0)+IF(B2="L",1,0)</f>
        <v>-2</v>
      </c>
      <c r="AF2" s="1" t="n">
        <f aca="false">IF(B2="V",-2,0)+IF(B2="E",-1,0)+IF(B2="O",0,0)+IF(B2="L",1,0)+Y2</f>
        <v>-1</v>
      </c>
      <c r="AG2" s="1" t="n">
        <f aca="false">IF(B2="V",-2,0)+IF(B2="E",-1,0)+IF(B2="O",0,0)+IF(B2="L",1,0)+Y2*2</f>
        <v>0</v>
      </c>
      <c r="AH2" s="1" t="n">
        <f aca="false">IF(C2="V",-2,0)+IF(C2="E",-1,0)+IF(C2="O",0,0)+IF(C2="L",1,0)</f>
        <v>-2</v>
      </c>
      <c r="AI2" s="1" t="n">
        <f aca="false">IF(C2="V",-2,0)+IF(C2="E",-1,0)+IF(C2="O",0,0)+IF(C2="L",1,0)+Z2</f>
        <v>-1</v>
      </c>
      <c r="AJ2" s="1" t="n">
        <f aca="false">IF(C2="V",-2,0)+IF(C2="E",-1,0)+IF(C2="O",0,0)+IF(C2="L",1,0)+Z2*2</f>
        <v>0</v>
      </c>
      <c r="AK2" s="1" t="n">
        <f aca="false">IF(D2="V",-2,0)+IF(D2="E",-1,0)+IF(D2="O",0,0)+IF(D2="L",1,0)</f>
        <v>-2</v>
      </c>
      <c r="AL2" s="1" t="n">
        <f aca="false">IF(D2="V",-2,0)+IF(D2="E",-1,0)+IF(D2="O",0,0)+IF(D2="L",1,0)+AA2</f>
        <v>-1</v>
      </c>
      <c r="AM2" s="1" t="n">
        <f aca="false">IF(D2="V",-2,0)+IF(D2="E",-1,0)+IF(D2="O",0,0)+IF(D2="L",1,0)+AA2*2</f>
        <v>0</v>
      </c>
      <c r="AN2" s="1" t="n">
        <f aca="false">(ABS(IF(AE2&lt;0,AE2*Early,AE2*Late))+ABS(IF(AF2&lt;0,AF2*Early,AF2*Late))+ABS(IF(AG2&lt;0,AG2*Early,AG2*Late)))/3</f>
        <v>3</v>
      </c>
      <c r="AO2" s="1" t="n">
        <f aca="false">(ABS(IF(AH2&lt;0,AH2*Early,AH2*Late))+ABS(IF(AI2&lt;0,AI2*Early,AI2*Late))+ABS(IF(AJ2&lt;0,AJ2*Early,AJ2*Late)))/3</f>
        <v>3</v>
      </c>
      <c r="AP2" s="1" t="n">
        <f aca="false">(ABS(IF(AK2&lt;0,AK2*Early,AK2*Late))+ABS(IF(AL2&lt;0,AL2*Early,AL2*Late))+ABS(IF(AM2&lt;0,AM2*Early,AM2*Late)))/3</f>
        <v>3</v>
      </c>
      <c r="AQ2" s="0" t="n">
        <f aca="false">Y2*Delay+AN2</f>
        <v>4</v>
      </c>
      <c r="AR2" s="0" t="n">
        <f aca="false">Z2*Delay+AO2</f>
        <v>4</v>
      </c>
      <c r="AS2" s="0" t="n">
        <f aca="false">AA2*Delay+AP2</f>
        <v>4</v>
      </c>
      <c r="AT2" s="0" t="n">
        <f aca="false">IF(AS2=MIN(AS2:AS5),1,0)</f>
        <v>0</v>
      </c>
      <c r="AX2" s="1" t="str">
        <f aca="false">B2&amp;C2&amp;D2</f>
        <v>VVV</v>
      </c>
      <c r="AY2" s="1" t="n">
        <f aca="false">AQ2+AR2+AS2</f>
        <v>12</v>
      </c>
      <c r="AZ2" s="1" t="str">
        <f aca="false">RIGHT(AX2,2)</f>
        <v>VV</v>
      </c>
      <c r="BA2" s="1" t="str">
        <f aca="false">LEFT(AX2,1)&amp;RIGHT(AX2,1)</f>
        <v>VV</v>
      </c>
      <c r="BB2" s="1" t="str">
        <f aca="false">LEFT(AX2,2)</f>
        <v>VV</v>
      </c>
      <c r="BC2" s="1" t="n">
        <f aca="false">VLOOKUP(AZ2,TwoPlayers!$AG$1:$AH$17,2,FALSE())</f>
        <v>10</v>
      </c>
      <c r="BD2" s="1" t="n">
        <f aca="false">VLOOKUP(BA2,TwoPlayers!$AG$1:$AH$17,2,FALSE())</f>
        <v>10</v>
      </c>
      <c r="BE2" s="1" t="n">
        <f aca="false">VLOOKUP(BB2,TwoPlayers!$AG$1:$AH$17,2,FALSE())</f>
        <v>10</v>
      </c>
      <c r="BF2" s="1" t="n">
        <f aca="false">$AY2-BC2</f>
        <v>2</v>
      </c>
      <c r="BG2" s="1" t="n">
        <f aca="false">$AY2-BD2</f>
        <v>2</v>
      </c>
      <c r="BH2" s="1" t="n">
        <f aca="false">$AY2-BE2</f>
        <v>2</v>
      </c>
      <c r="BJ2" s="0" t="n">
        <f aca="false">AQ2+BF2</f>
        <v>6</v>
      </c>
      <c r="BK2" s="0" t="n">
        <f aca="false">AR2+BG2</f>
        <v>6</v>
      </c>
      <c r="BL2" s="0" t="n">
        <f aca="false">AS2+BH2</f>
        <v>6</v>
      </c>
      <c r="BM2" s="0" t="n">
        <f aca="false">IF(BL2=MIN(BL2:BL6),1,0)</f>
        <v>0</v>
      </c>
    </row>
    <row r="3" customFormat="false" ht="13" hidden="false" customHeight="false" outlineLevel="0" collapsed="false">
      <c r="A3" s="0" t="n">
        <v>2</v>
      </c>
      <c r="B3" s="0" t="s">
        <v>1</v>
      </c>
      <c r="C3" s="0" t="s">
        <v>1</v>
      </c>
      <c r="D3" s="0" t="s">
        <v>2</v>
      </c>
      <c r="E3" s="0" t="n">
        <f aca="false">(IF($B3="V",1,0))+IF($C3="V",1,0)+IF($D3="V",1,0)</f>
        <v>2</v>
      </c>
      <c r="F3" s="0" t="n">
        <f aca="false">(IF($B3="E",1,0))+IF($C3="E",1,0)+IF($D3="E",1,0)</f>
        <v>1</v>
      </c>
      <c r="G3" s="0" t="n">
        <f aca="false">(IF($B3="O",1,0))+IF($C3="O",1,0)+IF($D3="O",1,0)</f>
        <v>0</v>
      </c>
      <c r="H3" s="0" t="n">
        <f aca="false">(IF($B3="L",1,0))+IF($C3="L",1,0)+IF($D3="L",1,0)</f>
        <v>0</v>
      </c>
      <c r="I3" s="0" t="n">
        <f aca="false">(IF(B3="V",1,0))</f>
        <v>1</v>
      </c>
      <c r="J3" s="0" t="n">
        <f aca="false">(IF(B3="E",1,0))</f>
        <v>0</v>
      </c>
      <c r="K3" s="0" t="n">
        <f aca="false">(IF(B3="O",1,0))</f>
        <v>0</v>
      </c>
      <c r="L3" s="0" t="n">
        <f aca="false">(IF(B3="L",1,0))</f>
        <v>0</v>
      </c>
      <c r="M3" s="0" t="n">
        <f aca="false">(IF(C3="V",1,0))</f>
        <v>1</v>
      </c>
      <c r="N3" s="0" t="n">
        <f aca="false">(IF(C3="E",1,0))</f>
        <v>0</v>
      </c>
      <c r="O3" s="0" t="n">
        <f aca="false">(IF(C3="O",1,0))</f>
        <v>0</v>
      </c>
      <c r="P3" s="0" t="n">
        <f aca="false">(IF(C3="L",1,0))</f>
        <v>0</v>
      </c>
      <c r="Q3" s="0" t="n">
        <f aca="false">(IF(D3="V",1,0))</f>
        <v>0</v>
      </c>
      <c r="R3" s="0" t="n">
        <f aca="false">(IF(D3="E",1,0))</f>
        <v>1</v>
      </c>
      <c r="S3" s="0" t="n">
        <f aca="false">(IF(D3="O",1,0))</f>
        <v>0</v>
      </c>
      <c r="T3" s="0" t="n">
        <f aca="false">(IF(D3="L",1,0))</f>
        <v>0</v>
      </c>
      <c r="U3" s="0" t="n">
        <f aca="false">MAX(E3-1,0)</f>
        <v>1</v>
      </c>
      <c r="V3" s="0" t="n">
        <f aca="false">MAX(U3-1+F3,0)</f>
        <v>1</v>
      </c>
      <c r="W3" s="0" t="n">
        <f aca="false">MAX(V3-1+G3,0)</f>
        <v>0</v>
      </c>
      <c r="X3" s="0" t="n">
        <f aca="false">MAX(W3-1+H3,0)</f>
        <v>0</v>
      </c>
      <c r="Y3" s="1" t="n">
        <f aca="false">0.5*(E3*I3+F3*J3+G3*K3+H3*L3-1)+(0+$U3*J3+$V3*K3+$W3*L3)</f>
        <v>0.5</v>
      </c>
      <c r="Z3" s="1" t="n">
        <f aca="false">0.5*(E3*M3+F3*N3+G3*O3+H3*P3-1)+(0+$U3*N3+$V3*O3+$W3*P3)</f>
        <v>0.5</v>
      </c>
      <c r="AA3" s="1" t="n">
        <f aca="false">0.5*(E3*Q3+F3*R3+G3*S3+H3*T3-1)+(0+$U3*R3+$V3*S3+$W3*T3)</f>
        <v>1</v>
      </c>
      <c r="AB3" s="0" t="n">
        <f aca="false">IF(B3="V",-2,0)+IF(B3="E",-1,0)+IF(B3="O",0,0)+IF(B3="L",1,0)+Y3</f>
        <v>-1.5</v>
      </c>
      <c r="AC3" s="0" t="n">
        <f aca="false">IF(C3="V",-2,0)+IF(C3="E",-1,0)+IF(C3="O",0,0)+IF(C3="L",1,0)+Z3</f>
        <v>-1.5</v>
      </c>
      <c r="AD3" s="0" t="n">
        <f aca="false">IF(D3="V",-2,0)+IF(D3="E",-1,0)+IF(D3="O",0,0)+IF(D3="L",1,0)+AA3</f>
        <v>0</v>
      </c>
      <c r="AE3" s="1" t="n">
        <f aca="false">IF(B3="V",-2,0)+IF(B3="E",-1,0)+IF(B3="O",0,0)+IF(B3="L",1,0)</f>
        <v>-2</v>
      </c>
      <c r="AF3" s="1" t="n">
        <f aca="false">IF(B3="V",-2,0)+IF(B3="E",-1,0)+IF(B3="O",0,0)+IF(B3="L",1,0)+Y3</f>
        <v>-1.5</v>
      </c>
      <c r="AG3" s="1" t="n">
        <f aca="false">IF(B3="V",-2,0)+IF(B3="E",-1,0)+IF(B3="O",0,0)+IF(B3="L",1,0)+Y3*2</f>
        <v>-1</v>
      </c>
      <c r="AH3" s="1" t="n">
        <f aca="false">IF(C3="V",-2,0)+IF(C3="E",-1,0)+IF(C3="O",0,0)+IF(C3="L",1,0)</f>
        <v>-2</v>
      </c>
      <c r="AI3" s="1" t="n">
        <f aca="false">IF(C3="V",-2,0)+IF(C3="E",-1,0)+IF(C3="O",0,0)+IF(C3="L",1,0)+Z3</f>
        <v>-1.5</v>
      </c>
      <c r="AJ3" s="1" t="n">
        <f aca="false">IF(C3="V",-2,0)+IF(C3="E",-1,0)+IF(C3="O",0,0)+IF(C3="L",1,0)+Z3*2</f>
        <v>-1</v>
      </c>
      <c r="AK3" s="1" t="n">
        <f aca="false">IF(D3="V",-2,0)+IF(D3="E",-1,0)+IF(D3="O",0,0)+IF(D3="L",1,0)</f>
        <v>-1</v>
      </c>
      <c r="AL3" s="1" t="n">
        <f aca="false">IF(D3="V",-2,0)+IF(D3="E",-1,0)+IF(D3="O",0,0)+IF(D3="L",1,0)+AA3</f>
        <v>0</v>
      </c>
      <c r="AM3" s="1" t="n">
        <f aca="false">IF(D3="V",-2,0)+IF(D3="E",-1,0)+IF(D3="O",0,0)+IF(D3="L",1,0)+AA3*2</f>
        <v>1</v>
      </c>
      <c r="AN3" s="1" t="n">
        <f aca="false">(ABS(IF(AE3&lt;0,AE3*Early,AE3*Late))+ABS(IF(AF3&lt;0,AF3*Early,AF3*Late))+ABS(IF(AG3&lt;0,AG3*Early,AG3*Late)))/3</f>
        <v>4.5</v>
      </c>
      <c r="AO3" s="1" t="n">
        <f aca="false">(ABS(IF(AH3&lt;0,AH3*Early,AH3*Late))+ABS(IF(AI3&lt;0,AI3*Early,AI3*Late))+ABS(IF(AJ3&lt;0,AJ3*Early,AJ3*Late)))/3</f>
        <v>4.5</v>
      </c>
      <c r="AP3" s="1" t="n">
        <f aca="false">(ABS(IF(AK3&lt;0,AK3*Early,AK3*Late))+ABS(IF(AL3&lt;0,AL3*Early,AL3*Late))+ABS(IF(AM3&lt;0,AM3*Early,AM3*Late)))/3</f>
        <v>2.33333333333333</v>
      </c>
      <c r="AQ3" s="0" t="n">
        <f aca="false">Y3*Delay+AN3</f>
        <v>5</v>
      </c>
      <c r="AR3" s="0" t="n">
        <f aca="false">Z3*Delay+AO3</f>
        <v>5</v>
      </c>
      <c r="AS3" s="0" t="n">
        <f aca="false">AA3*Delay+AP3</f>
        <v>3.33333333333333</v>
      </c>
      <c r="AT3" s="0" t="n">
        <f aca="false">IF(AS3=MIN(AS2:AS5),1,0)</f>
        <v>0</v>
      </c>
      <c r="AX3" s="0" t="str">
        <f aca="false">B3&amp;C3&amp;D3</f>
        <v>VVE</v>
      </c>
      <c r="AY3" s="1" t="n">
        <f aca="false">AQ3+AR3+AS3</f>
        <v>13.3333333333333</v>
      </c>
      <c r="AZ3" s="1" t="str">
        <f aca="false">RIGHT(AX3,2)</f>
        <v>VE</v>
      </c>
      <c r="BA3" s="1" t="str">
        <f aca="false">LEFT(AX3,1)&amp;RIGHT(AX3,1)</f>
        <v>VE</v>
      </c>
      <c r="BB3" s="1" t="str">
        <f aca="false">LEFT(AX3,2)</f>
        <v>VV</v>
      </c>
      <c r="BC3" s="1" t="n">
        <f aca="false">VLOOKUP(AZ3,TwoPlayers!$AG$1:$AH$17,2,FALSE())</f>
        <v>9</v>
      </c>
      <c r="BD3" s="1" t="n">
        <f aca="false">VLOOKUP(BA3,TwoPlayers!$AG$1:$AH$17,2,FALSE())</f>
        <v>9</v>
      </c>
      <c r="BE3" s="1" t="n">
        <f aca="false">VLOOKUP(BB3,TwoPlayers!$AG$1:$AH$17,2,FALSE())</f>
        <v>10</v>
      </c>
      <c r="BF3" s="1" t="n">
        <f aca="false">$AY3-BC3</f>
        <v>4.33333333333333</v>
      </c>
      <c r="BG3" s="1" t="n">
        <f aca="false">$AY3-BD3</f>
        <v>4.33333333333333</v>
      </c>
      <c r="BH3" s="1" t="n">
        <f aca="false">$AY3-BE3</f>
        <v>3.33333333333333</v>
      </c>
      <c r="BJ3" s="0" t="n">
        <f aca="false">AQ3+BF3</f>
        <v>9.33333333333333</v>
      </c>
      <c r="BK3" s="0" t="n">
        <f aca="false">AR3+BG3</f>
        <v>9.33333333333333</v>
      </c>
      <c r="BL3" s="0" t="n">
        <f aca="false">AS3+BH3</f>
        <v>6.66666666666667</v>
      </c>
      <c r="BM3" s="0" t="n">
        <f aca="false">IF(BL3=MIN(BL2:BL6),1,0)</f>
        <v>0</v>
      </c>
    </row>
    <row r="4" customFormat="false" ht="13" hidden="false" customHeight="false" outlineLevel="0" collapsed="false">
      <c r="A4" s="0" t="n">
        <v>3</v>
      </c>
      <c r="B4" s="0" t="s">
        <v>1</v>
      </c>
      <c r="C4" s="0" t="s">
        <v>1</v>
      </c>
      <c r="D4" s="0" t="s">
        <v>3</v>
      </c>
      <c r="E4" s="0" t="n">
        <f aca="false">(IF($B4="V",1,0))+IF($C4="V",1,0)+IF($D4="V",1,0)</f>
        <v>2</v>
      </c>
      <c r="F4" s="0" t="n">
        <f aca="false">(IF($B4="E",1,0))+IF($C4="E",1,0)+IF($D4="E",1,0)</f>
        <v>0</v>
      </c>
      <c r="G4" s="0" t="n">
        <f aca="false">(IF($B4="O",1,0))+IF($C4="O",1,0)+IF($D4="O",1,0)</f>
        <v>1</v>
      </c>
      <c r="H4" s="0" t="n">
        <f aca="false">(IF($B4="L",1,0))+IF($C4="L",1,0)+IF($D4="L",1,0)</f>
        <v>0</v>
      </c>
      <c r="I4" s="0" t="n">
        <f aca="false">(IF(B4="V",1,0))</f>
        <v>1</v>
      </c>
      <c r="J4" s="0" t="n">
        <f aca="false">(IF(B4="E",1,0))</f>
        <v>0</v>
      </c>
      <c r="K4" s="0" t="n">
        <f aca="false">(IF(B4="O",1,0))</f>
        <v>0</v>
      </c>
      <c r="L4" s="0" t="n">
        <f aca="false">(IF(B4="L",1,0))</f>
        <v>0</v>
      </c>
      <c r="M4" s="0" t="n">
        <f aca="false">(IF(C4="V",1,0))</f>
        <v>1</v>
      </c>
      <c r="N4" s="0" t="n">
        <f aca="false">(IF(C4="E",1,0))</f>
        <v>0</v>
      </c>
      <c r="O4" s="0" t="n">
        <f aca="false">(IF(C4="O",1,0))</f>
        <v>0</v>
      </c>
      <c r="P4" s="0" t="n">
        <f aca="false">(IF(C4="L",1,0))</f>
        <v>0</v>
      </c>
      <c r="Q4" s="0" t="n">
        <f aca="false">(IF(D4="V",1,0))</f>
        <v>0</v>
      </c>
      <c r="R4" s="0" t="n">
        <f aca="false">(IF(D4="E",1,0))</f>
        <v>0</v>
      </c>
      <c r="S4" s="0" t="n">
        <f aca="false">(IF(D4="O",1,0))</f>
        <v>1</v>
      </c>
      <c r="T4" s="0" t="n">
        <f aca="false">(IF(D4="L",1,0))</f>
        <v>0</v>
      </c>
      <c r="U4" s="0" t="n">
        <f aca="false">MAX(E4-1,0)</f>
        <v>1</v>
      </c>
      <c r="V4" s="0" t="n">
        <f aca="false">MAX(U4-1+F4,0)</f>
        <v>0</v>
      </c>
      <c r="W4" s="0" t="n">
        <f aca="false">MAX(V4-1+G4,0)</f>
        <v>0</v>
      </c>
      <c r="X4" s="0" t="n">
        <f aca="false">MAX(W4-1+H4,0)</f>
        <v>0</v>
      </c>
      <c r="Y4" s="1" t="n">
        <f aca="false">0.5*(E4*I4+F4*J4+G4*K4+H4*L4-1)+(0+$U4*J4+$V4*K4+$W4*L4)</f>
        <v>0.5</v>
      </c>
      <c r="Z4" s="1" t="n">
        <f aca="false">0.5*(E4*M4+F4*N4+G4*O4+H4*P4-1)+(0+$U4*N4+$V4*O4+$W4*P4)</f>
        <v>0.5</v>
      </c>
      <c r="AA4" s="1" t="n">
        <f aca="false">0.5*(E4*Q4+F4*R4+G4*S4+H4*T4-1)+(0+$U4*R4+$V4*S4+$W4*T4)</f>
        <v>0</v>
      </c>
      <c r="AB4" s="0" t="n">
        <f aca="false">IF(B4="V",-2,0)+IF(B4="E",-1,0)+IF(B4="O",0,0)+IF(B4="L",1,0)+Y4</f>
        <v>-1.5</v>
      </c>
      <c r="AC4" s="0" t="n">
        <f aca="false">IF(C4="V",-2,0)+IF(C4="E",-1,0)+IF(C4="O",0,0)+IF(C4="L",1,0)+Z4</f>
        <v>-1.5</v>
      </c>
      <c r="AD4" s="0" t="n">
        <f aca="false">IF(D4="V",-2,0)+IF(D4="E",-1,0)+IF(D4="O",0,0)+IF(D4="L",1,0)+AA4</f>
        <v>0</v>
      </c>
      <c r="AE4" s="1" t="n">
        <f aca="false">IF(B4="V",-2,0)+IF(B4="E",-1,0)+IF(B4="O",0,0)+IF(B4="L",1,0)</f>
        <v>-2</v>
      </c>
      <c r="AF4" s="1" t="n">
        <f aca="false">IF(B4="V",-2,0)+IF(B4="E",-1,0)+IF(B4="O",0,0)+IF(B4="L",1,0)+Y4</f>
        <v>-1.5</v>
      </c>
      <c r="AG4" s="1" t="n">
        <f aca="false">IF(B4="V",-2,0)+IF(B4="E",-1,0)+IF(B4="O",0,0)+IF(B4="L",1,0)+Y4*2</f>
        <v>-1</v>
      </c>
      <c r="AH4" s="1" t="n">
        <f aca="false">IF(C4="V",-2,0)+IF(C4="E",-1,0)+IF(C4="O",0,0)+IF(C4="L",1,0)</f>
        <v>-2</v>
      </c>
      <c r="AI4" s="1" t="n">
        <f aca="false">IF(C4="V",-2,0)+IF(C4="E",-1,0)+IF(C4="O",0,0)+IF(C4="L",1,0)+Z4</f>
        <v>-1.5</v>
      </c>
      <c r="AJ4" s="1" t="n">
        <f aca="false">IF(C4="V",-2,0)+IF(C4="E",-1,0)+IF(C4="O",0,0)+IF(C4="L",1,0)+Z4*2</f>
        <v>-1</v>
      </c>
      <c r="AK4" s="1" t="n">
        <f aca="false">IF(D4="V",-2,0)+IF(D4="E",-1,0)+IF(D4="O",0,0)+IF(D4="L",1,0)</f>
        <v>0</v>
      </c>
      <c r="AL4" s="1" t="n">
        <f aca="false">IF(D4="V",-2,0)+IF(D4="E",-1,0)+IF(D4="O",0,0)+IF(D4="L",1,0)+AA4</f>
        <v>0</v>
      </c>
      <c r="AM4" s="1" t="n">
        <f aca="false">IF(D4="V",-2,0)+IF(D4="E",-1,0)+IF(D4="O",0,0)+IF(D4="L",1,0)+AA4*2</f>
        <v>0</v>
      </c>
      <c r="AN4" s="1" t="n">
        <f aca="false">(ABS(IF(AE4&lt;0,AE4*Early,AE4*Late))+ABS(IF(AF4&lt;0,AF4*Early,AF4*Late))+ABS(IF(AG4&lt;0,AG4*Early,AG4*Late)))/3</f>
        <v>4.5</v>
      </c>
      <c r="AO4" s="1" t="n">
        <f aca="false">(ABS(IF(AH4&lt;0,AH4*Early,AH4*Late))+ABS(IF(AI4&lt;0,AI4*Early,AI4*Late))+ABS(IF(AJ4&lt;0,AJ4*Early,AJ4*Late)))/3</f>
        <v>4.5</v>
      </c>
      <c r="AP4" s="1" t="n">
        <f aca="false">(ABS(IF(AK4&lt;0,AK4*Early,AK4*Late))+ABS(IF(AL4&lt;0,AL4*Early,AL4*Late))+ABS(IF(AM4&lt;0,AM4*Early,AM4*Late)))/3</f>
        <v>0</v>
      </c>
      <c r="AQ4" s="0" t="n">
        <f aca="false">Y4*Delay+AN4</f>
        <v>5</v>
      </c>
      <c r="AR4" s="0" t="n">
        <f aca="false">Z4*Delay+AO4</f>
        <v>5</v>
      </c>
      <c r="AS4" s="0" t="n">
        <f aca="false">AA4*Delay+AP4</f>
        <v>0</v>
      </c>
      <c r="AT4" s="0" t="n">
        <f aca="false">IF(AS4=MIN(AS2:AS5),1,0)</f>
        <v>1</v>
      </c>
      <c r="AX4" s="0" t="str">
        <f aca="false">B4&amp;C4&amp;D4</f>
        <v>VVO</v>
      </c>
      <c r="AY4" s="1" t="n">
        <f aca="false">AQ4+AR4+AS4</f>
        <v>10</v>
      </c>
      <c r="AZ4" s="1" t="str">
        <f aca="false">RIGHT(AX4,2)</f>
        <v>VO</v>
      </c>
      <c r="BA4" s="1" t="str">
        <f aca="false">LEFT(AX4,1)&amp;RIGHT(AX4,1)</f>
        <v>VO</v>
      </c>
      <c r="BB4" s="1" t="str">
        <f aca="false">LEFT(AX4,2)</f>
        <v>VV</v>
      </c>
      <c r="BC4" s="1" t="n">
        <f aca="false">VLOOKUP(AZ4,TwoPlayers!$AG$1:$AH$17,2,FALSE())</f>
        <v>6</v>
      </c>
      <c r="BD4" s="1" t="n">
        <f aca="false">VLOOKUP(BA4,TwoPlayers!$AG$1:$AH$17,2,FALSE())</f>
        <v>6</v>
      </c>
      <c r="BE4" s="1" t="n">
        <f aca="false">VLOOKUP(BB4,TwoPlayers!$AG$1:$AH$17,2,FALSE())</f>
        <v>10</v>
      </c>
      <c r="BF4" s="1" t="n">
        <f aca="false">$AY4-BC4</f>
        <v>4</v>
      </c>
      <c r="BG4" s="1" t="n">
        <f aca="false">$AY4-BD4</f>
        <v>4</v>
      </c>
      <c r="BH4" s="1" t="n">
        <f aca="false">$AY4-BE4</f>
        <v>0</v>
      </c>
      <c r="BJ4" s="0" t="n">
        <f aca="false">AQ4+BF4</f>
        <v>9</v>
      </c>
      <c r="BK4" s="0" t="n">
        <f aca="false">AR4+BG4</f>
        <v>9</v>
      </c>
      <c r="BL4" s="0" t="n">
        <f aca="false">AS4+BH4</f>
        <v>0</v>
      </c>
      <c r="BM4" s="0" t="n">
        <f aca="false">IF(BL4=MIN(BL2:BL6),1,0)</f>
        <v>1</v>
      </c>
    </row>
    <row r="5" customFormat="false" ht="13" hidden="false" customHeight="false" outlineLevel="0" collapsed="false">
      <c r="A5" s="0" t="n">
        <v>4</v>
      </c>
      <c r="B5" s="0" t="s">
        <v>1</v>
      </c>
      <c r="C5" s="0" t="s">
        <v>1</v>
      </c>
      <c r="D5" s="0" t="s">
        <v>4</v>
      </c>
      <c r="E5" s="0" t="n">
        <f aca="false">(IF($B5="V",1,0))+IF($C5="V",1,0)+IF($D5="V",1,0)</f>
        <v>2</v>
      </c>
      <c r="F5" s="0" t="n">
        <f aca="false">(IF($B5="E",1,0))+IF($C5="E",1,0)+IF($D5="E",1,0)</f>
        <v>0</v>
      </c>
      <c r="G5" s="0" t="n">
        <f aca="false">(IF($B5="O",1,0))+IF($C5="O",1,0)+IF($D5="O",1,0)</f>
        <v>0</v>
      </c>
      <c r="H5" s="0" t="n">
        <f aca="false">(IF($B5="L",1,0))+IF($C5="L",1,0)+IF($D5="L",1,0)</f>
        <v>1</v>
      </c>
      <c r="I5" s="0" t="n">
        <f aca="false">(IF(B5="V",1,0))</f>
        <v>1</v>
      </c>
      <c r="J5" s="0" t="n">
        <f aca="false">(IF(B5="E",1,0))</f>
        <v>0</v>
      </c>
      <c r="K5" s="0" t="n">
        <f aca="false">(IF(B5="O",1,0))</f>
        <v>0</v>
      </c>
      <c r="L5" s="0" t="n">
        <f aca="false">(IF(B5="L",1,0))</f>
        <v>0</v>
      </c>
      <c r="M5" s="0" t="n">
        <f aca="false">(IF(C5="V",1,0))</f>
        <v>1</v>
      </c>
      <c r="N5" s="0" t="n">
        <f aca="false">(IF(C5="E",1,0))</f>
        <v>0</v>
      </c>
      <c r="O5" s="0" t="n">
        <f aca="false">(IF(C5="O",1,0))</f>
        <v>0</v>
      </c>
      <c r="P5" s="0" t="n">
        <f aca="false">(IF(C5="L",1,0))</f>
        <v>0</v>
      </c>
      <c r="Q5" s="0" t="n">
        <f aca="false">(IF(D5="V",1,0))</f>
        <v>0</v>
      </c>
      <c r="R5" s="0" t="n">
        <f aca="false">(IF(D5="E",1,0))</f>
        <v>0</v>
      </c>
      <c r="S5" s="0" t="n">
        <f aca="false">(IF(D5="O",1,0))</f>
        <v>0</v>
      </c>
      <c r="T5" s="0" t="n">
        <f aca="false">(IF(D5="L",1,0))</f>
        <v>1</v>
      </c>
      <c r="U5" s="0" t="n">
        <f aca="false">MAX(E5-1,0)</f>
        <v>1</v>
      </c>
      <c r="V5" s="0" t="n">
        <f aca="false">MAX(U5-1+F5,0)</f>
        <v>0</v>
      </c>
      <c r="W5" s="0" t="n">
        <f aca="false">MAX(V5-1+G5,0)</f>
        <v>0</v>
      </c>
      <c r="X5" s="0" t="n">
        <f aca="false">MAX(W5-1+H5,0)</f>
        <v>0</v>
      </c>
      <c r="Y5" s="1" t="n">
        <f aca="false">0.5*(E5*I5+F5*J5+G5*K5+H5*L5-1)+(0+$U5*J5+$V5*K5+$W5*L5)</f>
        <v>0.5</v>
      </c>
      <c r="Z5" s="1" t="n">
        <f aca="false">0.5*(E5*M5+F5*N5+G5*O5+H5*P5-1)+(0+$U5*N5+$V5*O5+$W5*P5)</f>
        <v>0.5</v>
      </c>
      <c r="AA5" s="1" t="n">
        <f aca="false">0.5*(E5*Q5+F5*R5+G5*S5+H5*T5-1)+(0+$U5*R5+$V5*S5+$W5*T5)</f>
        <v>0</v>
      </c>
      <c r="AB5" s="0" t="n">
        <f aca="false">IF(B5="V",-2,0)+IF(B5="E",-1,0)+IF(B5="O",0,0)+IF(B5="L",1,0)+Y5</f>
        <v>-1.5</v>
      </c>
      <c r="AC5" s="0" t="n">
        <f aca="false">IF(C5="V",-2,0)+IF(C5="E",-1,0)+IF(C5="O",0,0)+IF(C5="L",1,0)+Z5</f>
        <v>-1.5</v>
      </c>
      <c r="AD5" s="0" t="n">
        <f aca="false">IF(D5="V",-2,0)+IF(D5="E",-1,0)+IF(D5="O",0,0)+IF(D5="L",1,0)+AA5</f>
        <v>1</v>
      </c>
      <c r="AE5" s="1" t="n">
        <f aca="false">IF(B5="V",-2,0)+IF(B5="E",-1,0)+IF(B5="O",0,0)+IF(B5="L",1,0)</f>
        <v>-2</v>
      </c>
      <c r="AF5" s="1" t="n">
        <f aca="false">IF(B5="V",-2,0)+IF(B5="E",-1,0)+IF(B5="O",0,0)+IF(B5="L",1,0)+Y5</f>
        <v>-1.5</v>
      </c>
      <c r="AG5" s="1" t="n">
        <f aca="false">IF(B5="V",-2,0)+IF(B5="E",-1,0)+IF(B5="O",0,0)+IF(B5="L",1,0)+Y5*2</f>
        <v>-1</v>
      </c>
      <c r="AH5" s="1" t="n">
        <f aca="false">IF(C5="V",-2,0)+IF(C5="E",-1,0)+IF(C5="O",0,0)+IF(C5="L",1,0)</f>
        <v>-2</v>
      </c>
      <c r="AI5" s="1" t="n">
        <f aca="false">IF(C5="V",-2,0)+IF(C5="E",-1,0)+IF(C5="O",0,0)+IF(C5="L",1,0)+Z5</f>
        <v>-1.5</v>
      </c>
      <c r="AJ5" s="1" t="n">
        <f aca="false">IF(C5="V",-2,0)+IF(C5="E",-1,0)+IF(C5="O",0,0)+IF(C5="L",1,0)+Z5*2</f>
        <v>-1</v>
      </c>
      <c r="AK5" s="1" t="n">
        <f aca="false">IF(D5="V",-2,0)+IF(D5="E",-1,0)+IF(D5="O",0,0)+IF(D5="L",1,0)</f>
        <v>1</v>
      </c>
      <c r="AL5" s="1" t="n">
        <f aca="false">IF(D5="V",-2,0)+IF(D5="E",-1,0)+IF(D5="O",0,0)+IF(D5="L",1,0)+AA5</f>
        <v>1</v>
      </c>
      <c r="AM5" s="1" t="n">
        <f aca="false">IF(D5="V",-2,0)+IF(D5="E",-1,0)+IF(D5="O",0,0)+IF(D5="L",1,0)+AA5*2</f>
        <v>1</v>
      </c>
      <c r="AN5" s="1" t="n">
        <f aca="false">(ABS(IF(AE5&lt;0,AE5*Early,AE5*Late))+ABS(IF(AF5&lt;0,AF5*Early,AF5*Late))+ABS(IF(AG5&lt;0,AG5*Early,AG5*Late)))/3</f>
        <v>4.5</v>
      </c>
      <c r="AO5" s="1" t="n">
        <f aca="false">(ABS(IF(AH5&lt;0,AH5*Early,AH5*Late))+ABS(IF(AI5&lt;0,AI5*Early,AI5*Late))+ABS(IF(AJ5&lt;0,AJ5*Early,AJ5*Late)))/3</f>
        <v>4.5</v>
      </c>
      <c r="AP5" s="1" t="n">
        <f aca="false">(ABS(IF(AK5&lt;0,AK5*Early,AK5*Late))+ABS(IF(AL5&lt;0,AL5*Early,AL5*Late))+ABS(IF(AM5&lt;0,AM5*Early,AM5*Late)))/3</f>
        <v>4</v>
      </c>
      <c r="AQ5" s="0" t="n">
        <f aca="false">Y5*Delay+AN5</f>
        <v>5</v>
      </c>
      <c r="AR5" s="0" t="n">
        <f aca="false">Z5*Delay+AO5</f>
        <v>5</v>
      </c>
      <c r="AS5" s="0" t="n">
        <f aca="false">AA5*Delay+AP5</f>
        <v>4</v>
      </c>
      <c r="AT5" s="0" t="n">
        <f aca="false">IF(AS5=MIN(AS2:AS5),1,0)</f>
        <v>0</v>
      </c>
      <c r="AX5" s="0" t="str">
        <f aca="false">B5&amp;C5&amp;D5</f>
        <v>VVL</v>
      </c>
      <c r="AY5" s="1" t="n">
        <f aca="false">AQ5+AR5+AS5</f>
        <v>14</v>
      </c>
      <c r="AZ5" s="1" t="str">
        <f aca="false">RIGHT(AX5,2)</f>
        <v>VL</v>
      </c>
      <c r="BA5" s="1" t="str">
        <f aca="false">LEFT(AX5,1)&amp;RIGHT(AX5,1)</f>
        <v>VL</v>
      </c>
      <c r="BB5" s="1" t="str">
        <f aca="false">LEFT(AX5,2)</f>
        <v>VV</v>
      </c>
      <c r="BC5" s="1" t="n">
        <f aca="false">VLOOKUP(AZ5,TwoPlayers!$AG$1:$AH$17,2,FALSE())</f>
        <v>10</v>
      </c>
      <c r="BD5" s="1" t="n">
        <f aca="false">VLOOKUP(BA5,TwoPlayers!$AG$1:$AH$17,2,FALSE())</f>
        <v>10</v>
      </c>
      <c r="BE5" s="1" t="n">
        <f aca="false">VLOOKUP(BB5,TwoPlayers!$AG$1:$AH$17,2,FALSE())</f>
        <v>10</v>
      </c>
      <c r="BF5" s="1" t="n">
        <f aca="false">$AY5-BC5</f>
        <v>4</v>
      </c>
      <c r="BG5" s="1" t="n">
        <f aca="false">$AY5-BD5</f>
        <v>4</v>
      </c>
      <c r="BH5" s="1" t="n">
        <f aca="false">$AY5-BE5</f>
        <v>4</v>
      </c>
      <c r="BJ5" s="0" t="n">
        <f aca="false">AQ5+BF5</f>
        <v>9</v>
      </c>
      <c r="BK5" s="0" t="n">
        <f aca="false">AR5+BG5</f>
        <v>9</v>
      </c>
      <c r="BL5" s="0" t="n">
        <f aca="false">AS5+BH5</f>
        <v>8</v>
      </c>
      <c r="BM5" s="0" t="n">
        <f aca="false">IF(BL5=MIN(BL2:BL6),1,0)</f>
        <v>0</v>
      </c>
    </row>
    <row r="6" customFormat="false" ht="13" hidden="false" customHeight="false" outlineLevel="0" collapsed="false">
      <c r="A6" s="0" t="n">
        <v>5</v>
      </c>
      <c r="B6" s="0" t="s">
        <v>1</v>
      </c>
      <c r="C6" s="0" t="s">
        <v>2</v>
      </c>
      <c r="D6" s="0" t="s">
        <v>1</v>
      </c>
      <c r="E6" s="0" t="n">
        <f aca="false">(IF($B6="V",1,0))+IF($C6="V",1,0)+IF($D6="V",1,0)</f>
        <v>2</v>
      </c>
      <c r="F6" s="0" t="n">
        <f aca="false">(IF($B6="E",1,0))+IF($C6="E",1,0)+IF($D6="E",1,0)</f>
        <v>1</v>
      </c>
      <c r="G6" s="0" t="n">
        <f aca="false">(IF($B6="O",1,0))+IF($C6="O",1,0)+IF($D6="O",1,0)</f>
        <v>0</v>
      </c>
      <c r="H6" s="0" t="n">
        <f aca="false">(IF($B6="L",1,0))+IF($C6="L",1,0)+IF($D6="L",1,0)</f>
        <v>0</v>
      </c>
      <c r="I6" s="0" t="n">
        <f aca="false">(IF(B6="V",1,0))</f>
        <v>1</v>
      </c>
      <c r="J6" s="0" t="n">
        <f aca="false">(IF(B6="E",1,0))</f>
        <v>0</v>
      </c>
      <c r="K6" s="0" t="n">
        <f aca="false">(IF(B6="O",1,0))</f>
        <v>0</v>
      </c>
      <c r="L6" s="0" t="n">
        <f aca="false">(IF(B6="L",1,0))</f>
        <v>0</v>
      </c>
      <c r="M6" s="0" t="n">
        <f aca="false">(IF(C6="V",1,0))</f>
        <v>0</v>
      </c>
      <c r="N6" s="0" t="n">
        <f aca="false">(IF(C6="E",1,0))</f>
        <v>1</v>
      </c>
      <c r="O6" s="0" t="n">
        <f aca="false">(IF(C6="O",1,0))</f>
        <v>0</v>
      </c>
      <c r="P6" s="0" t="n">
        <f aca="false">(IF(C6="L",1,0))</f>
        <v>0</v>
      </c>
      <c r="Q6" s="0" t="n">
        <f aca="false">(IF(D6="V",1,0))</f>
        <v>1</v>
      </c>
      <c r="R6" s="0" t="n">
        <f aca="false">(IF(D6="E",1,0))</f>
        <v>0</v>
      </c>
      <c r="S6" s="0" t="n">
        <f aca="false">(IF(D6="O",1,0))</f>
        <v>0</v>
      </c>
      <c r="T6" s="0" t="n">
        <f aca="false">(IF(D6="L",1,0))</f>
        <v>0</v>
      </c>
      <c r="U6" s="0" t="n">
        <f aca="false">MAX(E6-1,0)</f>
        <v>1</v>
      </c>
      <c r="V6" s="0" t="n">
        <f aca="false">MAX(U6-1+F6,0)</f>
        <v>1</v>
      </c>
      <c r="W6" s="0" t="n">
        <f aca="false">MAX(V6-1+G6,0)</f>
        <v>0</v>
      </c>
      <c r="X6" s="0" t="n">
        <f aca="false">MAX(W6-1+H6,0)</f>
        <v>0</v>
      </c>
      <c r="Y6" s="1" t="n">
        <f aca="false">0.5*(E6*I6+F6*J6+G6*K6+H6*L6-1)+(0+$U6*J6+$V6*K6+$W6*L6)</f>
        <v>0.5</v>
      </c>
      <c r="Z6" s="1" t="n">
        <f aca="false">0.5*(E6*M6+F6*N6+G6*O6+H6*P6-1)+(0+$U6*N6+$V6*O6+$W6*P6)</f>
        <v>1</v>
      </c>
      <c r="AA6" s="1" t="n">
        <f aca="false">0.5*(E6*Q6+F6*R6+G6*S6+H6*T6-1)+(0+$U6*R6+$V6*S6+$W6*T6)</f>
        <v>0.5</v>
      </c>
      <c r="AB6" s="0" t="n">
        <f aca="false">IF(B6="V",-2,0)+IF(B6="E",-1,0)+IF(B6="O",0,0)+IF(B6="L",1,0)+Y6</f>
        <v>-1.5</v>
      </c>
      <c r="AC6" s="0" t="n">
        <f aca="false">IF(C6="V",-2,0)+IF(C6="E",-1,0)+IF(C6="O",0,0)+IF(C6="L",1,0)+Z6</f>
        <v>0</v>
      </c>
      <c r="AD6" s="0" t="n">
        <f aca="false">IF(D6="V",-2,0)+IF(D6="E",-1,0)+IF(D6="O",0,0)+IF(D6="L",1,0)+AA6</f>
        <v>-1.5</v>
      </c>
      <c r="AE6" s="1" t="n">
        <f aca="false">IF(B6="V",-2,0)+IF(B6="E",-1,0)+IF(B6="O",0,0)+IF(B6="L",1,0)</f>
        <v>-2</v>
      </c>
      <c r="AF6" s="1" t="n">
        <f aca="false">IF(B6="V",-2,0)+IF(B6="E",-1,0)+IF(B6="O",0,0)+IF(B6="L",1,0)+Y6</f>
        <v>-1.5</v>
      </c>
      <c r="AG6" s="1" t="n">
        <f aca="false">IF(B6="V",-2,0)+IF(B6="E",-1,0)+IF(B6="O",0,0)+IF(B6="L",1,0)+Y6*2</f>
        <v>-1</v>
      </c>
      <c r="AH6" s="1" t="n">
        <f aca="false">IF(C6="V",-2,0)+IF(C6="E",-1,0)+IF(C6="O",0,0)+IF(C6="L",1,0)</f>
        <v>-1</v>
      </c>
      <c r="AI6" s="1" t="n">
        <f aca="false">IF(C6="V",-2,0)+IF(C6="E",-1,0)+IF(C6="O",0,0)+IF(C6="L",1,0)+Z6</f>
        <v>0</v>
      </c>
      <c r="AJ6" s="1" t="n">
        <f aca="false">IF(C6="V",-2,0)+IF(C6="E",-1,0)+IF(C6="O",0,0)+IF(C6="L",1,0)+Z6*2</f>
        <v>1</v>
      </c>
      <c r="AK6" s="1" t="n">
        <f aca="false">IF(D6="V",-2,0)+IF(D6="E",-1,0)+IF(D6="O",0,0)+IF(D6="L",1,0)</f>
        <v>-2</v>
      </c>
      <c r="AL6" s="1" t="n">
        <f aca="false">IF(D6="V",-2,0)+IF(D6="E",-1,0)+IF(D6="O",0,0)+IF(D6="L",1,0)+AA6</f>
        <v>-1.5</v>
      </c>
      <c r="AM6" s="1" t="n">
        <f aca="false">IF(D6="V",-2,0)+IF(D6="E",-1,0)+IF(D6="O",0,0)+IF(D6="L",1,0)+AA6*2</f>
        <v>-1</v>
      </c>
      <c r="AN6" s="1" t="n">
        <f aca="false">(ABS(IF(AE6&lt;0,AE6*Early,AE6*Late))+ABS(IF(AF6&lt;0,AF6*Early,AF6*Late))+ABS(IF(AG6&lt;0,AG6*Early,AG6*Late)))/3</f>
        <v>4.5</v>
      </c>
      <c r="AO6" s="1" t="n">
        <f aca="false">(ABS(IF(AH6&lt;0,AH6*Early,AH6*Late))+ABS(IF(AI6&lt;0,AI6*Early,AI6*Late))+ABS(IF(AJ6&lt;0,AJ6*Early,AJ6*Late)))/3</f>
        <v>2.33333333333333</v>
      </c>
      <c r="AP6" s="1" t="n">
        <f aca="false">(ABS(IF(AK6&lt;0,AK6*Early,AK6*Late))+ABS(IF(AL6&lt;0,AL6*Early,AL6*Late))+ABS(IF(AM6&lt;0,AM6*Early,AM6*Late)))/3</f>
        <v>4.5</v>
      </c>
      <c r="AQ6" s="0" t="n">
        <f aca="false">Y6*Delay+AN6</f>
        <v>5</v>
      </c>
      <c r="AR6" s="0" t="n">
        <f aca="false">Z6*Delay+AO6</f>
        <v>3.33333333333333</v>
      </c>
      <c r="AS6" s="0" t="n">
        <f aca="false">AA6*Delay+AP6</f>
        <v>5</v>
      </c>
      <c r="AT6" s="0" t="n">
        <f aca="false">IF(AS6=MIN(AS6:AS9),1,0)</f>
        <v>0</v>
      </c>
      <c r="AX6" s="0" t="str">
        <f aca="false">B6&amp;C6&amp;D6</f>
        <v>VEV</v>
      </c>
      <c r="AY6" s="1" t="n">
        <f aca="false">AQ6+AR6+AS6</f>
        <v>13.3333333333333</v>
      </c>
      <c r="AZ6" s="1" t="str">
        <f aca="false">RIGHT(AX6,2)</f>
        <v>EV</v>
      </c>
      <c r="BA6" s="1" t="str">
        <f aca="false">LEFT(AX6,1)&amp;RIGHT(AX6,1)</f>
        <v>VV</v>
      </c>
      <c r="BB6" s="1" t="str">
        <f aca="false">LEFT(AX6,2)</f>
        <v>VE</v>
      </c>
      <c r="BC6" s="1" t="n">
        <f aca="false">VLOOKUP(AZ6,TwoPlayers!$AG$1:$AH$17,2,FALSE())</f>
        <v>9</v>
      </c>
      <c r="BD6" s="1" t="n">
        <f aca="false">VLOOKUP(BA6,TwoPlayers!$AG$1:$AH$17,2,FALSE())</f>
        <v>10</v>
      </c>
      <c r="BE6" s="1" t="n">
        <f aca="false">VLOOKUP(BB6,TwoPlayers!$AG$1:$AH$17,2,FALSE())</f>
        <v>9</v>
      </c>
      <c r="BF6" s="1" t="n">
        <f aca="false">$AY6-BC6</f>
        <v>4.33333333333333</v>
      </c>
      <c r="BG6" s="1" t="n">
        <f aca="false">$AY6-BD6</f>
        <v>3.33333333333333</v>
      </c>
      <c r="BH6" s="1" t="n">
        <f aca="false">$AY6-BE6</f>
        <v>4.33333333333333</v>
      </c>
      <c r="BJ6" s="0" t="n">
        <f aca="false">AQ6+BF6</f>
        <v>9.33333333333333</v>
      </c>
      <c r="BK6" s="0" t="n">
        <f aca="false">AR6+BG6</f>
        <v>6.66666666666667</v>
      </c>
      <c r="BL6" s="0" t="n">
        <f aca="false">AS6+BH6</f>
        <v>9.33333333333333</v>
      </c>
      <c r="BM6" s="0" t="n">
        <f aca="false">IF(BL6=MIN(BL6:BL10),1,0)</f>
        <v>0</v>
      </c>
    </row>
    <row r="7" customFormat="false" ht="13" hidden="false" customHeight="false" outlineLevel="0" collapsed="false">
      <c r="A7" s="0" t="n">
        <v>6</v>
      </c>
      <c r="B7" s="0" t="s">
        <v>1</v>
      </c>
      <c r="C7" s="0" t="s">
        <v>2</v>
      </c>
      <c r="D7" s="0" t="s">
        <v>2</v>
      </c>
      <c r="E7" s="0" t="n">
        <f aca="false">(IF($B7="V",1,0))+IF($C7="V",1,0)+IF($D7="V",1,0)</f>
        <v>1</v>
      </c>
      <c r="F7" s="0" t="n">
        <f aca="false">(IF($B7="E",1,0))+IF($C7="E",1,0)+IF($D7="E",1,0)</f>
        <v>2</v>
      </c>
      <c r="G7" s="0" t="n">
        <f aca="false">(IF($B7="O",1,0))+IF($C7="O",1,0)+IF($D7="O",1,0)</f>
        <v>0</v>
      </c>
      <c r="H7" s="0" t="n">
        <f aca="false">(IF($B7="L",1,0))+IF($C7="L",1,0)+IF($D7="L",1,0)</f>
        <v>0</v>
      </c>
      <c r="I7" s="0" t="n">
        <f aca="false">(IF(B7="V",1,0))</f>
        <v>1</v>
      </c>
      <c r="J7" s="0" t="n">
        <f aca="false">(IF(B7="E",1,0))</f>
        <v>0</v>
      </c>
      <c r="K7" s="0" t="n">
        <f aca="false">(IF(B7="O",1,0))</f>
        <v>0</v>
      </c>
      <c r="L7" s="0" t="n">
        <f aca="false">(IF(B7="L",1,0))</f>
        <v>0</v>
      </c>
      <c r="M7" s="0" t="n">
        <f aca="false">(IF(C7="V",1,0))</f>
        <v>0</v>
      </c>
      <c r="N7" s="0" t="n">
        <f aca="false">(IF(C7="E",1,0))</f>
        <v>1</v>
      </c>
      <c r="O7" s="0" t="n">
        <f aca="false">(IF(C7="O",1,0))</f>
        <v>0</v>
      </c>
      <c r="P7" s="0" t="n">
        <f aca="false">(IF(C7="L",1,0))</f>
        <v>0</v>
      </c>
      <c r="Q7" s="0" t="n">
        <f aca="false">(IF(D7="V",1,0))</f>
        <v>0</v>
      </c>
      <c r="R7" s="0" t="n">
        <f aca="false">(IF(D7="E",1,0))</f>
        <v>1</v>
      </c>
      <c r="S7" s="0" t="n">
        <f aca="false">(IF(D7="O",1,0))</f>
        <v>0</v>
      </c>
      <c r="T7" s="0" t="n">
        <f aca="false">(IF(D7="L",1,0))</f>
        <v>0</v>
      </c>
      <c r="U7" s="0" t="n">
        <f aca="false">MAX(E7-1,0)</f>
        <v>0</v>
      </c>
      <c r="V7" s="0" t="n">
        <f aca="false">MAX(U7-1+F7,0)</f>
        <v>1</v>
      </c>
      <c r="W7" s="0" t="n">
        <f aca="false">MAX(V7-1+G7,0)</f>
        <v>0</v>
      </c>
      <c r="X7" s="0" t="n">
        <f aca="false">MAX(W7-1+H7,0)</f>
        <v>0</v>
      </c>
      <c r="Y7" s="1" t="n">
        <f aca="false">0.5*(E7*I7+F7*J7+G7*K7+H7*L7-1)+(0+$U7*J7+$V7*K7+$W7*L7)</f>
        <v>0</v>
      </c>
      <c r="Z7" s="1" t="n">
        <f aca="false">0.5*(E7*M7+F7*N7+G7*O7+H7*P7-1)+(0+$U7*N7+$V7*O7+$W7*P7)</f>
        <v>0.5</v>
      </c>
      <c r="AA7" s="1" t="n">
        <f aca="false">0.5*(E7*Q7+F7*R7+G7*S7+H7*T7-1)+(0+$U7*R7+$V7*S7+$W7*T7)</f>
        <v>0.5</v>
      </c>
      <c r="AB7" s="0" t="n">
        <f aca="false">IF(B7="V",-2,0)+IF(B7="E",-1,0)+IF(B7="O",0,0)+IF(B7="L",1,0)+Y7</f>
        <v>-2</v>
      </c>
      <c r="AC7" s="0" t="n">
        <f aca="false">IF(C7="V",-2,0)+IF(C7="E",-1,0)+IF(C7="O",0,0)+IF(C7="L",1,0)+Z7</f>
        <v>-0.5</v>
      </c>
      <c r="AD7" s="0" t="n">
        <f aca="false">IF(D7="V",-2,0)+IF(D7="E",-1,0)+IF(D7="O",0,0)+IF(D7="L",1,0)+AA7</f>
        <v>-0.5</v>
      </c>
      <c r="AE7" s="1" t="n">
        <f aca="false">IF(B7="V",-2,0)+IF(B7="E",-1,0)+IF(B7="O",0,0)+IF(B7="L",1,0)</f>
        <v>-2</v>
      </c>
      <c r="AF7" s="1" t="n">
        <f aca="false">IF(B7="V",-2,0)+IF(B7="E",-1,0)+IF(B7="O",0,0)+IF(B7="L",1,0)+Y7</f>
        <v>-2</v>
      </c>
      <c r="AG7" s="1" t="n">
        <f aca="false">IF(B7="V",-2,0)+IF(B7="E",-1,0)+IF(B7="O",0,0)+IF(B7="L",1,0)+Y7*2</f>
        <v>-2</v>
      </c>
      <c r="AH7" s="1" t="n">
        <f aca="false">IF(C7="V",-2,0)+IF(C7="E",-1,0)+IF(C7="O",0,0)+IF(C7="L",1,0)</f>
        <v>-1</v>
      </c>
      <c r="AI7" s="1" t="n">
        <f aca="false">IF(C7="V",-2,0)+IF(C7="E",-1,0)+IF(C7="O",0,0)+IF(C7="L",1,0)+Z7</f>
        <v>-0.5</v>
      </c>
      <c r="AJ7" s="1" t="n">
        <f aca="false">IF(C7="V",-2,0)+IF(C7="E",-1,0)+IF(C7="O",0,0)+IF(C7="L",1,0)+Z7*2</f>
        <v>0</v>
      </c>
      <c r="AK7" s="1" t="n">
        <f aca="false">IF(D7="V",-2,0)+IF(D7="E",-1,0)+IF(D7="O",0,0)+IF(D7="L",1,0)</f>
        <v>-1</v>
      </c>
      <c r="AL7" s="1" t="n">
        <f aca="false">IF(D7="V",-2,0)+IF(D7="E",-1,0)+IF(D7="O",0,0)+IF(D7="L",1,0)+AA7</f>
        <v>-0.5</v>
      </c>
      <c r="AM7" s="1" t="n">
        <f aca="false">IF(D7="V",-2,0)+IF(D7="E",-1,0)+IF(D7="O",0,0)+IF(D7="L",1,0)+AA7*2</f>
        <v>0</v>
      </c>
      <c r="AN7" s="1" t="n">
        <f aca="false">(ABS(IF(AE7&lt;0,AE7*Early,AE7*Late))+ABS(IF(AF7&lt;0,AF7*Early,AF7*Late))+ABS(IF(AG7&lt;0,AG7*Early,AG7*Late)))/3</f>
        <v>6</v>
      </c>
      <c r="AO7" s="1" t="n">
        <f aca="false">(ABS(IF(AH7&lt;0,AH7*Early,AH7*Late))+ABS(IF(AI7&lt;0,AI7*Early,AI7*Late))+ABS(IF(AJ7&lt;0,AJ7*Early,AJ7*Late)))/3</f>
        <v>1.5</v>
      </c>
      <c r="AP7" s="1" t="n">
        <f aca="false">(ABS(IF(AK7&lt;0,AK7*Early,AK7*Late))+ABS(IF(AL7&lt;0,AL7*Early,AL7*Late))+ABS(IF(AM7&lt;0,AM7*Early,AM7*Late)))/3</f>
        <v>1.5</v>
      </c>
      <c r="AQ7" s="0" t="n">
        <f aca="false">Y7*Delay+AN7</f>
        <v>6</v>
      </c>
      <c r="AR7" s="0" t="n">
        <f aca="false">Z7*Delay+AO7</f>
        <v>2</v>
      </c>
      <c r="AS7" s="0" t="n">
        <f aca="false">AA7*Delay+AP7</f>
        <v>2</v>
      </c>
      <c r="AT7" s="0" t="n">
        <f aca="false">IF(AS7=MIN(AS6:AS9),1,0)</f>
        <v>0</v>
      </c>
      <c r="AX7" s="0" t="str">
        <f aca="false">B7&amp;C7&amp;D7</f>
        <v>VEE</v>
      </c>
      <c r="AY7" s="1" t="n">
        <f aca="false">AQ7+AR7+AS7</f>
        <v>10</v>
      </c>
      <c r="AZ7" s="1" t="str">
        <f aca="false">RIGHT(AX7,2)</f>
        <v>EE</v>
      </c>
      <c r="BA7" s="1" t="str">
        <f aca="false">LEFT(AX7,1)&amp;RIGHT(AX7,1)</f>
        <v>VE</v>
      </c>
      <c r="BB7" s="1" t="str">
        <f aca="false">LEFT(AX7,2)</f>
        <v>VE</v>
      </c>
      <c r="BC7" s="1" t="n">
        <f aca="false">VLOOKUP(AZ7,TwoPlayers!$AG$1:$AH$17,2,FALSE())</f>
        <v>4</v>
      </c>
      <c r="BD7" s="1" t="n">
        <f aca="false">VLOOKUP(BA7,TwoPlayers!$AG$1:$AH$17,2,FALSE())</f>
        <v>9</v>
      </c>
      <c r="BE7" s="1" t="n">
        <f aca="false">VLOOKUP(BB7,TwoPlayers!$AG$1:$AH$17,2,FALSE())</f>
        <v>9</v>
      </c>
      <c r="BF7" s="1" t="n">
        <f aca="false">$AY7-BC7</f>
        <v>6</v>
      </c>
      <c r="BG7" s="1" t="n">
        <f aca="false">$AY7-BD7</f>
        <v>1</v>
      </c>
      <c r="BH7" s="1" t="n">
        <f aca="false">$AY7-BE7</f>
        <v>1</v>
      </c>
      <c r="BJ7" s="0" t="n">
        <f aca="false">AQ7+BF7</f>
        <v>12</v>
      </c>
      <c r="BK7" s="0" t="n">
        <f aca="false">AR7+BG7</f>
        <v>3</v>
      </c>
      <c r="BL7" s="0" t="n">
        <f aca="false">AS7+BH7</f>
        <v>3</v>
      </c>
      <c r="BM7" s="0" t="n">
        <f aca="false">IF(BL7=MIN(BL6:BL10),1,0)</f>
        <v>0</v>
      </c>
    </row>
    <row r="8" customFormat="false" ht="13" hidden="false" customHeight="false" outlineLevel="0" collapsed="false">
      <c r="A8" s="0" t="n">
        <v>7</v>
      </c>
      <c r="B8" s="0" t="s">
        <v>1</v>
      </c>
      <c r="C8" s="0" t="s">
        <v>2</v>
      </c>
      <c r="D8" s="0" t="s">
        <v>3</v>
      </c>
      <c r="E8" s="0" t="n">
        <f aca="false">(IF($B8="V",1,0))+IF($C8="V",1,0)+IF($D8="V",1,0)</f>
        <v>1</v>
      </c>
      <c r="F8" s="0" t="n">
        <f aca="false">(IF($B8="E",1,0))+IF($C8="E",1,0)+IF($D8="E",1,0)</f>
        <v>1</v>
      </c>
      <c r="G8" s="0" t="n">
        <f aca="false">(IF($B8="O",1,0))+IF($C8="O",1,0)+IF($D8="O",1,0)</f>
        <v>1</v>
      </c>
      <c r="H8" s="0" t="n">
        <f aca="false">(IF($B8="L",1,0))+IF($C8="L",1,0)+IF($D8="L",1,0)</f>
        <v>0</v>
      </c>
      <c r="I8" s="0" t="n">
        <f aca="false">(IF(B8="V",1,0))</f>
        <v>1</v>
      </c>
      <c r="J8" s="0" t="n">
        <f aca="false">(IF(B8="E",1,0))</f>
        <v>0</v>
      </c>
      <c r="K8" s="0" t="n">
        <f aca="false">(IF(B8="O",1,0))</f>
        <v>0</v>
      </c>
      <c r="L8" s="0" t="n">
        <f aca="false">(IF(B8="L",1,0))</f>
        <v>0</v>
      </c>
      <c r="M8" s="0" t="n">
        <f aca="false">(IF(C8="V",1,0))</f>
        <v>0</v>
      </c>
      <c r="N8" s="0" t="n">
        <f aca="false">(IF(C8="E",1,0))</f>
        <v>1</v>
      </c>
      <c r="O8" s="0" t="n">
        <f aca="false">(IF(C8="O",1,0))</f>
        <v>0</v>
      </c>
      <c r="P8" s="0" t="n">
        <f aca="false">(IF(C8="L",1,0))</f>
        <v>0</v>
      </c>
      <c r="Q8" s="0" t="n">
        <f aca="false">(IF(D8="V",1,0))</f>
        <v>0</v>
      </c>
      <c r="R8" s="0" t="n">
        <f aca="false">(IF(D8="E",1,0))</f>
        <v>0</v>
      </c>
      <c r="S8" s="0" t="n">
        <f aca="false">(IF(D8="O",1,0))</f>
        <v>1</v>
      </c>
      <c r="T8" s="0" t="n">
        <f aca="false">(IF(D8="L",1,0))</f>
        <v>0</v>
      </c>
      <c r="U8" s="0" t="n">
        <f aca="false">MAX(E8-1,0)</f>
        <v>0</v>
      </c>
      <c r="V8" s="0" t="n">
        <f aca="false">MAX(U8-1+F8,0)</f>
        <v>0</v>
      </c>
      <c r="W8" s="0" t="n">
        <f aca="false">MAX(V8-1+G8,0)</f>
        <v>0</v>
      </c>
      <c r="X8" s="0" t="n">
        <f aca="false">MAX(W8-1+H8,0)</f>
        <v>0</v>
      </c>
      <c r="Y8" s="1" t="n">
        <f aca="false">0.5*(E8*I8+F8*J8+G8*K8+H8*L8-1)+(0+$U8*J8+$V8*K8+$W8*L8)</f>
        <v>0</v>
      </c>
      <c r="Z8" s="1" t="n">
        <f aca="false">0.5*(E8*M8+F8*N8+G8*O8+H8*P8-1)+(0+$U8*N8+$V8*O8+$W8*P8)</f>
        <v>0</v>
      </c>
      <c r="AA8" s="1" t="n">
        <f aca="false">0.5*(E8*Q8+F8*R8+G8*S8+H8*T8-1)+(0+$U8*R8+$V8*S8+$W8*T8)</f>
        <v>0</v>
      </c>
      <c r="AB8" s="0" t="n">
        <f aca="false">IF(B8="V",-2,0)+IF(B8="E",-1,0)+IF(B8="O",0,0)+IF(B8="L",1,0)+Y8</f>
        <v>-2</v>
      </c>
      <c r="AC8" s="0" t="n">
        <f aca="false">IF(C8="V",-2,0)+IF(C8="E",-1,0)+IF(C8="O",0,0)+IF(C8="L",1,0)+Z8</f>
        <v>-1</v>
      </c>
      <c r="AD8" s="0" t="n">
        <f aca="false">IF(D8="V",-2,0)+IF(D8="E",-1,0)+IF(D8="O",0,0)+IF(D8="L",1,0)+AA8</f>
        <v>0</v>
      </c>
      <c r="AE8" s="1" t="n">
        <f aca="false">IF(B8="V",-2,0)+IF(B8="E",-1,0)+IF(B8="O",0,0)+IF(B8="L",1,0)</f>
        <v>-2</v>
      </c>
      <c r="AF8" s="1" t="n">
        <f aca="false">IF(B8="V",-2,0)+IF(B8="E",-1,0)+IF(B8="O",0,0)+IF(B8="L",1,0)+Y8</f>
        <v>-2</v>
      </c>
      <c r="AG8" s="1" t="n">
        <f aca="false">IF(B8="V",-2,0)+IF(B8="E",-1,0)+IF(B8="O",0,0)+IF(B8="L",1,0)+Y8*2</f>
        <v>-2</v>
      </c>
      <c r="AH8" s="1" t="n">
        <f aca="false">IF(C8="V",-2,0)+IF(C8="E",-1,0)+IF(C8="O",0,0)+IF(C8="L",1,0)</f>
        <v>-1</v>
      </c>
      <c r="AI8" s="1" t="n">
        <f aca="false">IF(C8="V",-2,0)+IF(C8="E",-1,0)+IF(C8="O",0,0)+IF(C8="L",1,0)+Z8</f>
        <v>-1</v>
      </c>
      <c r="AJ8" s="1" t="n">
        <f aca="false">IF(C8="V",-2,0)+IF(C8="E",-1,0)+IF(C8="O",0,0)+IF(C8="L",1,0)+Z8*2</f>
        <v>-1</v>
      </c>
      <c r="AK8" s="1" t="n">
        <f aca="false">IF(D8="V",-2,0)+IF(D8="E",-1,0)+IF(D8="O",0,0)+IF(D8="L",1,0)</f>
        <v>0</v>
      </c>
      <c r="AL8" s="1" t="n">
        <f aca="false">IF(D8="V",-2,0)+IF(D8="E",-1,0)+IF(D8="O",0,0)+IF(D8="L",1,0)+AA8</f>
        <v>0</v>
      </c>
      <c r="AM8" s="1" t="n">
        <f aca="false">IF(D8="V",-2,0)+IF(D8="E",-1,0)+IF(D8="O",0,0)+IF(D8="L",1,0)+AA8*2</f>
        <v>0</v>
      </c>
      <c r="AN8" s="1" t="n">
        <f aca="false">(ABS(IF(AE8&lt;0,AE8*Early,AE8*Late))+ABS(IF(AF8&lt;0,AF8*Early,AF8*Late))+ABS(IF(AG8&lt;0,AG8*Early,AG8*Late)))/3</f>
        <v>6</v>
      </c>
      <c r="AO8" s="1" t="n">
        <f aca="false">(ABS(IF(AH8&lt;0,AH8*Early,AH8*Late))+ABS(IF(AI8&lt;0,AI8*Early,AI8*Late))+ABS(IF(AJ8&lt;0,AJ8*Early,AJ8*Late)))/3</f>
        <v>3</v>
      </c>
      <c r="AP8" s="1" t="n">
        <f aca="false">(ABS(IF(AK8&lt;0,AK8*Early,AK8*Late))+ABS(IF(AL8&lt;0,AL8*Early,AL8*Late))+ABS(IF(AM8&lt;0,AM8*Early,AM8*Late)))/3</f>
        <v>0</v>
      </c>
      <c r="AQ8" s="0" t="n">
        <f aca="false">Y8*Delay+AN8</f>
        <v>6</v>
      </c>
      <c r="AR8" s="0" t="n">
        <f aca="false">Z8*Delay+AO8</f>
        <v>3</v>
      </c>
      <c r="AS8" s="0" t="n">
        <f aca="false">AA8*Delay+AP8</f>
        <v>0</v>
      </c>
      <c r="AT8" s="0" t="n">
        <f aca="false">IF(AS8=MIN(AS6:AS9),1,0)</f>
        <v>1</v>
      </c>
      <c r="AX8" s="0" t="str">
        <f aca="false">B8&amp;C8&amp;D8</f>
        <v>VEO</v>
      </c>
      <c r="AY8" s="1" t="n">
        <f aca="false">AQ8+AR8+AS8</f>
        <v>9</v>
      </c>
      <c r="AZ8" s="1" t="str">
        <f aca="false">RIGHT(AX8,2)</f>
        <v>EO</v>
      </c>
      <c r="BA8" s="1" t="str">
        <f aca="false">LEFT(AX8,1)&amp;RIGHT(AX8,1)</f>
        <v>VO</v>
      </c>
      <c r="BB8" s="1" t="str">
        <f aca="false">LEFT(AX8,2)</f>
        <v>VE</v>
      </c>
      <c r="BC8" s="1" t="n">
        <f aca="false">VLOOKUP(AZ8,TwoPlayers!$AG$1:$AH$17,2,FALSE())</f>
        <v>3</v>
      </c>
      <c r="BD8" s="1" t="n">
        <f aca="false">VLOOKUP(BA8,TwoPlayers!$AG$1:$AH$17,2,FALSE())</f>
        <v>6</v>
      </c>
      <c r="BE8" s="1" t="n">
        <f aca="false">VLOOKUP(BB8,TwoPlayers!$AG$1:$AH$17,2,FALSE())</f>
        <v>9</v>
      </c>
      <c r="BF8" s="1" t="n">
        <f aca="false">$AY8-BC8</f>
        <v>6</v>
      </c>
      <c r="BG8" s="1" t="n">
        <f aca="false">$AY8-BD8</f>
        <v>3</v>
      </c>
      <c r="BH8" s="1" t="n">
        <f aca="false">$AY8-BE8</f>
        <v>0</v>
      </c>
      <c r="BJ8" s="0" t="n">
        <f aca="false">AQ8+BF8</f>
        <v>12</v>
      </c>
      <c r="BK8" s="0" t="n">
        <f aca="false">AR8+BG8</f>
        <v>6</v>
      </c>
      <c r="BL8" s="0" t="n">
        <f aca="false">AS8+BH8</f>
        <v>0</v>
      </c>
      <c r="BM8" s="0" t="n">
        <f aca="false">IF(BL8=MIN(BL6:BL10),1,0)</f>
        <v>1</v>
      </c>
    </row>
    <row r="9" customFormat="false" ht="13" hidden="false" customHeight="false" outlineLevel="0" collapsed="false">
      <c r="A9" s="0" t="n">
        <v>8</v>
      </c>
      <c r="B9" s="0" t="s">
        <v>1</v>
      </c>
      <c r="C9" s="0" t="s">
        <v>2</v>
      </c>
      <c r="D9" s="0" t="s">
        <v>4</v>
      </c>
      <c r="E9" s="0" t="n">
        <f aca="false">(IF($B9="V",1,0))+IF($C9="V",1,0)+IF($D9="V",1,0)</f>
        <v>1</v>
      </c>
      <c r="F9" s="0" t="n">
        <f aca="false">(IF($B9="E",1,0))+IF($C9="E",1,0)+IF($D9="E",1,0)</f>
        <v>1</v>
      </c>
      <c r="G9" s="0" t="n">
        <f aca="false">(IF($B9="O",1,0))+IF($C9="O",1,0)+IF($D9="O",1,0)</f>
        <v>0</v>
      </c>
      <c r="H9" s="0" t="n">
        <f aca="false">(IF($B9="L",1,0))+IF($C9="L",1,0)+IF($D9="L",1,0)</f>
        <v>1</v>
      </c>
      <c r="I9" s="0" t="n">
        <f aca="false">(IF(B9="V",1,0))</f>
        <v>1</v>
      </c>
      <c r="J9" s="0" t="n">
        <f aca="false">(IF(B9="E",1,0))</f>
        <v>0</v>
      </c>
      <c r="K9" s="0" t="n">
        <f aca="false">(IF(B9="O",1,0))</f>
        <v>0</v>
      </c>
      <c r="L9" s="0" t="n">
        <f aca="false">(IF(B9="L",1,0))</f>
        <v>0</v>
      </c>
      <c r="M9" s="0" t="n">
        <f aca="false">(IF(C9="V",1,0))</f>
        <v>0</v>
      </c>
      <c r="N9" s="0" t="n">
        <f aca="false">(IF(C9="E",1,0))</f>
        <v>1</v>
      </c>
      <c r="O9" s="0" t="n">
        <f aca="false">(IF(C9="O",1,0))</f>
        <v>0</v>
      </c>
      <c r="P9" s="0" t="n">
        <f aca="false">(IF(C9="L",1,0))</f>
        <v>0</v>
      </c>
      <c r="Q9" s="0" t="n">
        <f aca="false">(IF(D9="V",1,0))</f>
        <v>0</v>
      </c>
      <c r="R9" s="0" t="n">
        <f aca="false">(IF(D9="E",1,0))</f>
        <v>0</v>
      </c>
      <c r="S9" s="0" t="n">
        <f aca="false">(IF(D9="O",1,0))</f>
        <v>0</v>
      </c>
      <c r="T9" s="0" t="n">
        <f aca="false">(IF(D9="L",1,0))</f>
        <v>1</v>
      </c>
      <c r="U9" s="0" t="n">
        <f aca="false">MAX(E9-1,0)</f>
        <v>0</v>
      </c>
      <c r="V9" s="0" t="n">
        <f aca="false">MAX(U9-1+F9,0)</f>
        <v>0</v>
      </c>
      <c r="W9" s="0" t="n">
        <f aca="false">MAX(V9-1+G9,0)</f>
        <v>0</v>
      </c>
      <c r="X9" s="0" t="n">
        <f aca="false">MAX(W9-1+H9,0)</f>
        <v>0</v>
      </c>
      <c r="Y9" s="1" t="n">
        <f aca="false">0.5*(E9*I9+F9*J9+G9*K9+H9*L9-1)+(0+$U9*J9+$V9*K9+$W9*L9)</f>
        <v>0</v>
      </c>
      <c r="Z9" s="1" t="n">
        <f aca="false">0.5*(E9*M9+F9*N9+G9*O9+H9*P9-1)+(0+$U9*N9+$V9*O9+$W9*P9)</f>
        <v>0</v>
      </c>
      <c r="AA9" s="1" t="n">
        <f aca="false">0.5*(E9*Q9+F9*R9+G9*S9+H9*T9-1)+(0+$U9*R9+$V9*S9+$W9*T9)</f>
        <v>0</v>
      </c>
      <c r="AB9" s="0" t="n">
        <f aca="false">IF(B9="V",-2,0)+IF(B9="E",-1,0)+IF(B9="O",0,0)+IF(B9="L",1,0)+Y9</f>
        <v>-2</v>
      </c>
      <c r="AC9" s="0" t="n">
        <f aca="false">IF(C9="V",-2,0)+IF(C9="E",-1,0)+IF(C9="O",0,0)+IF(C9="L",1,0)+Z9</f>
        <v>-1</v>
      </c>
      <c r="AD9" s="0" t="n">
        <f aca="false">IF(D9="V",-2,0)+IF(D9="E",-1,0)+IF(D9="O",0,0)+IF(D9="L",1,0)+AA9</f>
        <v>1</v>
      </c>
      <c r="AE9" s="1" t="n">
        <f aca="false">IF(B9="V",-2,0)+IF(B9="E",-1,0)+IF(B9="O",0,0)+IF(B9="L",1,0)</f>
        <v>-2</v>
      </c>
      <c r="AF9" s="1" t="n">
        <f aca="false">IF(B9="V",-2,0)+IF(B9="E",-1,0)+IF(B9="O",0,0)+IF(B9="L",1,0)+Y9</f>
        <v>-2</v>
      </c>
      <c r="AG9" s="1" t="n">
        <f aca="false">IF(B9="V",-2,0)+IF(B9="E",-1,0)+IF(B9="O",0,0)+IF(B9="L",1,0)+Y9*2</f>
        <v>-2</v>
      </c>
      <c r="AH9" s="1" t="n">
        <f aca="false">IF(C9="V",-2,0)+IF(C9="E",-1,0)+IF(C9="O",0,0)+IF(C9="L",1,0)</f>
        <v>-1</v>
      </c>
      <c r="AI9" s="1" t="n">
        <f aca="false">IF(C9="V",-2,0)+IF(C9="E",-1,0)+IF(C9="O",0,0)+IF(C9="L",1,0)+Z9</f>
        <v>-1</v>
      </c>
      <c r="AJ9" s="1" t="n">
        <f aca="false">IF(C9="V",-2,0)+IF(C9="E",-1,0)+IF(C9="O",0,0)+IF(C9="L",1,0)+Z9*2</f>
        <v>-1</v>
      </c>
      <c r="AK9" s="1" t="n">
        <f aca="false">IF(D9="V",-2,0)+IF(D9="E",-1,0)+IF(D9="O",0,0)+IF(D9="L",1,0)</f>
        <v>1</v>
      </c>
      <c r="AL9" s="1" t="n">
        <f aca="false">IF(D9="V",-2,0)+IF(D9="E",-1,0)+IF(D9="O",0,0)+IF(D9="L",1,0)+AA9</f>
        <v>1</v>
      </c>
      <c r="AM9" s="1" t="n">
        <f aca="false">IF(D9="V",-2,0)+IF(D9="E",-1,0)+IF(D9="O",0,0)+IF(D9="L",1,0)+AA9*2</f>
        <v>1</v>
      </c>
      <c r="AN9" s="1" t="n">
        <f aca="false">(ABS(IF(AE9&lt;0,AE9*Early,AE9*Late))+ABS(IF(AF9&lt;0,AF9*Early,AF9*Late))+ABS(IF(AG9&lt;0,AG9*Early,AG9*Late)))/3</f>
        <v>6</v>
      </c>
      <c r="AO9" s="1" t="n">
        <f aca="false">(ABS(IF(AH9&lt;0,AH9*Early,AH9*Late))+ABS(IF(AI9&lt;0,AI9*Early,AI9*Late))+ABS(IF(AJ9&lt;0,AJ9*Early,AJ9*Late)))/3</f>
        <v>3</v>
      </c>
      <c r="AP9" s="1" t="n">
        <f aca="false">(ABS(IF(AK9&lt;0,AK9*Early,AK9*Late))+ABS(IF(AL9&lt;0,AL9*Early,AL9*Late))+ABS(IF(AM9&lt;0,AM9*Early,AM9*Late)))/3</f>
        <v>4</v>
      </c>
      <c r="AQ9" s="0" t="n">
        <f aca="false">Y9*Delay+AN9</f>
        <v>6</v>
      </c>
      <c r="AR9" s="0" t="n">
        <f aca="false">Z9*Delay+AO9</f>
        <v>3</v>
      </c>
      <c r="AS9" s="0" t="n">
        <f aca="false">AA9*Delay+AP9</f>
        <v>4</v>
      </c>
      <c r="AT9" s="0" t="n">
        <f aca="false">IF(AS9=MIN(AS6:AS9),1,0)</f>
        <v>0</v>
      </c>
      <c r="AX9" s="0" t="str">
        <f aca="false">B9&amp;C9&amp;D9</f>
        <v>VEL</v>
      </c>
      <c r="AY9" s="1" t="n">
        <f aca="false">AQ9+AR9+AS9</f>
        <v>13</v>
      </c>
      <c r="AZ9" s="1" t="str">
        <f aca="false">RIGHT(AX9,2)</f>
        <v>EL</v>
      </c>
      <c r="BA9" s="1" t="str">
        <f aca="false">LEFT(AX9,1)&amp;RIGHT(AX9,1)</f>
        <v>VL</v>
      </c>
      <c r="BB9" s="1" t="str">
        <f aca="false">LEFT(AX9,2)</f>
        <v>VE</v>
      </c>
      <c r="BC9" s="1" t="n">
        <f aca="false">VLOOKUP(AZ9,TwoPlayers!$AG$1:$AH$17,2,FALSE())</f>
        <v>7</v>
      </c>
      <c r="BD9" s="1" t="n">
        <f aca="false">VLOOKUP(BA9,TwoPlayers!$AG$1:$AH$17,2,FALSE())</f>
        <v>10</v>
      </c>
      <c r="BE9" s="1" t="n">
        <f aca="false">VLOOKUP(BB9,TwoPlayers!$AG$1:$AH$17,2,FALSE())</f>
        <v>9</v>
      </c>
      <c r="BF9" s="1" t="n">
        <f aca="false">$AY9-BC9</f>
        <v>6</v>
      </c>
      <c r="BG9" s="1" t="n">
        <f aca="false">$AY9-BD9</f>
        <v>3</v>
      </c>
      <c r="BH9" s="1" t="n">
        <f aca="false">$AY9-BE9</f>
        <v>4</v>
      </c>
      <c r="BJ9" s="0" t="n">
        <f aca="false">AQ9+BF9</f>
        <v>12</v>
      </c>
      <c r="BK9" s="0" t="n">
        <f aca="false">AR9+BG9</f>
        <v>6</v>
      </c>
      <c r="BL9" s="0" t="n">
        <f aca="false">AS9+BH9</f>
        <v>8</v>
      </c>
      <c r="BM9" s="0" t="n">
        <f aca="false">IF(BL9=MIN(BL6:BL10),1,0)</f>
        <v>0</v>
      </c>
    </row>
    <row r="10" customFormat="false" ht="13" hidden="false" customHeight="false" outlineLevel="0" collapsed="false">
      <c r="A10" s="0" t="n">
        <v>9</v>
      </c>
      <c r="B10" s="0" t="s">
        <v>1</v>
      </c>
      <c r="C10" s="0" t="s">
        <v>3</v>
      </c>
      <c r="D10" s="0" t="s">
        <v>1</v>
      </c>
      <c r="E10" s="0" t="n">
        <f aca="false">(IF($B10="V",1,0))+IF($C10="V",1,0)+IF($D10="V",1,0)</f>
        <v>2</v>
      </c>
      <c r="F10" s="0" t="n">
        <f aca="false">(IF($B10="E",1,0))+IF($C10="E",1,0)+IF($D10="E",1,0)</f>
        <v>0</v>
      </c>
      <c r="G10" s="0" t="n">
        <f aca="false">(IF($B10="O",1,0))+IF($C10="O",1,0)+IF($D10="O",1,0)</f>
        <v>1</v>
      </c>
      <c r="H10" s="0" t="n">
        <f aca="false">(IF($B10="L",1,0))+IF($C10="L",1,0)+IF($D10="L",1,0)</f>
        <v>0</v>
      </c>
      <c r="I10" s="0" t="n">
        <f aca="false">(IF(B10="V",1,0))</f>
        <v>1</v>
      </c>
      <c r="J10" s="0" t="n">
        <f aca="false">(IF(B10="E",1,0))</f>
        <v>0</v>
      </c>
      <c r="K10" s="0" t="n">
        <f aca="false">(IF(B10="O",1,0))</f>
        <v>0</v>
      </c>
      <c r="L10" s="0" t="n">
        <f aca="false">(IF(B10="L",1,0))</f>
        <v>0</v>
      </c>
      <c r="M10" s="0" t="n">
        <f aca="false">(IF(C10="V",1,0))</f>
        <v>0</v>
      </c>
      <c r="N10" s="0" t="n">
        <f aca="false">(IF(C10="E",1,0))</f>
        <v>0</v>
      </c>
      <c r="O10" s="0" t="n">
        <f aca="false">(IF(C10="O",1,0))</f>
        <v>1</v>
      </c>
      <c r="P10" s="0" t="n">
        <f aca="false">(IF(C10="L",1,0))</f>
        <v>0</v>
      </c>
      <c r="Q10" s="0" t="n">
        <f aca="false">(IF(D10="V",1,0))</f>
        <v>1</v>
      </c>
      <c r="R10" s="0" t="n">
        <f aca="false">(IF(D10="E",1,0))</f>
        <v>0</v>
      </c>
      <c r="S10" s="0" t="n">
        <f aca="false">(IF(D10="O",1,0))</f>
        <v>0</v>
      </c>
      <c r="T10" s="0" t="n">
        <f aca="false">(IF(D10="L",1,0))</f>
        <v>0</v>
      </c>
      <c r="U10" s="0" t="n">
        <f aca="false">MAX(E10-1,0)</f>
        <v>1</v>
      </c>
      <c r="V10" s="0" t="n">
        <f aca="false">MAX(U10-1+F10,0)</f>
        <v>0</v>
      </c>
      <c r="W10" s="0" t="n">
        <f aca="false">MAX(V10-1+G10,0)</f>
        <v>0</v>
      </c>
      <c r="X10" s="0" t="n">
        <f aca="false">MAX(W10-1+H10,0)</f>
        <v>0</v>
      </c>
      <c r="Y10" s="1" t="n">
        <f aca="false">0.5*(E10*I10+F10*J10+G10*K10+H10*L10-1)+(0+$U10*J10+$V10*K10+$W10*L10)</f>
        <v>0.5</v>
      </c>
      <c r="Z10" s="1" t="n">
        <f aca="false">0.5*(E10*M10+F10*N10+G10*O10+H10*P10-1)+(0+$U10*N10+$V10*O10+$W10*P10)</f>
        <v>0</v>
      </c>
      <c r="AA10" s="1" t="n">
        <f aca="false">0.5*(E10*Q10+F10*R10+G10*S10+H10*T10-1)+(0+$U10*R10+$V10*S10+$W10*T10)</f>
        <v>0.5</v>
      </c>
      <c r="AB10" s="0" t="n">
        <f aca="false">IF(B10="V",-2,0)+IF(B10="E",-1,0)+IF(B10="O",0,0)+IF(B10="L",1,0)+Y10</f>
        <v>-1.5</v>
      </c>
      <c r="AC10" s="0" t="n">
        <f aca="false">IF(C10="V",-2,0)+IF(C10="E",-1,0)+IF(C10="O",0,0)+IF(C10="L",1,0)+Z10</f>
        <v>0</v>
      </c>
      <c r="AD10" s="0" t="n">
        <f aca="false">IF(D10="V",-2,0)+IF(D10="E",-1,0)+IF(D10="O",0,0)+IF(D10="L",1,0)+AA10</f>
        <v>-1.5</v>
      </c>
      <c r="AE10" s="1" t="n">
        <f aca="false">IF(B10="V",-2,0)+IF(B10="E",-1,0)+IF(B10="O",0,0)+IF(B10="L",1,0)</f>
        <v>-2</v>
      </c>
      <c r="AF10" s="1" t="n">
        <f aca="false">IF(B10="V",-2,0)+IF(B10="E",-1,0)+IF(B10="O",0,0)+IF(B10="L",1,0)+Y10</f>
        <v>-1.5</v>
      </c>
      <c r="AG10" s="1" t="n">
        <f aca="false">IF(B10="V",-2,0)+IF(B10="E",-1,0)+IF(B10="O",0,0)+IF(B10="L",1,0)+Y10*2</f>
        <v>-1</v>
      </c>
      <c r="AH10" s="1" t="n">
        <f aca="false">IF(C10="V",-2,0)+IF(C10="E",-1,0)+IF(C10="O",0,0)+IF(C10="L",1,0)</f>
        <v>0</v>
      </c>
      <c r="AI10" s="1" t="n">
        <f aca="false">IF(C10="V",-2,0)+IF(C10="E",-1,0)+IF(C10="O",0,0)+IF(C10="L",1,0)+Z10</f>
        <v>0</v>
      </c>
      <c r="AJ10" s="1" t="n">
        <f aca="false">IF(C10="V",-2,0)+IF(C10="E",-1,0)+IF(C10="O",0,0)+IF(C10="L",1,0)+Z10*2</f>
        <v>0</v>
      </c>
      <c r="AK10" s="1" t="n">
        <f aca="false">IF(D10="V",-2,0)+IF(D10="E",-1,0)+IF(D10="O",0,0)+IF(D10="L",1,0)</f>
        <v>-2</v>
      </c>
      <c r="AL10" s="1" t="n">
        <f aca="false">IF(D10="V",-2,0)+IF(D10="E",-1,0)+IF(D10="O",0,0)+IF(D10="L",1,0)+AA10</f>
        <v>-1.5</v>
      </c>
      <c r="AM10" s="1" t="n">
        <f aca="false">IF(D10="V",-2,0)+IF(D10="E",-1,0)+IF(D10="O",0,0)+IF(D10="L",1,0)+AA10*2</f>
        <v>-1</v>
      </c>
      <c r="AN10" s="1" t="n">
        <f aca="false">(ABS(IF(AE10&lt;0,AE10*Early,AE10*Late))+ABS(IF(AF10&lt;0,AF10*Early,AF10*Late))+ABS(IF(AG10&lt;0,AG10*Early,AG10*Late)))/3</f>
        <v>4.5</v>
      </c>
      <c r="AO10" s="1" t="n">
        <f aca="false">(ABS(IF(AH10&lt;0,AH10*Early,AH10*Late))+ABS(IF(AI10&lt;0,AI10*Early,AI10*Late))+ABS(IF(AJ10&lt;0,AJ10*Early,AJ10*Late)))/3</f>
        <v>0</v>
      </c>
      <c r="AP10" s="1" t="n">
        <f aca="false">(ABS(IF(AK10&lt;0,AK10*Early,AK10*Late))+ABS(IF(AL10&lt;0,AL10*Early,AL10*Late))+ABS(IF(AM10&lt;0,AM10*Early,AM10*Late)))/3</f>
        <v>4.5</v>
      </c>
      <c r="AQ10" s="0" t="n">
        <f aca="false">Y10*Delay+AN10</f>
        <v>5</v>
      </c>
      <c r="AR10" s="0" t="n">
        <f aca="false">Z10*Delay+AO10</f>
        <v>0</v>
      </c>
      <c r="AS10" s="0" t="n">
        <f aca="false">AA10*Delay+AP10</f>
        <v>5</v>
      </c>
      <c r="AT10" s="0" t="n">
        <f aca="false">IF(AS10=MIN(AS10:AS13),1,0)</f>
        <v>0</v>
      </c>
      <c r="AX10" s="0" t="str">
        <f aca="false">B10&amp;C10&amp;D10</f>
        <v>VOV</v>
      </c>
      <c r="AY10" s="1" t="n">
        <f aca="false">AQ10+AR10+AS10</f>
        <v>10</v>
      </c>
      <c r="AZ10" s="1" t="str">
        <f aca="false">RIGHT(AX10,2)</f>
        <v>OV</v>
      </c>
      <c r="BA10" s="1" t="str">
        <f aca="false">LEFT(AX10,1)&amp;RIGHT(AX10,1)</f>
        <v>VV</v>
      </c>
      <c r="BB10" s="1" t="str">
        <f aca="false">LEFT(AX10,2)</f>
        <v>VO</v>
      </c>
      <c r="BC10" s="1" t="n">
        <f aca="false">VLOOKUP(AZ10,TwoPlayers!$AG$1:$AH$17,2,FALSE())</f>
        <v>6</v>
      </c>
      <c r="BD10" s="1" t="n">
        <f aca="false">VLOOKUP(BA10,TwoPlayers!$AG$1:$AH$17,2,FALSE())</f>
        <v>10</v>
      </c>
      <c r="BE10" s="1" t="n">
        <f aca="false">VLOOKUP(BB10,TwoPlayers!$AG$1:$AH$17,2,FALSE())</f>
        <v>6</v>
      </c>
      <c r="BF10" s="1" t="n">
        <f aca="false">$AY10-BC10</f>
        <v>4</v>
      </c>
      <c r="BG10" s="1" t="n">
        <f aca="false">$AY10-BD10</f>
        <v>0</v>
      </c>
      <c r="BH10" s="1" t="n">
        <f aca="false">$AY10-BE10</f>
        <v>4</v>
      </c>
      <c r="BJ10" s="0" t="n">
        <f aca="false">AQ10+BF10</f>
        <v>9</v>
      </c>
      <c r="BK10" s="0" t="n">
        <f aca="false">AR10+BG10</f>
        <v>0</v>
      </c>
      <c r="BL10" s="0" t="n">
        <f aca="false">AS10+BH10</f>
        <v>9</v>
      </c>
      <c r="BM10" s="0" t="n">
        <f aca="false">IF(BL10=MIN(BL10:BL14),1,0)</f>
        <v>0</v>
      </c>
    </row>
    <row r="11" customFormat="false" ht="13" hidden="false" customHeight="false" outlineLevel="0" collapsed="false">
      <c r="A11" s="0" t="n">
        <v>10</v>
      </c>
      <c r="B11" s="0" t="s">
        <v>1</v>
      </c>
      <c r="C11" s="0" t="s">
        <v>3</v>
      </c>
      <c r="D11" s="0" t="s">
        <v>2</v>
      </c>
      <c r="E11" s="0" t="n">
        <f aca="false">(IF($B11="V",1,0))+IF($C11="V",1,0)+IF($D11="V",1,0)</f>
        <v>1</v>
      </c>
      <c r="F11" s="0" t="n">
        <f aca="false">(IF($B11="E",1,0))+IF($C11="E",1,0)+IF($D11="E",1,0)</f>
        <v>1</v>
      </c>
      <c r="G11" s="0" t="n">
        <f aca="false">(IF($B11="O",1,0))+IF($C11="O",1,0)+IF($D11="O",1,0)</f>
        <v>1</v>
      </c>
      <c r="H11" s="0" t="n">
        <f aca="false">(IF($B11="L",1,0))+IF($C11="L",1,0)+IF($D11="L",1,0)</f>
        <v>0</v>
      </c>
      <c r="I11" s="0" t="n">
        <f aca="false">(IF(B11="V",1,0))</f>
        <v>1</v>
      </c>
      <c r="J11" s="0" t="n">
        <f aca="false">(IF(B11="E",1,0))</f>
        <v>0</v>
      </c>
      <c r="K11" s="0" t="n">
        <f aca="false">(IF(B11="O",1,0))</f>
        <v>0</v>
      </c>
      <c r="L11" s="0" t="n">
        <f aca="false">(IF(B11="L",1,0))</f>
        <v>0</v>
      </c>
      <c r="M11" s="0" t="n">
        <f aca="false">(IF(C11="V",1,0))</f>
        <v>0</v>
      </c>
      <c r="N11" s="0" t="n">
        <f aca="false">(IF(C11="E",1,0))</f>
        <v>0</v>
      </c>
      <c r="O11" s="0" t="n">
        <f aca="false">(IF(C11="O",1,0))</f>
        <v>1</v>
      </c>
      <c r="P11" s="0" t="n">
        <f aca="false">(IF(C11="L",1,0))</f>
        <v>0</v>
      </c>
      <c r="Q11" s="0" t="n">
        <f aca="false">(IF(D11="V",1,0))</f>
        <v>0</v>
      </c>
      <c r="R11" s="0" t="n">
        <f aca="false">(IF(D11="E",1,0))</f>
        <v>1</v>
      </c>
      <c r="S11" s="0" t="n">
        <f aca="false">(IF(D11="O",1,0))</f>
        <v>0</v>
      </c>
      <c r="T11" s="0" t="n">
        <f aca="false">(IF(D11="L",1,0))</f>
        <v>0</v>
      </c>
      <c r="U11" s="0" t="n">
        <f aca="false">MAX(E11-1,0)</f>
        <v>0</v>
      </c>
      <c r="V11" s="0" t="n">
        <f aca="false">MAX(U11-1+F11,0)</f>
        <v>0</v>
      </c>
      <c r="W11" s="0" t="n">
        <f aca="false">MAX(V11-1+G11,0)</f>
        <v>0</v>
      </c>
      <c r="X11" s="0" t="n">
        <f aca="false">MAX(W11-1+H11,0)</f>
        <v>0</v>
      </c>
      <c r="Y11" s="1" t="n">
        <f aca="false">0.5*(E11*I11+F11*J11+G11*K11+H11*L11-1)+(0+$U11*J11+$V11*K11+$W11*L11)</f>
        <v>0</v>
      </c>
      <c r="Z11" s="1" t="n">
        <f aca="false">0.5*(E11*M11+F11*N11+G11*O11+H11*P11-1)+(0+$U11*N11+$V11*O11+$W11*P11)</f>
        <v>0</v>
      </c>
      <c r="AA11" s="1" t="n">
        <f aca="false">0.5*(E11*Q11+F11*R11+G11*S11+H11*T11-1)+(0+$U11*R11+$V11*S11+$W11*T11)</f>
        <v>0</v>
      </c>
      <c r="AB11" s="0" t="n">
        <f aca="false">IF(B11="V",-2,0)+IF(B11="E",-1,0)+IF(B11="O",0,0)+IF(B11="L",1,0)+Y11</f>
        <v>-2</v>
      </c>
      <c r="AC11" s="0" t="n">
        <f aca="false">IF(C11="V",-2,0)+IF(C11="E",-1,0)+IF(C11="O",0,0)+IF(C11="L",1,0)+Z11</f>
        <v>0</v>
      </c>
      <c r="AD11" s="0" t="n">
        <f aca="false">IF(D11="V",-2,0)+IF(D11="E",-1,0)+IF(D11="O",0,0)+IF(D11="L",1,0)+AA11</f>
        <v>-1</v>
      </c>
      <c r="AE11" s="1" t="n">
        <f aca="false">IF(B11="V",-2,0)+IF(B11="E",-1,0)+IF(B11="O",0,0)+IF(B11="L",1,0)</f>
        <v>-2</v>
      </c>
      <c r="AF11" s="1" t="n">
        <f aca="false">IF(B11="V",-2,0)+IF(B11="E",-1,0)+IF(B11="O",0,0)+IF(B11="L",1,0)+Y11</f>
        <v>-2</v>
      </c>
      <c r="AG11" s="1" t="n">
        <f aca="false">IF(B11="V",-2,0)+IF(B11="E",-1,0)+IF(B11="O",0,0)+IF(B11="L",1,0)+Y11*2</f>
        <v>-2</v>
      </c>
      <c r="AH11" s="1" t="n">
        <f aca="false">IF(C11="V",-2,0)+IF(C11="E",-1,0)+IF(C11="O",0,0)+IF(C11="L",1,0)</f>
        <v>0</v>
      </c>
      <c r="AI11" s="1" t="n">
        <f aca="false">IF(C11="V",-2,0)+IF(C11="E",-1,0)+IF(C11="O",0,0)+IF(C11="L",1,0)+Z11</f>
        <v>0</v>
      </c>
      <c r="AJ11" s="1" t="n">
        <f aca="false">IF(C11="V",-2,0)+IF(C11="E",-1,0)+IF(C11="O",0,0)+IF(C11="L",1,0)+Z11*2</f>
        <v>0</v>
      </c>
      <c r="AK11" s="1" t="n">
        <f aca="false">IF(D11="V",-2,0)+IF(D11="E",-1,0)+IF(D11="O",0,0)+IF(D11="L",1,0)</f>
        <v>-1</v>
      </c>
      <c r="AL11" s="1" t="n">
        <f aca="false">IF(D11="V",-2,0)+IF(D11="E",-1,0)+IF(D11="O",0,0)+IF(D11="L",1,0)+AA11</f>
        <v>-1</v>
      </c>
      <c r="AM11" s="1" t="n">
        <f aca="false">IF(D11="V",-2,0)+IF(D11="E",-1,0)+IF(D11="O",0,0)+IF(D11="L",1,0)+AA11*2</f>
        <v>-1</v>
      </c>
      <c r="AN11" s="1" t="n">
        <f aca="false">(ABS(IF(AE11&lt;0,AE11*Early,AE11*Late))+ABS(IF(AF11&lt;0,AF11*Early,AF11*Late))+ABS(IF(AG11&lt;0,AG11*Early,AG11*Late)))/3</f>
        <v>6</v>
      </c>
      <c r="AO11" s="1" t="n">
        <f aca="false">(ABS(IF(AH11&lt;0,AH11*Early,AH11*Late))+ABS(IF(AI11&lt;0,AI11*Early,AI11*Late))+ABS(IF(AJ11&lt;0,AJ11*Early,AJ11*Late)))/3</f>
        <v>0</v>
      </c>
      <c r="AP11" s="1" t="n">
        <f aca="false">(ABS(IF(AK11&lt;0,AK11*Early,AK11*Late))+ABS(IF(AL11&lt;0,AL11*Early,AL11*Late))+ABS(IF(AM11&lt;0,AM11*Early,AM11*Late)))/3</f>
        <v>3</v>
      </c>
      <c r="AQ11" s="0" t="n">
        <f aca="false">Y11*Delay+AN11</f>
        <v>6</v>
      </c>
      <c r="AR11" s="0" t="n">
        <f aca="false">Z11*Delay+AO11</f>
        <v>0</v>
      </c>
      <c r="AS11" s="0" t="n">
        <f aca="false">AA11*Delay+AP11</f>
        <v>3</v>
      </c>
      <c r="AT11" s="0" t="n">
        <f aca="false">IF(AS11=MIN(AS10:AS13),1,0)</f>
        <v>0</v>
      </c>
      <c r="AX11" s="0" t="str">
        <f aca="false">B11&amp;C11&amp;D11</f>
        <v>VOE</v>
      </c>
      <c r="AY11" s="1" t="n">
        <f aca="false">AQ11+AR11+AS11</f>
        <v>9</v>
      </c>
      <c r="AZ11" s="1" t="str">
        <f aca="false">RIGHT(AX11,2)</f>
        <v>OE</v>
      </c>
      <c r="BA11" s="1" t="str">
        <f aca="false">LEFT(AX11,1)&amp;RIGHT(AX11,1)</f>
        <v>VE</v>
      </c>
      <c r="BB11" s="1" t="str">
        <f aca="false">LEFT(AX11,2)</f>
        <v>VO</v>
      </c>
      <c r="BC11" s="1" t="n">
        <f aca="false">VLOOKUP(AZ11,TwoPlayers!$AG$1:$AH$17,2,FALSE())</f>
        <v>3</v>
      </c>
      <c r="BD11" s="1" t="n">
        <f aca="false">VLOOKUP(BA11,TwoPlayers!$AG$1:$AH$17,2,FALSE())</f>
        <v>9</v>
      </c>
      <c r="BE11" s="1" t="n">
        <f aca="false">VLOOKUP(BB11,TwoPlayers!$AG$1:$AH$17,2,FALSE())</f>
        <v>6</v>
      </c>
      <c r="BF11" s="1" t="n">
        <f aca="false">$AY11-BC11</f>
        <v>6</v>
      </c>
      <c r="BG11" s="1" t="n">
        <f aca="false">$AY11-BD11</f>
        <v>0</v>
      </c>
      <c r="BH11" s="1" t="n">
        <f aca="false">$AY11-BE11</f>
        <v>3</v>
      </c>
      <c r="BJ11" s="0" t="n">
        <f aca="false">AQ11+BF11</f>
        <v>12</v>
      </c>
      <c r="BK11" s="0" t="n">
        <f aca="false">AR11+BG11</f>
        <v>0</v>
      </c>
      <c r="BL11" s="0" t="n">
        <f aca="false">AS11+BH11</f>
        <v>6</v>
      </c>
      <c r="BM11" s="0" t="n">
        <f aca="false">IF(BL11=MIN(BL10:BL14),1,0)</f>
        <v>1</v>
      </c>
    </row>
    <row r="12" customFormat="false" ht="13" hidden="false" customHeight="false" outlineLevel="0" collapsed="false">
      <c r="A12" s="0" t="n">
        <v>11</v>
      </c>
      <c r="B12" s="0" t="s">
        <v>1</v>
      </c>
      <c r="C12" s="0" t="s">
        <v>3</v>
      </c>
      <c r="D12" s="0" t="s">
        <v>3</v>
      </c>
      <c r="E12" s="0" t="n">
        <f aca="false">(IF($B12="V",1,0))+IF($C12="V",1,0)+IF($D12="V",1,0)</f>
        <v>1</v>
      </c>
      <c r="F12" s="0" t="n">
        <f aca="false">(IF($B12="E",1,0))+IF($C12="E",1,0)+IF($D12="E",1,0)</f>
        <v>0</v>
      </c>
      <c r="G12" s="0" t="n">
        <f aca="false">(IF($B12="O",1,0))+IF($C12="O",1,0)+IF($D12="O",1,0)</f>
        <v>2</v>
      </c>
      <c r="H12" s="0" t="n">
        <f aca="false">(IF($B12="L",1,0))+IF($C12="L",1,0)+IF($D12="L",1,0)</f>
        <v>0</v>
      </c>
      <c r="I12" s="0" t="n">
        <f aca="false">(IF(B12="V",1,0))</f>
        <v>1</v>
      </c>
      <c r="J12" s="0" t="n">
        <f aca="false">(IF(B12="E",1,0))</f>
        <v>0</v>
      </c>
      <c r="K12" s="0" t="n">
        <f aca="false">(IF(B12="O",1,0))</f>
        <v>0</v>
      </c>
      <c r="L12" s="0" t="n">
        <f aca="false">(IF(B12="L",1,0))</f>
        <v>0</v>
      </c>
      <c r="M12" s="0" t="n">
        <f aca="false">(IF(C12="V",1,0))</f>
        <v>0</v>
      </c>
      <c r="N12" s="0" t="n">
        <f aca="false">(IF(C12="E",1,0))</f>
        <v>0</v>
      </c>
      <c r="O12" s="0" t="n">
        <f aca="false">(IF(C12="O",1,0))</f>
        <v>1</v>
      </c>
      <c r="P12" s="0" t="n">
        <f aca="false">(IF(C12="L",1,0))</f>
        <v>0</v>
      </c>
      <c r="Q12" s="0" t="n">
        <f aca="false">(IF(D12="V",1,0))</f>
        <v>0</v>
      </c>
      <c r="R12" s="0" t="n">
        <f aca="false">(IF(D12="E",1,0))</f>
        <v>0</v>
      </c>
      <c r="S12" s="0" t="n">
        <f aca="false">(IF(D12="O",1,0))</f>
        <v>1</v>
      </c>
      <c r="T12" s="0" t="n">
        <f aca="false">(IF(D12="L",1,0))</f>
        <v>0</v>
      </c>
      <c r="U12" s="0" t="n">
        <f aca="false">MAX(E12-1,0)</f>
        <v>0</v>
      </c>
      <c r="V12" s="0" t="n">
        <f aca="false">MAX(U12-1+F12,0)</f>
        <v>0</v>
      </c>
      <c r="W12" s="0" t="n">
        <f aca="false">MAX(V12-1+G12,0)</f>
        <v>1</v>
      </c>
      <c r="X12" s="0" t="n">
        <f aca="false">MAX(W12-1+H12,0)</f>
        <v>0</v>
      </c>
      <c r="Y12" s="1" t="n">
        <f aca="false">0.5*(E12*I12+F12*J12+G12*K12+H12*L12-1)+(0+$U12*J12+$V12*K12+$W12*L12)</f>
        <v>0</v>
      </c>
      <c r="Z12" s="1" t="n">
        <f aca="false">0.5*(E12*M12+F12*N12+G12*O12+H12*P12-1)+(0+$U12*N12+$V12*O12+$W12*P12)</f>
        <v>0.5</v>
      </c>
      <c r="AA12" s="1" t="n">
        <f aca="false">0.5*(E12*Q12+F12*R12+G12*S12+H12*T12-1)+(0+$U12*R12+$V12*S12+$W12*T12)</f>
        <v>0.5</v>
      </c>
      <c r="AB12" s="0" t="n">
        <f aca="false">IF(B12="V",-2,0)+IF(B12="E",-1,0)+IF(B12="O",0,0)+IF(B12="L",1,0)+Y12</f>
        <v>-2</v>
      </c>
      <c r="AC12" s="0" t="n">
        <f aca="false">IF(C12="V",-2,0)+IF(C12="E",-1,0)+IF(C12="O",0,0)+IF(C12="L",1,0)+Z12</f>
        <v>0.5</v>
      </c>
      <c r="AD12" s="0" t="n">
        <f aca="false">IF(D12="V",-2,0)+IF(D12="E",-1,0)+IF(D12="O",0,0)+IF(D12="L",1,0)+AA12</f>
        <v>0.5</v>
      </c>
      <c r="AE12" s="1" t="n">
        <f aca="false">IF(B12="V",-2,0)+IF(B12="E",-1,0)+IF(B12="O",0,0)+IF(B12="L",1,0)</f>
        <v>-2</v>
      </c>
      <c r="AF12" s="1" t="n">
        <f aca="false">IF(B12="V",-2,0)+IF(B12="E",-1,0)+IF(B12="O",0,0)+IF(B12="L",1,0)+Y12</f>
        <v>-2</v>
      </c>
      <c r="AG12" s="1" t="n">
        <f aca="false">IF(B12="V",-2,0)+IF(B12="E",-1,0)+IF(B12="O",0,0)+IF(B12="L",1,0)+Y12*2</f>
        <v>-2</v>
      </c>
      <c r="AH12" s="1" t="n">
        <f aca="false">IF(C12="V",-2,0)+IF(C12="E",-1,0)+IF(C12="O",0,0)+IF(C12="L",1,0)</f>
        <v>0</v>
      </c>
      <c r="AI12" s="1" t="n">
        <f aca="false">IF(C12="V",-2,0)+IF(C12="E",-1,0)+IF(C12="O",0,0)+IF(C12="L",1,0)+Z12</f>
        <v>0.5</v>
      </c>
      <c r="AJ12" s="1" t="n">
        <f aca="false">IF(C12="V",-2,0)+IF(C12="E",-1,0)+IF(C12="O",0,0)+IF(C12="L",1,0)+Z12*2</f>
        <v>1</v>
      </c>
      <c r="AK12" s="1" t="n">
        <f aca="false">IF(D12="V",-2,0)+IF(D12="E",-1,0)+IF(D12="O",0,0)+IF(D12="L",1,0)</f>
        <v>0</v>
      </c>
      <c r="AL12" s="1" t="n">
        <f aca="false">IF(D12="V",-2,0)+IF(D12="E",-1,0)+IF(D12="O",0,0)+IF(D12="L",1,0)+AA12</f>
        <v>0.5</v>
      </c>
      <c r="AM12" s="1" t="n">
        <f aca="false">IF(D12="V",-2,0)+IF(D12="E",-1,0)+IF(D12="O",0,0)+IF(D12="L",1,0)+AA12*2</f>
        <v>1</v>
      </c>
      <c r="AN12" s="1" t="n">
        <f aca="false">(ABS(IF(AE12&lt;0,AE12*Early,AE12*Late))+ABS(IF(AF12&lt;0,AF12*Early,AF12*Late))+ABS(IF(AG12&lt;0,AG12*Early,AG12*Late)))/3</f>
        <v>6</v>
      </c>
      <c r="AO12" s="1" t="n">
        <f aca="false">(ABS(IF(AH12&lt;0,AH12*Early,AH12*Late))+ABS(IF(AI12&lt;0,AI12*Early,AI12*Late))+ABS(IF(AJ12&lt;0,AJ12*Early,AJ12*Late)))/3</f>
        <v>2</v>
      </c>
      <c r="AP12" s="1" t="n">
        <f aca="false">(ABS(IF(AK12&lt;0,AK12*Early,AK12*Late))+ABS(IF(AL12&lt;0,AL12*Early,AL12*Late))+ABS(IF(AM12&lt;0,AM12*Early,AM12*Late)))/3</f>
        <v>2</v>
      </c>
      <c r="AQ12" s="0" t="n">
        <f aca="false">Y12*Delay+AN12</f>
        <v>6</v>
      </c>
      <c r="AR12" s="0" t="n">
        <f aca="false">Z12*Delay+AO12</f>
        <v>2.5</v>
      </c>
      <c r="AS12" s="0" t="n">
        <f aca="false">AA12*Delay+AP12</f>
        <v>2.5</v>
      </c>
      <c r="AT12" s="0" t="n">
        <f aca="false">IF(AS12=MIN(AS10:AS13),1,0)</f>
        <v>1</v>
      </c>
      <c r="AX12" s="0" t="str">
        <f aca="false">B12&amp;C12&amp;D12</f>
        <v>VOO</v>
      </c>
      <c r="AY12" s="1" t="n">
        <f aca="false">AQ12+AR12+AS12</f>
        <v>11</v>
      </c>
      <c r="AZ12" s="1" t="str">
        <f aca="false">RIGHT(AX12,2)</f>
        <v>OO</v>
      </c>
      <c r="BA12" s="1" t="str">
        <f aca="false">LEFT(AX12,1)&amp;RIGHT(AX12,1)</f>
        <v>VO</v>
      </c>
      <c r="BB12" s="1" t="str">
        <f aca="false">LEFT(AX12,2)</f>
        <v>VO</v>
      </c>
      <c r="BC12" s="1" t="n">
        <f aca="false">VLOOKUP(AZ12,TwoPlayers!$AG$1:$AH$17,2,FALSE())</f>
        <v>5</v>
      </c>
      <c r="BD12" s="1" t="n">
        <f aca="false">VLOOKUP(BA12,TwoPlayers!$AG$1:$AH$17,2,FALSE())</f>
        <v>6</v>
      </c>
      <c r="BE12" s="1" t="n">
        <f aca="false">VLOOKUP(BB12,TwoPlayers!$AG$1:$AH$17,2,FALSE())</f>
        <v>6</v>
      </c>
      <c r="BF12" s="1" t="n">
        <f aca="false">$AY12-BC12</f>
        <v>6</v>
      </c>
      <c r="BG12" s="1" t="n">
        <f aca="false">$AY12-BD12</f>
        <v>5</v>
      </c>
      <c r="BH12" s="1" t="n">
        <f aca="false">$AY12-BE12</f>
        <v>5</v>
      </c>
      <c r="BJ12" s="0" t="n">
        <f aca="false">AQ12+BF12</f>
        <v>12</v>
      </c>
      <c r="BK12" s="0" t="n">
        <f aca="false">AR12+BG12</f>
        <v>7.5</v>
      </c>
      <c r="BL12" s="0" t="n">
        <f aca="false">AS12+BH12</f>
        <v>7.5</v>
      </c>
      <c r="BM12" s="0" t="n">
        <f aca="false">IF(BL12=MIN(BL10:BL14),1,0)</f>
        <v>0</v>
      </c>
    </row>
    <row r="13" customFormat="false" ht="13" hidden="false" customHeight="false" outlineLevel="0" collapsed="false">
      <c r="A13" s="0" t="n">
        <v>12</v>
      </c>
      <c r="B13" s="0" t="s">
        <v>1</v>
      </c>
      <c r="C13" s="0" t="s">
        <v>3</v>
      </c>
      <c r="D13" s="0" t="s">
        <v>4</v>
      </c>
      <c r="E13" s="0" t="n">
        <f aca="false">(IF($B13="V",1,0))+IF($C13="V",1,0)+IF($D13="V",1,0)</f>
        <v>1</v>
      </c>
      <c r="F13" s="0" t="n">
        <f aca="false">(IF($B13="E",1,0))+IF($C13="E",1,0)+IF($D13="E",1,0)</f>
        <v>0</v>
      </c>
      <c r="G13" s="0" t="n">
        <f aca="false">(IF($B13="O",1,0))+IF($C13="O",1,0)+IF($D13="O",1,0)</f>
        <v>1</v>
      </c>
      <c r="H13" s="0" t="n">
        <f aca="false">(IF($B13="L",1,0))+IF($C13="L",1,0)+IF($D13="L",1,0)</f>
        <v>1</v>
      </c>
      <c r="I13" s="0" t="n">
        <f aca="false">(IF(B13="V",1,0))</f>
        <v>1</v>
      </c>
      <c r="J13" s="0" t="n">
        <f aca="false">(IF(B13="E",1,0))</f>
        <v>0</v>
      </c>
      <c r="K13" s="0" t="n">
        <f aca="false">(IF(B13="O",1,0))</f>
        <v>0</v>
      </c>
      <c r="L13" s="0" t="n">
        <f aca="false">(IF(B13="L",1,0))</f>
        <v>0</v>
      </c>
      <c r="M13" s="0" t="n">
        <f aca="false">(IF(C13="V",1,0))</f>
        <v>0</v>
      </c>
      <c r="N13" s="0" t="n">
        <f aca="false">(IF(C13="E",1,0))</f>
        <v>0</v>
      </c>
      <c r="O13" s="0" t="n">
        <f aca="false">(IF(C13="O",1,0))</f>
        <v>1</v>
      </c>
      <c r="P13" s="0" t="n">
        <f aca="false">(IF(C13="L",1,0))</f>
        <v>0</v>
      </c>
      <c r="Q13" s="0" t="n">
        <f aca="false">(IF(D13="V",1,0))</f>
        <v>0</v>
      </c>
      <c r="R13" s="0" t="n">
        <f aca="false">(IF(D13="E",1,0))</f>
        <v>0</v>
      </c>
      <c r="S13" s="0" t="n">
        <f aca="false">(IF(D13="O",1,0))</f>
        <v>0</v>
      </c>
      <c r="T13" s="0" t="n">
        <f aca="false">(IF(D13="L",1,0))</f>
        <v>1</v>
      </c>
      <c r="U13" s="0" t="n">
        <f aca="false">MAX(E13-1,0)</f>
        <v>0</v>
      </c>
      <c r="V13" s="0" t="n">
        <f aca="false">MAX(U13-1+F13,0)</f>
        <v>0</v>
      </c>
      <c r="W13" s="0" t="n">
        <f aca="false">MAX(V13-1+G13,0)</f>
        <v>0</v>
      </c>
      <c r="X13" s="0" t="n">
        <f aca="false">MAX(W13-1+H13,0)</f>
        <v>0</v>
      </c>
      <c r="Y13" s="1" t="n">
        <f aca="false">0.5*(E13*I13+F13*J13+G13*K13+H13*L13-1)+(0+$U13*J13+$V13*K13+$W13*L13)</f>
        <v>0</v>
      </c>
      <c r="Z13" s="1" t="n">
        <f aca="false">0.5*(E13*M13+F13*N13+G13*O13+H13*P13-1)+(0+$U13*N13+$V13*O13+$W13*P13)</f>
        <v>0</v>
      </c>
      <c r="AA13" s="1" t="n">
        <f aca="false">0.5*(E13*Q13+F13*R13+G13*S13+H13*T13-1)+(0+$U13*R13+$V13*S13+$W13*T13)</f>
        <v>0</v>
      </c>
      <c r="AB13" s="0" t="n">
        <f aca="false">IF(B13="V",-2,0)+IF(B13="E",-1,0)+IF(B13="O",0,0)+IF(B13="L",1,0)+Y13</f>
        <v>-2</v>
      </c>
      <c r="AC13" s="0" t="n">
        <f aca="false">IF(C13="V",-2,0)+IF(C13="E",-1,0)+IF(C13="O",0,0)+IF(C13="L",1,0)+Z13</f>
        <v>0</v>
      </c>
      <c r="AD13" s="0" t="n">
        <f aca="false">IF(D13="V",-2,0)+IF(D13="E",-1,0)+IF(D13="O",0,0)+IF(D13="L",1,0)+AA13</f>
        <v>1</v>
      </c>
      <c r="AE13" s="1" t="n">
        <f aca="false">IF(B13="V",-2,0)+IF(B13="E",-1,0)+IF(B13="O",0,0)+IF(B13="L",1,0)</f>
        <v>-2</v>
      </c>
      <c r="AF13" s="1" t="n">
        <f aca="false">IF(B13="V",-2,0)+IF(B13="E",-1,0)+IF(B13="O",0,0)+IF(B13="L",1,0)+Y13</f>
        <v>-2</v>
      </c>
      <c r="AG13" s="1" t="n">
        <f aca="false">IF(B13="V",-2,0)+IF(B13="E",-1,0)+IF(B13="O",0,0)+IF(B13="L",1,0)+Y13*2</f>
        <v>-2</v>
      </c>
      <c r="AH13" s="1" t="n">
        <f aca="false">IF(C13="V",-2,0)+IF(C13="E",-1,0)+IF(C13="O",0,0)+IF(C13="L",1,0)</f>
        <v>0</v>
      </c>
      <c r="AI13" s="1" t="n">
        <f aca="false">IF(C13="V",-2,0)+IF(C13="E",-1,0)+IF(C13="O",0,0)+IF(C13="L",1,0)+Z13</f>
        <v>0</v>
      </c>
      <c r="AJ13" s="1" t="n">
        <f aca="false">IF(C13="V",-2,0)+IF(C13="E",-1,0)+IF(C13="O",0,0)+IF(C13="L",1,0)+Z13*2</f>
        <v>0</v>
      </c>
      <c r="AK13" s="1" t="n">
        <f aca="false">IF(D13="V",-2,0)+IF(D13="E",-1,0)+IF(D13="O",0,0)+IF(D13="L",1,0)</f>
        <v>1</v>
      </c>
      <c r="AL13" s="1" t="n">
        <f aca="false">IF(D13="V",-2,0)+IF(D13="E",-1,0)+IF(D13="O",0,0)+IF(D13="L",1,0)+AA13</f>
        <v>1</v>
      </c>
      <c r="AM13" s="1" t="n">
        <f aca="false">IF(D13="V",-2,0)+IF(D13="E",-1,0)+IF(D13="O",0,0)+IF(D13="L",1,0)+AA13*2</f>
        <v>1</v>
      </c>
      <c r="AN13" s="1" t="n">
        <f aca="false">(ABS(IF(AE13&lt;0,AE13*Early,AE13*Late))+ABS(IF(AF13&lt;0,AF13*Early,AF13*Late))+ABS(IF(AG13&lt;0,AG13*Early,AG13*Late)))/3</f>
        <v>6</v>
      </c>
      <c r="AO13" s="1" t="n">
        <f aca="false">(ABS(IF(AH13&lt;0,AH13*Early,AH13*Late))+ABS(IF(AI13&lt;0,AI13*Early,AI13*Late))+ABS(IF(AJ13&lt;0,AJ13*Early,AJ13*Late)))/3</f>
        <v>0</v>
      </c>
      <c r="AP13" s="1" t="n">
        <f aca="false">(ABS(IF(AK13&lt;0,AK13*Early,AK13*Late))+ABS(IF(AL13&lt;0,AL13*Early,AL13*Late))+ABS(IF(AM13&lt;0,AM13*Early,AM13*Late)))/3</f>
        <v>4</v>
      </c>
      <c r="AQ13" s="0" t="n">
        <f aca="false">Y13*Delay+AN13</f>
        <v>6</v>
      </c>
      <c r="AR13" s="0" t="n">
        <f aca="false">Z13*Delay+AO13</f>
        <v>0</v>
      </c>
      <c r="AS13" s="0" t="n">
        <f aca="false">AA13*Delay+AP13</f>
        <v>4</v>
      </c>
      <c r="AT13" s="0" t="n">
        <f aca="false">IF(AS13=MIN(AS10:AS13),1,0)</f>
        <v>0</v>
      </c>
      <c r="AX13" s="0" t="str">
        <f aca="false">B13&amp;C13&amp;D13</f>
        <v>VOL</v>
      </c>
      <c r="AY13" s="1" t="n">
        <f aca="false">AQ13+AR13+AS13</f>
        <v>10</v>
      </c>
      <c r="AZ13" s="1" t="str">
        <f aca="false">RIGHT(AX13,2)</f>
        <v>OL</v>
      </c>
      <c r="BA13" s="1" t="str">
        <f aca="false">LEFT(AX13,1)&amp;RIGHT(AX13,1)</f>
        <v>VL</v>
      </c>
      <c r="BB13" s="1" t="str">
        <f aca="false">LEFT(AX13,2)</f>
        <v>VO</v>
      </c>
      <c r="BC13" s="1" t="n">
        <f aca="false">VLOOKUP(AZ13,TwoPlayers!$AG$1:$AH$17,2,FALSE())</f>
        <v>4</v>
      </c>
      <c r="BD13" s="1" t="n">
        <f aca="false">VLOOKUP(BA13,TwoPlayers!$AG$1:$AH$17,2,FALSE())</f>
        <v>10</v>
      </c>
      <c r="BE13" s="1" t="n">
        <f aca="false">VLOOKUP(BB13,TwoPlayers!$AG$1:$AH$17,2,FALSE())</f>
        <v>6</v>
      </c>
      <c r="BF13" s="1" t="n">
        <f aca="false">$AY13-BC13</f>
        <v>6</v>
      </c>
      <c r="BG13" s="1" t="n">
        <f aca="false">$AY13-BD13</f>
        <v>0</v>
      </c>
      <c r="BH13" s="1" t="n">
        <f aca="false">$AY13-BE13</f>
        <v>4</v>
      </c>
      <c r="BJ13" s="0" t="n">
        <f aca="false">AQ13+BF13</f>
        <v>12</v>
      </c>
      <c r="BK13" s="0" t="n">
        <f aca="false">AR13+BG13</f>
        <v>0</v>
      </c>
      <c r="BL13" s="0" t="n">
        <f aca="false">AS13+BH13</f>
        <v>8</v>
      </c>
      <c r="BM13" s="0" t="n">
        <f aca="false">IF(BL13=MIN(BL10:BL14),1,0)</f>
        <v>0</v>
      </c>
    </row>
    <row r="14" customFormat="false" ht="13" hidden="false" customHeight="false" outlineLevel="0" collapsed="false">
      <c r="A14" s="0" t="n">
        <v>13</v>
      </c>
      <c r="B14" s="0" t="s">
        <v>1</v>
      </c>
      <c r="C14" s="0" t="s">
        <v>4</v>
      </c>
      <c r="D14" s="0" t="s">
        <v>1</v>
      </c>
      <c r="E14" s="0" t="n">
        <f aca="false">(IF($B14="V",1,0))+IF($C14="V",1,0)+IF($D14="V",1,0)</f>
        <v>2</v>
      </c>
      <c r="F14" s="0" t="n">
        <f aca="false">(IF($B14="E",1,0))+IF($C14="E",1,0)+IF($D14="E",1,0)</f>
        <v>0</v>
      </c>
      <c r="G14" s="0" t="n">
        <f aca="false">(IF($B14="O",1,0))+IF($C14="O",1,0)+IF($D14="O",1,0)</f>
        <v>0</v>
      </c>
      <c r="H14" s="0" t="n">
        <f aca="false">(IF($B14="L",1,0))+IF($C14="L",1,0)+IF($D14="L",1,0)</f>
        <v>1</v>
      </c>
      <c r="I14" s="0" t="n">
        <f aca="false">(IF(B14="V",1,0))</f>
        <v>1</v>
      </c>
      <c r="J14" s="0" t="n">
        <f aca="false">(IF(B14="E",1,0))</f>
        <v>0</v>
      </c>
      <c r="K14" s="0" t="n">
        <f aca="false">(IF(B14="O",1,0))</f>
        <v>0</v>
      </c>
      <c r="L14" s="0" t="n">
        <f aca="false">(IF(B14="L",1,0))</f>
        <v>0</v>
      </c>
      <c r="M14" s="0" t="n">
        <f aca="false">(IF(C14="V",1,0))</f>
        <v>0</v>
      </c>
      <c r="N14" s="0" t="n">
        <f aca="false">(IF(C14="E",1,0))</f>
        <v>0</v>
      </c>
      <c r="O14" s="0" t="n">
        <f aca="false">(IF(C14="O",1,0))</f>
        <v>0</v>
      </c>
      <c r="P14" s="0" t="n">
        <f aca="false">(IF(C14="L",1,0))</f>
        <v>1</v>
      </c>
      <c r="Q14" s="0" t="n">
        <f aca="false">(IF(D14="V",1,0))</f>
        <v>1</v>
      </c>
      <c r="R14" s="0" t="n">
        <f aca="false">(IF(D14="E",1,0))</f>
        <v>0</v>
      </c>
      <c r="S14" s="0" t="n">
        <f aca="false">(IF(D14="O",1,0))</f>
        <v>0</v>
      </c>
      <c r="T14" s="0" t="n">
        <f aca="false">(IF(D14="L",1,0))</f>
        <v>0</v>
      </c>
      <c r="U14" s="0" t="n">
        <f aca="false">MAX(E14-1,0)</f>
        <v>1</v>
      </c>
      <c r="V14" s="0" t="n">
        <f aca="false">MAX(U14-1+F14,0)</f>
        <v>0</v>
      </c>
      <c r="W14" s="0" t="n">
        <f aca="false">MAX(V14-1+G14,0)</f>
        <v>0</v>
      </c>
      <c r="X14" s="0" t="n">
        <f aca="false">MAX(W14-1+H14,0)</f>
        <v>0</v>
      </c>
      <c r="Y14" s="1" t="n">
        <f aca="false">0.5*(E14*I14+F14*J14+G14*K14+H14*L14-1)+(0+$U14*J14+$V14*K14+$W14*L14)</f>
        <v>0.5</v>
      </c>
      <c r="Z14" s="1" t="n">
        <f aca="false">0.5*(E14*M14+F14*N14+G14*O14+H14*P14-1)+(0+$U14*N14+$V14*O14+$W14*P14)</f>
        <v>0</v>
      </c>
      <c r="AA14" s="1" t="n">
        <f aca="false">0.5*(E14*Q14+F14*R14+G14*S14+H14*T14-1)+(0+$U14*R14+$V14*S14+$W14*T14)</f>
        <v>0.5</v>
      </c>
      <c r="AB14" s="0" t="n">
        <f aca="false">IF(B14="V",-2,0)+IF(B14="E",-1,0)+IF(B14="O",0,0)+IF(B14="L",1,0)+Y14</f>
        <v>-1.5</v>
      </c>
      <c r="AC14" s="0" t="n">
        <f aca="false">IF(C14="V",-2,0)+IF(C14="E",-1,0)+IF(C14="O",0,0)+IF(C14="L",1,0)+Z14</f>
        <v>1</v>
      </c>
      <c r="AD14" s="0" t="n">
        <f aca="false">IF(D14="V",-2,0)+IF(D14="E",-1,0)+IF(D14="O",0,0)+IF(D14="L",1,0)+AA14</f>
        <v>-1.5</v>
      </c>
      <c r="AE14" s="1" t="n">
        <f aca="false">IF(B14="V",-2,0)+IF(B14="E",-1,0)+IF(B14="O",0,0)+IF(B14="L",1,0)</f>
        <v>-2</v>
      </c>
      <c r="AF14" s="1" t="n">
        <f aca="false">IF(B14="V",-2,0)+IF(B14="E",-1,0)+IF(B14="O",0,0)+IF(B14="L",1,0)+Y14</f>
        <v>-1.5</v>
      </c>
      <c r="AG14" s="1" t="n">
        <f aca="false">IF(B14="V",-2,0)+IF(B14="E",-1,0)+IF(B14="O",0,0)+IF(B14="L",1,0)+Y14*2</f>
        <v>-1</v>
      </c>
      <c r="AH14" s="1" t="n">
        <f aca="false">IF(C14="V",-2,0)+IF(C14="E",-1,0)+IF(C14="O",0,0)+IF(C14="L",1,0)</f>
        <v>1</v>
      </c>
      <c r="AI14" s="1" t="n">
        <f aca="false">IF(C14="V",-2,0)+IF(C14="E",-1,0)+IF(C14="O",0,0)+IF(C14="L",1,0)+Z14</f>
        <v>1</v>
      </c>
      <c r="AJ14" s="1" t="n">
        <f aca="false">IF(C14="V",-2,0)+IF(C14="E",-1,0)+IF(C14="O",0,0)+IF(C14="L",1,0)+Z14*2</f>
        <v>1</v>
      </c>
      <c r="AK14" s="1" t="n">
        <f aca="false">IF(D14="V",-2,0)+IF(D14="E",-1,0)+IF(D14="O",0,0)+IF(D14="L",1,0)</f>
        <v>-2</v>
      </c>
      <c r="AL14" s="1" t="n">
        <f aca="false">IF(D14="V",-2,0)+IF(D14="E",-1,0)+IF(D14="O",0,0)+IF(D14="L",1,0)+AA14</f>
        <v>-1.5</v>
      </c>
      <c r="AM14" s="1" t="n">
        <f aca="false">IF(D14="V",-2,0)+IF(D14="E",-1,0)+IF(D14="O",0,0)+IF(D14="L",1,0)+AA14*2</f>
        <v>-1</v>
      </c>
      <c r="AN14" s="1" t="n">
        <f aca="false">(ABS(IF(AE14&lt;0,AE14*Early,AE14*Late))+ABS(IF(AF14&lt;0,AF14*Early,AF14*Late))+ABS(IF(AG14&lt;0,AG14*Early,AG14*Late)))/3</f>
        <v>4.5</v>
      </c>
      <c r="AO14" s="1" t="n">
        <f aca="false">(ABS(IF(AH14&lt;0,AH14*Early,AH14*Late))+ABS(IF(AI14&lt;0,AI14*Early,AI14*Late))+ABS(IF(AJ14&lt;0,AJ14*Early,AJ14*Late)))/3</f>
        <v>4</v>
      </c>
      <c r="AP14" s="1" t="n">
        <f aca="false">(ABS(IF(AK14&lt;0,AK14*Early,AK14*Late))+ABS(IF(AL14&lt;0,AL14*Early,AL14*Late))+ABS(IF(AM14&lt;0,AM14*Early,AM14*Late)))/3</f>
        <v>4.5</v>
      </c>
      <c r="AQ14" s="0" t="n">
        <f aca="false">Y14*Delay+AN14</f>
        <v>5</v>
      </c>
      <c r="AR14" s="0" t="n">
        <f aca="false">Z14*Delay+AO14</f>
        <v>4</v>
      </c>
      <c r="AS14" s="0" t="n">
        <f aca="false">AA14*Delay+AP14</f>
        <v>5</v>
      </c>
      <c r="AT14" s="0" t="n">
        <f aca="false">IF(AS14=MIN(AS14:AS17),1,0)</f>
        <v>0</v>
      </c>
      <c r="AX14" s="0" t="str">
        <f aca="false">B14&amp;C14&amp;D14</f>
        <v>VLV</v>
      </c>
      <c r="AY14" s="1" t="n">
        <f aca="false">AQ14+AR14+AS14</f>
        <v>14</v>
      </c>
      <c r="AZ14" s="1" t="str">
        <f aca="false">RIGHT(AX14,2)</f>
        <v>LV</v>
      </c>
      <c r="BA14" s="1" t="str">
        <f aca="false">LEFT(AX14,1)&amp;RIGHT(AX14,1)</f>
        <v>VV</v>
      </c>
      <c r="BB14" s="1" t="str">
        <f aca="false">LEFT(AX14,2)</f>
        <v>VL</v>
      </c>
      <c r="BC14" s="1" t="n">
        <f aca="false">VLOOKUP(AZ14,TwoPlayers!$AG$1:$AH$17,2,FALSE())</f>
        <v>10</v>
      </c>
      <c r="BD14" s="1" t="n">
        <f aca="false">VLOOKUP(BA14,TwoPlayers!$AG$1:$AH$17,2,FALSE())</f>
        <v>10</v>
      </c>
      <c r="BE14" s="1" t="n">
        <f aca="false">VLOOKUP(BB14,TwoPlayers!$AG$1:$AH$17,2,FALSE())</f>
        <v>10</v>
      </c>
      <c r="BF14" s="1" t="n">
        <f aca="false">$AY14-BC14</f>
        <v>4</v>
      </c>
      <c r="BG14" s="1" t="n">
        <f aca="false">$AY14-BD14</f>
        <v>4</v>
      </c>
      <c r="BH14" s="1" t="n">
        <f aca="false">$AY14-BE14</f>
        <v>4</v>
      </c>
      <c r="BJ14" s="0" t="n">
        <f aca="false">AQ14+BF14</f>
        <v>9</v>
      </c>
      <c r="BK14" s="0" t="n">
        <f aca="false">AR14+BG14</f>
        <v>8</v>
      </c>
      <c r="BL14" s="0" t="n">
        <f aca="false">AS14+BH14</f>
        <v>9</v>
      </c>
      <c r="BM14" s="0" t="n">
        <f aca="false">IF(BL14=MIN(BL14:BL18),1,0)</f>
        <v>0</v>
      </c>
    </row>
    <row r="15" customFormat="false" ht="13" hidden="false" customHeight="false" outlineLevel="0" collapsed="false">
      <c r="A15" s="0" t="n">
        <v>14</v>
      </c>
      <c r="B15" s="0" t="s">
        <v>1</v>
      </c>
      <c r="C15" s="0" t="s">
        <v>4</v>
      </c>
      <c r="D15" s="0" t="s">
        <v>2</v>
      </c>
      <c r="E15" s="0" t="n">
        <f aca="false">(IF($B15="V",1,0))+IF($C15="V",1,0)+IF($D15="V",1,0)</f>
        <v>1</v>
      </c>
      <c r="F15" s="0" t="n">
        <f aca="false">(IF($B15="E",1,0))+IF($C15="E",1,0)+IF($D15="E",1,0)</f>
        <v>1</v>
      </c>
      <c r="G15" s="0" t="n">
        <f aca="false">(IF($B15="O",1,0))+IF($C15="O",1,0)+IF($D15="O",1,0)</f>
        <v>0</v>
      </c>
      <c r="H15" s="0" t="n">
        <f aca="false">(IF($B15="L",1,0))+IF($C15="L",1,0)+IF($D15="L",1,0)</f>
        <v>1</v>
      </c>
      <c r="I15" s="0" t="n">
        <f aca="false">(IF(B15="V",1,0))</f>
        <v>1</v>
      </c>
      <c r="J15" s="0" t="n">
        <f aca="false">(IF(B15="E",1,0))</f>
        <v>0</v>
      </c>
      <c r="K15" s="0" t="n">
        <f aca="false">(IF(B15="O",1,0))</f>
        <v>0</v>
      </c>
      <c r="L15" s="0" t="n">
        <f aca="false">(IF(B15="L",1,0))</f>
        <v>0</v>
      </c>
      <c r="M15" s="0" t="n">
        <f aca="false">(IF(C15="V",1,0))</f>
        <v>0</v>
      </c>
      <c r="N15" s="0" t="n">
        <f aca="false">(IF(C15="E",1,0))</f>
        <v>0</v>
      </c>
      <c r="O15" s="0" t="n">
        <f aca="false">(IF(C15="O",1,0))</f>
        <v>0</v>
      </c>
      <c r="P15" s="0" t="n">
        <f aca="false">(IF(C15="L",1,0))</f>
        <v>1</v>
      </c>
      <c r="Q15" s="0" t="n">
        <f aca="false">(IF(D15="V",1,0))</f>
        <v>0</v>
      </c>
      <c r="R15" s="0" t="n">
        <f aca="false">(IF(D15="E",1,0))</f>
        <v>1</v>
      </c>
      <c r="S15" s="0" t="n">
        <f aca="false">(IF(D15="O",1,0))</f>
        <v>0</v>
      </c>
      <c r="T15" s="0" t="n">
        <f aca="false">(IF(D15="L",1,0))</f>
        <v>0</v>
      </c>
      <c r="U15" s="0" t="n">
        <f aca="false">MAX(E15-1,0)</f>
        <v>0</v>
      </c>
      <c r="V15" s="0" t="n">
        <f aca="false">MAX(U15-1+F15,0)</f>
        <v>0</v>
      </c>
      <c r="W15" s="0" t="n">
        <f aca="false">MAX(V15-1+G15,0)</f>
        <v>0</v>
      </c>
      <c r="X15" s="0" t="n">
        <f aca="false">MAX(W15-1+H15,0)</f>
        <v>0</v>
      </c>
      <c r="Y15" s="1" t="n">
        <f aca="false">0.5*(E15*I15+F15*J15+G15*K15+H15*L15-1)+(0+$U15*J15+$V15*K15+$W15*L15)</f>
        <v>0</v>
      </c>
      <c r="Z15" s="1" t="n">
        <f aca="false">0.5*(E15*M15+F15*N15+G15*O15+H15*P15-1)+(0+$U15*N15+$V15*O15+$W15*P15)</f>
        <v>0</v>
      </c>
      <c r="AA15" s="1" t="n">
        <f aca="false">0.5*(E15*Q15+F15*R15+G15*S15+H15*T15-1)+(0+$U15*R15+$V15*S15+$W15*T15)</f>
        <v>0</v>
      </c>
      <c r="AB15" s="0" t="n">
        <f aca="false">IF(B15="V",-2,0)+IF(B15="E",-1,0)+IF(B15="O",0,0)+IF(B15="L",1,0)+Y15</f>
        <v>-2</v>
      </c>
      <c r="AC15" s="0" t="n">
        <f aca="false">IF(C15="V",-2,0)+IF(C15="E",-1,0)+IF(C15="O",0,0)+IF(C15="L",1,0)+Z15</f>
        <v>1</v>
      </c>
      <c r="AD15" s="0" t="n">
        <f aca="false">IF(D15="V",-2,0)+IF(D15="E",-1,0)+IF(D15="O",0,0)+IF(D15="L",1,0)+AA15</f>
        <v>-1</v>
      </c>
      <c r="AE15" s="1" t="n">
        <f aca="false">IF(B15="V",-2,0)+IF(B15="E",-1,0)+IF(B15="O",0,0)+IF(B15="L",1,0)</f>
        <v>-2</v>
      </c>
      <c r="AF15" s="1" t="n">
        <f aca="false">IF(B15="V",-2,0)+IF(B15="E",-1,0)+IF(B15="O",0,0)+IF(B15="L",1,0)+Y15</f>
        <v>-2</v>
      </c>
      <c r="AG15" s="1" t="n">
        <f aca="false">IF(B15="V",-2,0)+IF(B15="E",-1,0)+IF(B15="O",0,0)+IF(B15="L",1,0)+Y15*2</f>
        <v>-2</v>
      </c>
      <c r="AH15" s="1" t="n">
        <f aca="false">IF(C15="V",-2,0)+IF(C15="E",-1,0)+IF(C15="O",0,0)+IF(C15="L",1,0)</f>
        <v>1</v>
      </c>
      <c r="AI15" s="1" t="n">
        <f aca="false">IF(C15="V",-2,0)+IF(C15="E",-1,0)+IF(C15="O",0,0)+IF(C15="L",1,0)+Z15</f>
        <v>1</v>
      </c>
      <c r="AJ15" s="1" t="n">
        <f aca="false">IF(C15="V",-2,0)+IF(C15="E",-1,0)+IF(C15="O",0,0)+IF(C15="L",1,0)+Z15*2</f>
        <v>1</v>
      </c>
      <c r="AK15" s="1" t="n">
        <f aca="false">IF(D15="V",-2,0)+IF(D15="E",-1,0)+IF(D15="O",0,0)+IF(D15="L",1,0)</f>
        <v>-1</v>
      </c>
      <c r="AL15" s="1" t="n">
        <f aca="false">IF(D15="V",-2,0)+IF(D15="E",-1,0)+IF(D15="O",0,0)+IF(D15="L",1,0)+AA15</f>
        <v>-1</v>
      </c>
      <c r="AM15" s="1" t="n">
        <f aca="false">IF(D15="V",-2,0)+IF(D15="E",-1,0)+IF(D15="O",0,0)+IF(D15="L",1,0)+AA15*2</f>
        <v>-1</v>
      </c>
      <c r="AN15" s="1" t="n">
        <f aca="false">(ABS(IF(AE15&lt;0,AE15*Early,AE15*Late))+ABS(IF(AF15&lt;0,AF15*Early,AF15*Late))+ABS(IF(AG15&lt;0,AG15*Early,AG15*Late)))/3</f>
        <v>6</v>
      </c>
      <c r="AO15" s="1" t="n">
        <f aca="false">(ABS(IF(AH15&lt;0,AH15*Early,AH15*Late))+ABS(IF(AI15&lt;0,AI15*Early,AI15*Late))+ABS(IF(AJ15&lt;0,AJ15*Early,AJ15*Late)))/3</f>
        <v>4</v>
      </c>
      <c r="AP15" s="1" t="n">
        <f aca="false">(ABS(IF(AK15&lt;0,AK15*Early,AK15*Late))+ABS(IF(AL15&lt;0,AL15*Early,AL15*Late))+ABS(IF(AM15&lt;0,AM15*Early,AM15*Late)))/3</f>
        <v>3</v>
      </c>
      <c r="AQ15" s="0" t="n">
        <f aca="false">Y15*Delay+AN15</f>
        <v>6</v>
      </c>
      <c r="AR15" s="0" t="n">
        <f aca="false">Z15*Delay+AO15</f>
        <v>4</v>
      </c>
      <c r="AS15" s="0" t="n">
        <f aca="false">AA15*Delay+AP15</f>
        <v>3</v>
      </c>
      <c r="AT15" s="0" t="n">
        <f aca="false">IF(AS15=MIN(AS14:AS17),1,0)</f>
        <v>0</v>
      </c>
      <c r="AX15" s="0" t="str">
        <f aca="false">B15&amp;C15&amp;D15</f>
        <v>VLE</v>
      </c>
      <c r="AY15" s="1" t="n">
        <f aca="false">AQ15+AR15+AS15</f>
        <v>13</v>
      </c>
      <c r="AZ15" s="1" t="str">
        <f aca="false">RIGHT(AX15,2)</f>
        <v>LE</v>
      </c>
      <c r="BA15" s="1" t="str">
        <f aca="false">LEFT(AX15,1)&amp;RIGHT(AX15,1)</f>
        <v>VE</v>
      </c>
      <c r="BB15" s="1" t="str">
        <f aca="false">LEFT(AX15,2)</f>
        <v>VL</v>
      </c>
      <c r="BC15" s="1" t="n">
        <f aca="false">VLOOKUP(AZ15,TwoPlayers!$AG$1:$AH$17,2,FALSE())</f>
        <v>7</v>
      </c>
      <c r="BD15" s="1" t="n">
        <f aca="false">VLOOKUP(BA15,TwoPlayers!$AG$1:$AH$17,2,FALSE())</f>
        <v>9</v>
      </c>
      <c r="BE15" s="1" t="n">
        <f aca="false">VLOOKUP(BB15,TwoPlayers!$AG$1:$AH$17,2,FALSE())</f>
        <v>10</v>
      </c>
      <c r="BF15" s="1" t="n">
        <f aca="false">$AY15-BC15</f>
        <v>6</v>
      </c>
      <c r="BG15" s="1" t="n">
        <f aca="false">$AY15-BD15</f>
        <v>4</v>
      </c>
      <c r="BH15" s="1" t="n">
        <f aca="false">$AY15-BE15</f>
        <v>3</v>
      </c>
      <c r="BJ15" s="0" t="n">
        <f aca="false">AQ15+BF15</f>
        <v>12</v>
      </c>
      <c r="BK15" s="0" t="n">
        <f aca="false">AR15+BG15</f>
        <v>8</v>
      </c>
      <c r="BL15" s="0" t="n">
        <f aca="false">AS15+BH15</f>
        <v>6</v>
      </c>
      <c r="BM15" s="0" t="n">
        <f aca="false">IF(BL15=MIN(BL14:BL18),1,0)</f>
        <v>0</v>
      </c>
    </row>
    <row r="16" customFormat="false" ht="13" hidden="false" customHeight="false" outlineLevel="0" collapsed="false">
      <c r="A16" s="0" t="n">
        <v>15</v>
      </c>
      <c r="B16" s="0" t="s">
        <v>1</v>
      </c>
      <c r="C16" s="0" t="s">
        <v>4</v>
      </c>
      <c r="D16" s="0" t="s">
        <v>3</v>
      </c>
      <c r="E16" s="0" t="n">
        <f aca="false">(IF($B16="V",1,0))+IF($C16="V",1,0)+IF($D16="V",1,0)</f>
        <v>1</v>
      </c>
      <c r="F16" s="0" t="n">
        <f aca="false">(IF($B16="E",1,0))+IF($C16="E",1,0)+IF($D16="E",1,0)</f>
        <v>0</v>
      </c>
      <c r="G16" s="0" t="n">
        <f aca="false">(IF($B16="O",1,0))+IF($C16="O",1,0)+IF($D16="O",1,0)</f>
        <v>1</v>
      </c>
      <c r="H16" s="0" t="n">
        <f aca="false">(IF($B16="L",1,0))+IF($C16="L",1,0)+IF($D16="L",1,0)</f>
        <v>1</v>
      </c>
      <c r="I16" s="0" t="n">
        <f aca="false">(IF(B16="V",1,0))</f>
        <v>1</v>
      </c>
      <c r="J16" s="0" t="n">
        <f aca="false">(IF(B16="E",1,0))</f>
        <v>0</v>
      </c>
      <c r="K16" s="0" t="n">
        <f aca="false">(IF(B16="O",1,0))</f>
        <v>0</v>
      </c>
      <c r="L16" s="0" t="n">
        <f aca="false">(IF(B16="L",1,0))</f>
        <v>0</v>
      </c>
      <c r="M16" s="0" t="n">
        <f aca="false">(IF(C16="V",1,0))</f>
        <v>0</v>
      </c>
      <c r="N16" s="0" t="n">
        <f aca="false">(IF(C16="E",1,0))</f>
        <v>0</v>
      </c>
      <c r="O16" s="0" t="n">
        <f aca="false">(IF(C16="O",1,0))</f>
        <v>0</v>
      </c>
      <c r="P16" s="0" t="n">
        <f aca="false">(IF(C16="L",1,0))</f>
        <v>1</v>
      </c>
      <c r="Q16" s="0" t="n">
        <f aca="false">(IF(D16="V",1,0))</f>
        <v>0</v>
      </c>
      <c r="R16" s="0" t="n">
        <f aca="false">(IF(D16="E",1,0))</f>
        <v>0</v>
      </c>
      <c r="S16" s="0" t="n">
        <f aca="false">(IF(D16="O",1,0))</f>
        <v>1</v>
      </c>
      <c r="T16" s="0" t="n">
        <f aca="false">(IF(D16="L",1,0))</f>
        <v>0</v>
      </c>
      <c r="U16" s="0" t="n">
        <f aca="false">MAX(E16-1,0)</f>
        <v>0</v>
      </c>
      <c r="V16" s="0" t="n">
        <f aca="false">MAX(U16-1+F16,0)</f>
        <v>0</v>
      </c>
      <c r="W16" s="0" t="n">
        <f aca="false">MAX(V16-1+G16,0)</f>
        <v>0</v>
      </c>
      <c r="X16" s="0" t="n">
        <f aca="false">MAX(W16-1+H16,0)</f>
        <v>0</v>
      </c>
      <c r="Y16" s="1" t="n">
        <f aca="false">0.5*(E16*I16+F16*J16+G16*K16+H16*L16-1)+(0+$U16*J16+$V16*K16+$W16*L16)</f>
        <v>0</v>
      </c>
      <c r="Z16" s="1" t="n">
        <f aca="false">0.5*(E16*M16+F16*N16+G16*O16+H16*P16-1)+(0+$U16*N16+$V16*O16+$W16*P16)</f>
        <v>0</v>
      </c>
      <c r="AA16" s="1" t="n">
        <f aca="false">0.5*(E16*Q16+F16*R16+G16*S16+H16*T16-1)+(0+$U16*R16+$V16*S16+$W16*T16)</f>
        <v>0</v>
      </c>
      <c r="AB16" s="0" t="n">
        <f aca="false">IF(B16="V",-2,0)+IF(B16="E",-1,0)+IF(B16="O",0,0)+IF(B16="L",1,0)+Y16</f>
        <v>-2</v>
      </c>
      <c r="AC16" s="0" t="n">
        <f aca="false">IF(C16="V",-2,0)+IF(C16="E",-1,0)+IF(C16="O",0,0)+IF(C16="L",1,0)+Z16</f>
        <v>1</v>
      </c>
      <c r="AD16" s="0" t="n">
        <f aca="false">IF(D16="V",-2,0)+IF(D16="E",-1,0)+IF(D16="O",0,0)+IF(D16="L",1,0)+AA16</f>
        <v>0</v>
      </c>
      <c r="AE16" s="1" t="n">
        <f aca="false">IF(B16="V",-2,0)+IF(B16="E",-1,0)+IF(B16="O",0,0)+IF(B16="L",1,0)</f>
        <v>-2</v>
      </c>
      <c r="AF16" s="1" t="n">
        <f aca="false">IF(B16="V",-2,0)+IF(B16="E",-1,0)+IF(B16="O",0,0)+IF(B16="L",1,0)+Y16</f>
        <v>-2</v>
      </c>
      <c r="AG16" s="1" t="n">
        <f aca="false">IF(B16="V",-2,0)+IF(B16="E",-1,0)+IF(B16="O",0,0)+IF(B16="L",1,0)+Y16*2</f>
        <v>-2</v>
      </c>
      <c r="AH16" s="1" t="n">
        <f aca="false">IF(C16="V",-2,0)+IF(C16="E",-1,0)+IF(C16="O",0,0)+IF(C16="L",1,0)</f>
        <v>1</v>
      </c>
      <c r="AI16" s="1" t="n">
        <f aca="false">IF(C16="V",-2,0)+IF(C16="E",-1,0)+IF(C16="O",0,0)+IF(C16="L",1,0)+Z16</f>
        <v>1</v>
      </c>
      <c r="AJ16" s="1" t="n">
        <f aca="false">IF(C16="V",-2,0)+IF(C16="E",-1,0)+IF(C16="O",0,0)+IF(C16="L",1,0)+Z16*2</f>
        <v>1</v>
      </c>
      <c r="AK16" s="1" t="n">
        <f aca="false">IF(D16="V",-2,0)+IF(D16="E",-1,0)+IF(D16="O",0,0)+IF(D16="L",1,0)</f>
        <v>0</v>
      </c>
      <c r="AL16" s="1" t="n">
        <f aca="false">IF(D16="V",-2,0)+IF(D16="E",-1,0)+IF(D16="O",0,0)+IF(D16="L",1,0)+AA16</f>
        <v>0</v>
      </c>
      <c r="AM16" s="1" t="n">
        <f aca="false">IF(D16="V",-2,0)+IF(D16="E",-1,0)+IF(D16="O",0,0)+IF(D16="L",1,0)+AA16*2</f>
        <v>0</v>
      </c>
      <c r="AN16" s="1" t="n">
        <f aca="false">(ABS(IF(AE16&lt;0,AE16*Early,AE16*Late))+ABS(IF(AF16&lt;0,AF16*Early,AF16*Late))+ABS(IF(AG16&lt;0,AG16*Early,AG16*Late)))/3</f>
        <v>6</v>
      </c>
      <c r="AO16" s="1" t="n">
        <f aca="false">(ABS(IF(AH16&lt;0,AH16*Early,AH16*Late))+ABS(IF(AI16&lt;0,AI16*Early,AI16*Late))+ABS(IF(AJ16&lt;0,AJ16*Early,AJ16*Late)))/3</f>
        <v>4</v>
      </c>
      <c r="AP16" s="1" t="n">
        <f aca="false">(ABS(IF(AK16&lt;0,AK16*Early,AK16*Late))+ABS(IF(AL16&lt;0,AL16*Early,AL16*Late))+ABS(IF(AM16&lt;0,AM16*Early,AM16*Late)))/3</f>
        <v>0</v>
      </c>
      <c r="AQ16" s="0" t="n">
        <f aca="false">Y16*Delay+AN16</f>
        <v>6</v>
      </c>
      <c r="AR16" s="0" t="n">
        <f aca="false">Z16*Delay+AO16</f>
        <v>4</v>
      </c>
      <c r="AS16" s="0" t="n">
        <f aca="false">AA16*Delay+AP16</f>
        <v>0</v>
      </c>
      <c r="AT16" s="0" t="n">
        <f aca="false">IF(AS16=MIN(AS14:AS17),1,0)</f>
        <v>1</v>
      </c>
      <c r="AX16" s="0" t="str">
        <f aca="false">B16&amp;C16&amp;D16</f>
        <v>VLO</v>
      </c>
      <c r="AY16" s="1" t="n">
        <f aca="false">AQ16+AR16+AS16</f>
        <v>10</v>
      </c>
      <c r="AZ16" s="1" t="str">
        <f aca="false">RIGHT(AX16,2)</f>
        <v>LO</v>
      </c>
      <c r="BA16" s="1" t="str">
        <f aca="false">LEFT(AX16,1)&amp;RIGHT(AX16,1)</f>
        <v>VO</v>
      </c>
      <c r="BB16" s="1" t="str">
        <f aca="false">LEFT(AX16,2)</f>
        <v>VL</v>
      </c>
      <c r="BC16" s="1" t="n">
        <f aca="false">VLOOKUP(AZ16,TwoPlayers!$AG$1:$AH$17,2,FALSE())</f>
        <v>4</v>
      </c>
      <c r="BD16" s="1" t="n">
        <f aca="false">VLOOKUP(BA16,TwoPlayers!$AG$1:$AH$17,2,FALSE())</f>
        <v>6</v>
      </c>
      <c r="BE16" s="1" t="n">
        <f aca="false">VLOOKUP(BB16,TwoPlayers!$AG$1:$AH$17,2,FALSE())</f>
        <v>10</v>
      </c>
      <c r="BF16" s="1" t="n">
        <f aca="false">$AY16-BC16</f>
        <v>6</v>
      </c>
      <c r="BG16" s="1" t="n">
        <f aca="false">$AY16-BD16</f>
        <v>4</v>
      </c>
      <c r="BH16" s="1" t="n">
        <f aca="false">$AY16-BE16</f>
        <v>0</v>
      </c>
      <c r="BJ16" s="0" t="n">
        <f aca="false">AQ16+BF16</f>
        <v>12</v>
      </c>
      <c r="BK16" s="0" t="n">
        <f aca="false">AR16+BG16</f>
        <v>8</v>
      </c>
      <c r="BL16" s="0" t="n">
        <f aca="false">AS16+BH16</f>
        <v>0</v>
      </c>
      <c r="BM16" s="0" t="n">
        <f aca="false">IF(BL16=MIN(BL14:BL18),1,0)</f>
        <v>1</v>
      </c>
    </row>
    <row r="17" customFormat="false" ht="13" hidden="false" customHeight="false" outlineLevel="0" collapsed="false">
      <c r="A17" s="0" t="n">
        <v>16</v>
      </c>
      <c r="B17" s="0" t="s">
        <v>1</v>
      </c>
      <c r="C17" s="0" t="s">
        <v>4</v>
      </c>
      <c r="D17" s="0" t="s">
        <v>4</v>
      </c>
      <c r="E17" s="0" t="n">
        <f aca="false">(IF($B17="V",1,0))+IF($C17="V",1,0)+IF($D17="V",1,0)</f>
        <v>1</v>
      </c>
      <c r="F17" s="0" t="n">
        <f aca="false">(IF($B17="E",1,0))+IF($C17="E",1,0)+IF($D17="E",1,0)</f>
        <v>0</v>
      </c>
      <c r="G17" s="0" t="n">
        <f aca="false">(IF($B17="O",1,0))+IF($C17="O",1,0)+IF($D17="O",1,0)</f>
        <v>0</v>
      </c>
      <c r="H17" s="0" t="n">
        <f aca="false">(IF($B17="L",1,0))+IF($C17="L",1,0)+IF($D17="L",1,0)</f>
        <v>2</v>
      </c>
      <c r="I17" s="0" t="n">
        <f aca="false">(IF(B17="V",1,0))</f>
        <v>1</v>
      </c>
      <c r="J17" s="0" t="n">
        <f aca="false">(IF(B17="E",1,0))</f>
        <v>0</v>
      </c>
      <c r="K17" s="0" t="n">
        <f aca="false">(IF(B17="O",1,0))</f>
        <v>0</v>
      </c>
      <c r="L17" s="0" t="n">
        <f aca="false">(IF(B17="L",1,0))</f>
        <v>0</v>
      </c>
      <c r="M17" s="0" t="n">
        <f aca="false">(IF(C17="V",1,0))</f>
        <v>0</v>
      </c>
      <c r="N17" s="0" t="n">
        <f aca="false">(IF(C17="E",1,0))</f>
        <v>0</v>
      </c>
      <c r="O17" s="0" t="n">
        <f aca="false">(IF(C17="O",1,0))</f>
        <v>0</v>
      </c>
      <c r="P17" s="0" t="n">
        <f aca="false">(IF(C17="L",1,0))</f>
        <v>1</v>
      </c>
      <c r="Q17" s="0" t="n">
        <f aca="false">(IF(D17="V",1,0))</f>
        <v>0</v>
      </c>
      <c r="R17" s="0" t="n">
        <f aca="false">(IF(D17="E",1,0))</f>
        <v>0</v>
      </c>
      <c r="S17" s="0" t="n">
        <f aca="false">(IF(D17="O",1,0))</f>
        <v>0</v>
      </c>
      <c r="T17" s="0" t="n">
        <f aca="false">(IF(D17="L",1,0))</f>
        <v>1</v>
      </c>
      <c r="U17" s="0" t="n">
        <f aca="false">MAX(E17-1,0)</f>
        <v>0</v>
      </c>
      <c r="V17" s="0" t="n">
        <f aca="false">MAX(U17-1+F17,0)</f>
        <v>0</v>
      </c>
      <c r="W17" s="0" t="n">
        <f aca="false">MAX(V17-1+G17,0)</f>
        <v>0</v>
      </c>
      <c r="X17" s="0" t="n">
        <f aca="false">MAX(W17-1+H17,0)</f>
        <v>1</v>
      </c>
      <c r="Y17" s="1" t="n">
        <f aca="false">0.5*(E17*I17+F17*J17+G17*K17+H17*L17-1)+(0+$U17*J17+$V17*K17+$W17*L17)</f>
        <v>0</v>
      </c>
      <c r="Z17" s="1" t="n">
        <f aca="false">0.5*(E17*M17+F17*N17+G17*O17+H17*P17-1)+(0+$U17*N17+$V17*O17+$W17*P17)</f>
        <v>0.5</v>
      </c>
      <c r="AA17" s="1" t="n">
        <f aca="false">0.5*(E17*Q17+F17*R17+G17*S17+H17*T17-1)+(0+$U17*R17+$V17*S17+$W17*T17)</f>
        <v>0.5</v>
      </c>
      <c r="AB17" s="0" t="n">
        <f aca="false">IF(B17="V",-2,0)+IF(B17="E",-1,0)+IF(B17="O",0,0)+IF(B17="L",1,0)+Y17</f>
        <v>-2</v>
      </c>
      <c r="AC17" s="0" t="n">
        <f aca="false">IF(C17="V",-2,0)+IF(C17="E",-1,0)+IF(C17="O",0,0)+IF(C17="L",1,0)+Z17</f>
        <v>1.5</v>
      </c>
      <c r="AD17" s="0" t="n">
        <f aca="false">IF(D17="V",-2,0)+IF(D17="E",-1,0)+IF(D17="O",0,0)+IF(D17="L",1,0)+AA17</f>
        <v>1.5</v>
      </c>
      <c r="AE17" s="1" t="n">
        <f aca="false">IF(B17="V",-2,0)+IF(B17="E",-1,0)+IF(B17="O",0,0)+IF(B17="L",1,0)</f>
        <v>-2</v>
      </c>
      <c r="AF17" s="1" t="n">
        <f aca="false">IF(B17="V",-2,0)+IF(B17="E",-1,0)+IF(B17="O",0,0)+IF(B17="L",1,0)+Y17</f>
        <v>-2</v>
      </c>
      <c r="AG17" s="1" t="n">
        <f aca="false">IF(B17="V",-2,0)+IF(B17="E",-1,0)+IF(B17="O",0,0)+IF(B17="L",1,0)+Y17*2</f>
        <v>-2</v>
      </c>
      <c r="AH17" s="1" t="n">
        <f aca="false">IF(C17="V",-2,0)+IF(C17="E",-1,0)+IF(C17="O",0,0)+IF(C17="L",1,0)</f>
        <v>1</v>
      </c>
      <c r="AI17" s="1" t="n">
        <f aca="false">IF(C17="V",-2,0)+IF(C17="E",-1,0)+IF(C17="O",0,0)+IF(C17="L",1,0)+Z17</f>
        <v>1.5</v>
      </c>
      <c r="AJ17" s="1" t="n">
        <f aca="false">IF(C17="V",-2,0)+IF(C17="E",-1,0)+IF(C17="O",0,0)+IF(C17="L",1,0)+Z17*2</f>
        <v>2</v>
      </c>
      <c r="AK17" s="1" t="n">
        <f aca="false">IF(D17="V",-2,0)+IF(D17="E",-1,0)+IF(D17="O",0,0)+IF(D17="L",1,0)</f>
        <v>1</v>
      </c>
      <c r="AL17" s="1" t="n">
        <f aca="false">IF(D17="V",-2,0)+IF(D17="E",-1,0)+IF(D17="O",0,0)+IF(D17="L",1,0)+AA17</f>
        <v>1.5</v>
      </c>
      <c r="AM17" s="1" t="n">
        <f aca="false">IF(D17="V",-2,0)+IF(D17="E",-1,0)+IF(D17="O",0,0)+IF(D17="L",1,0)+AA17*2</f>
        <v>2</v>
      </c>
      <c r="AN17" s="1" t="n">
        <f aca="false">(ABS(IF(AE17&lt;0,AE17*Early,AE17*Late))+ABS(IF(AF17&lt;0,AF17*Early,AF17*Late))+ABS(IF(AG17&lt;0,AG17*Early,AG17*Late)))/3</f>
        <v>6</v>
      </c>
      <c r="AO17" s="1" t="n">
        <f aca="false">(ABS(IF(AH17&lt;0,AH17*Early,AH17*Late))+ABS(IF(AI17&lt;0,AI17*Early,AI17*Late))+ABS(IF(AJ17&lt;0,AJ17*Early,AJ17*Late)))/3</f>
        <v>6</v>
      </c>
      <c r="AP17" s="1" t="n">
        <f aca="false">(ABS(IF(AK17&lt;0,AK17*Early,AK17*Late))+ABS(IF(AL17&lt;0,AL17*Early,AL17*Late))+ABS(IF(AM17&lt;0,AM17*Early,AM17*Late)))/3</f>
        <v>6</v>
      </c>
      <c r="AQ17" s="0" t="n">
        <f aca="false">Y17*Delay+AN17</f>
        <v>6</v>
      </c>
      <c r="AR17" s="0" t="n">
        <f aca="false">Z17*Delay+AO17</f>
        <v>6.5</v>
      </c>
      <c r="AS17" s="0" t="n">
        <f aca="false">AA17*Delay+AP17</f>
        <v>6.5</v>
      </c>
      <c r="AT17" s="0" t="n">
        <f aca="false">IF(AS17=MIN(AS14:AS17),1,0)</f>
        <v>0</v>
      </c>
      <c r="AX17" s="0" t="str">
        <f aca="false">B17&amp;C17&amp;D17</f>
        <v>VLL</v>
      </c>
      <c r="AY17" s="1" t="n">
        <f aca="false">AQ17+AR17+AS17</f>
        <v>19</v>
      </c>
      <c r="AZ17" s="1" t="str">
        <f aca="false">RIGHT(AX17,2)</f>
        <v>LL</v>
      </c>
      <c r="BA17" s="1" t="str">
        <f aca="false">LEFT(AX17,1)&amp;RIGHT(AX17,1)</f>
        <v>VL</v>
      </c>
      <c r="BB17" s="1" t="str">
        <f aca="false">LEFT(AX17,2)</f>
        <v>VL</v>
      </c>
      <c r="BC17" s="1" t="n">
        <f aca="false">VLOOKUP(AZ17,TwoPlayers!$AG$1:$AH$17,2,FALSE())</f>
        <v>13</v>
      </c>
      <c r="BD17" s="1" t="n">
        <f aca="false">VLOOKUP(BA17,TwoPlayers!$AG$1:$AH$17,2,FALSE())</f>
        <v>10</v>
      </c>
      <c r="BE17" s="1" t="n">
        <f aca="false">VLOOKUP(BB17,TwoPlayers!$AG$1:$AH$17,2,FALSE())</f>
        <v>10</v>
      </c>
      <c r="BF17" s="1" t="n">
        <f aca="false">$AY17-BC17</f>
        <v>6</v>
      </c>
      <c r="BG17" s="1" t="n">
        <f aca="false">$AY17-BD17</f>
        <v>9</v>
      </c>
      <c r="BH17" s="1" t="n">
        <f aca="false">$AY17-BE17</f>
        <v>9</v>
      </c>
      <c r="BJ17" s="0" t="n">
        <f aca="false">AQ17+BF17</f>
        <v>12</v>
      </c>
      <c r="BK17" s="0" t="n">
        <f aca="false">AR17+BG17</f>
        <v>15.5</v>
      </c>
      <c r="BL17" s="0" t="n">
        <f aca="false">AS17+BH17</f>
        <v>15.5</v>
      </c>
      <c r="BM17" s="0" t="n">
        <f aca="false">IF(BL17=MIN(BL14:BL18),1,0)</f>
        <v>0</v>
      </c>
    </row>
    <row r="18" customFormat="false" ht="13" hidden="false" customHeight="false" outlineLevel="0" collapsed="false">
      <c r="A18" s="0" t="n">
        <v>17</v>
      </c>
      <c r="B18" s="0" t="s">
        <v>2</v>
      </c>
      <c r="C18" s="0" t="s">
        <v>1</v>
      </c>
      <c r="D18" s="0" t="s">
        <v>1</v>
      </c>
      <c r="E18" s="0" t="n">
        <f aca="false">(IF($B18="V",1,0))+IF($C18="V",1,0)+IF($D18="V",1,0)</f>
        <v>2</v>
      </c>
      <c r="F18" s="0" t="n">
        <f aca="false">(IF($B18="E",1,0))+IF($C18="E",1,0)+IF($D18="E",1,0)</f>
        <v>1</v>
      </c>
      <c r="G18" s="0" t="n">
        <f aca="false">(IF($B18="O",1,0))+IF($C18="O",1,0)+IF($D18="O",1,0)</f>
        <v>0</v>
      </c>
      <c r="H18" s="0" t="n">
        <f aca="false">(IF($B18="L",1,0))+IF($C18="L",1,0)+IF($D18="L",1,0)</f>
        <v>0</v>
      </c>
      <c r="I18" s="0" t="n">
        <f aca="false">(IF(B18="V",1,0))</f>
        <v>0</v>
      </c>
      <c r="J18" s="0" t="n">
        <f aca="false">(IF(B18="E",1,0))</f>
        <v>1</v>
      </c>
      <c r="K18" s="0" t="n">
        <f aca="false">(IF(B18="O",1,0))</f>
        <v>0</v>
      </c>
      <c r="L18" s="0" t="n">
        <f aca="false">(IF(B18="L",1,0))</f>
        <v>0</v>
      </c>
      <c r="M18" s="0" t="n">
        <f aca="false">(IF(C18="V",1,0))</f>
        <v>1</v>
      </c>
      <c r="N18" s="0" t="n">
        <f aca="false">(IF(C18="E",1,0))</f>
        <v>0</v>
      </c>
      <c r="O18" s="0" t="n">
        <f aca="false">(IF(C18="O",1,0))</f>
        <v>0</v>
      </c>
      <c r="P18" s="0" t="n">
        <f aca="false">(IF(C18="L",1,0))</f>
        <v>0</v>
      </c>
      <c r="Q18" s="0" t="n">
        <f aca="false">(IF(D18="V",1,0))</f>
        <v>1</v>
      </c>
      <c r="R18" s="0" t="n">
        <f aca="false">(IF(D18="E",1,0))</f>
        <v>0</v>
      </c>
      <c r="S18" s="0" t="n">
        <f aca="false">(IF(D18="O",1,0))</f>
        <v>0</v>
      </c>
      <c r="T18" s="0" t="n">
        <f aca="false">(IF(D18="L",1,0))</f>
        <v>0</v>
      </c>
      <c r="U18" s="0" t="n">
        <f aca="false">MAX(E18-1,0)</f>
        <v>1</v>
      </c>
      <c r="V18" s="0" t="n">
        <f aca="false">MAX(U18-1+F18,0)</f>
        <v>1</v>
      </c>
      <c r="W18" s="0" t="n">
        <f aca="false">MAX(V18-1+G18,0)</f>
        <v>0</v>
      </c>
      <c r="X18" s="0" t="n">
        <f aca="false">MAX(W18-1+H18,0)</f>
        <v>0</v>
      </c>
      <c r="Y18" s="1" t="n">
        <f aca="false">0.5*(E18*I18+F18*J18+G18*K18+H18*L18-1)+(0+$U18*J18+$V18*K18+$W18*L18)</f>
        <v>1</v>
      </c>
      <c r="Z18" s="1" t="n">
        <f aca="false">0.5*(E18*M18+F18*N18+G18*O18+H18*P18-1)+(0+$U18*N18+$V18*O18+$W18*P18)</f>
        <v>0.5</v>
      </c>
      <c r="AA18" s="1" t="n">
        <f aca="false">0.5*(E18*Q18+F18*R18+G18*S18+H18*T18-1)+(0+$U18*R18+$V18*S18+$W18*T18)</f>
        <v>0.5</v>
      </c>
      <c r="AB18" s="0" t="n">
        <f aca="false">IF(B18="V",-2,0)+IF(B18="E",-1,0)+IF(B18="O",0,0)+IF(B18="L",1,0)+Y18</f>
        <v>0</v>
      </c>
      <c r="AC18" s="0" t="n">
        <f aca="false">IF(C18="V",-2,0)+IF(C18="E",-1,0)+IF(C18="O",0,0)+IF(C18="L",1,0)+Z18</f>
        <v>-1.5</v>
      </c>
      <c r="AD18" s="0" t="n">
        <f aca="false">IF(D18="V",-2,0)+IF(D18="E",-1,0)+IF(D18="O",0,0)+IF(D18="L",1,0)+AA18</f>
        <v>-1.5</v>
      </c>
      <c r="AE18" s="1" t="n">
        <f aca="false">IF(B18="V",-2,0)+IF(B18="E",-1,0)+IF(B18="O",0,0)+IF(B18="L",1,0)</f>
        <v>-1</v>
      </c>
      <c r="AF18" s="1" t="n">
        <f aca="false">IF(B18="V",-2,0)+IF(B18="E",-1,0)+IF(B18="O",0,0)+IF(B18="L",1,0)+Y18</f>
        <v>0</v>
      </c>
      <c r="AG18" s="1" t="n">
        <f aca="false">IF(B18="V",-2,0)+IF(B18="E",-1,0)+IF(B18="O",0,0)+IF(B18="L",1,0)+Y18*2</f>
        <v>1</v>
      </c>
      <c r="AH18" s="1" t="n">
        <f aca="false">IF(C18="V",-2,0)+IF(C18="E",-1,0)+IF(C18="O",0,0)+IF(C18="L",1,0)</f>
        <v>-2</v>
      </c>
      <c r="AI18" s="1" t="n">
        <f aca="false">IF(C18="V",-2,0)+IF(C18="E",-1,0)+IF(C18="O",0,0)+IF(C18="L",1,0)+Z18</f>
        <v>-1.5</v>
      </c>
      <c r="AJ18" s="1" t="n">
        <f aca="false">IF(C18="V",-2,0)+IF(C18="E",-1,0)+IF(C18="O",0,0)+IF(C18="L",1,0)+Z18*2</f>
        <v>-1</v>
      </c>
      <c r="AK18" s="1" t="n">
        <f aca="false">IF(D18="V",-2,0)+IF(D18="E",-1,0)+IF(D18="O",0,0)+IF(D18="L",1,0)</f>
        <v>-2</v>
      </c>
      <c r="AL18" s="1" t="n">
        <f aca="false">IF(D18="V",-2,0)+IF(D18="E",-1,0)+IF(D18="O",0,0)+IF(D18="L",1,0)+AA18</f>
        <v>-1.5</v>
      </c>
      <c r="AM18" s="1" t="n">
        <f aca="false">IF(D18="V",-2,0)+IF(D18="E",-1,0)+IF(D18="O",0,0)+IF(D18="L",1,0)+AA18*2</f>
        <v>-1</v>
      </c>
      <c r="AN18" s="1" t="n">
        <f aca="false">(ABS(IF(AE18&lt;0,AE18*Early,AE18*Late))+ABS(IF(AF18&lt;0,AF18*Early,AF18*Late))+ABS(IF(AG18&lt;0,AG18*Early,AG18*Late)))/3</f>
        <v>2.33333333333333</v>
      </c>
      <c r="AO18" s="1" t="n">
        <f aca="false">(ABS(IF(AH18&lt;0,AH18*Early,AH18*Late))+ABS(IF(AI18&lt;0,AI18*Early,AI18*Late))+ABS(IF(AJ18&lt;0,AJ18*Early,AJ18*Late)))/3</f>
        <v>4.5</v>
      </c>
      <c r="AP18" s="1" t="n">
        <f aca="false">(ABS(IF(AK18&lt;0,AK18*Early,AK18*Late))+ABS(IF(AL18&lt;0,AL18*Early,AL18*Late))+ABS(IF(AM18&lt;0,AM18*Early,AM18*Late)))/3</f>
        <v>4.5</v>
      </c>
      <c r="AQ18" s="0" t="n">
        <f aca="false">Y18*Delay+AN18</f>
        <v>3.33333333333333</v>
      </c>
      <c r="AR18" s="0" t="n">
        <f aca="false">Z18*Delay+AO18</f>
        <v>5</v>
      </c>
      <c r="AS18" s="0" t="n">
        <f aca="false">AA18*Delay+AP18</f>
        <v>5</v>
      </c>
      <c r="AT18" s="0" t="n">
        <f aca="false">IF(AS18=MIN(AS18:AS21),1,0)</f>
        <v>0</v>
      </c>
      <c r="AX18" s="0" t="str">
        <f aca="false">B18&amp;C18&amp;D18</f>
        <v>EVV</v>
      </c>
      <c r="AY18" s="1" t="n">
        <f aca="false">AQ18+AR18+AS18</f>
        <v>13.3333333333333</v>
      </c>
      <c r="AZ18" s="1" t="str">
        <f aca="false">RIGHT(AX18,2)</f>
        <v>VV</v>
      </c>
      <c r="BA18" s="1" t="str">
        <f aca="false">LEFT(AX18,1)&amp;RIGHT(AX18,1)</f>
        <v>EV</v>
      </c>
      <c r="BB18" s="1" t="str">
        <f aca="false">LEFT(AX18,2)</f>
        <v>EV</v>
      </c>
      <c r="BC18" s="1" t="n">
        <f aca="false">VLOOKUP(AZ18,TwoPlayers!$AG$1:$AH$17,2,FALSE())</f>
        <v>10</v>
      </c>
      <c r="BD18" s="1" t="n">
        <f aca="false">VLOOKUP(BA18,TwoPlayers!$AG$1:$AH$17,2,FALSE())</f>
        <v>9</v>
      </c>
      <c r="BE18" s="1" t="n">
        <f aca="false">VLOOKUP(BB18,TwoPlayers!$AG$1:$AH$17,2,FALSE())</f>
        <v>9</v>
      </c>
      <c r="BF18" s="1" t="n">
        <f aca="false">$AY18-BC18</f>
        <v>3.33333333333333</v>
      </c>
      <c r="BG18" s="1" t="n">
        <f aca="false">$AY18-BD18</f>
        <v>4.33333333333333</v>
      </c>
      <c r="BH18" s="1" t="n">
        <f aca="false">$AY18-BE18</f>
        <v>4.33333333333333</v>
      </c>
      <c r="BJ18" s="0" t="n">
        <f aca="false">AQ18+BF18</f>
        <v>6.66666666666667</v>
      </c>
      <c r="BK18" s="0" t="n">
        <f aca="false">AR18+BG18</f>
        <v>9.33333333333333</v>
      </c>
      <c r="BL18" s="0" t="n">
        <f aca="false">AS18+BH18</f>
        <v>9.33333333333333</v>
      </c>
      <c r="BM18" s="0" t="n">
        <f aca="false">IF(BL18=MIN(BL18:BL22),1,0)</f>
        <v>0</v>
      </c>
    </row>
    <row r="19" customFormat="false" ht="13" hidden="false" customHeight="false" outlineLevel="0" collapsed="false">
      <c r="A19" s="0" t="n">
        <v>18</v>
      </c>
      <c r="B19" s="0" t="s">
        <v>2</v>
      </c>
      <c r="C19" s="0" t="s">
        <v>1</v>
      </c>
      <c r="D19" s="0" t="s">
        <v>2</v>
      </c>
      <c r="E19" s="0" t="n">
        <f aca="false">(IF($B19="V",1,0))+IF($C19="V",1,0)+IF($D19="V",1,0)</f>
        <v>1</v>
      </c>
      <c r="F19" s="0" t="n">
        <f aca="false">(IF($B19="E",1,0))+IF($C19="E",1,0)+IF($D19="E",1,0)</f>
        <v>2</v>
      </c>
      <c r="G19" s="0" t="n">
        <f aca="false">(IF($B19="O",1,0))+IF($C19="O",1,0)+IF($D19="O",1,0)</f>
        <v>0</v>
      </c>
      <c r="H19" s="0" t="n">
        <f aca="false">(IF($B19="L",1,0))+IF($C19="L",1,0)+IF($D19="L",1,0)</f>
        <v>0</v>
      </c>
      <c r="I19" s="0" t="n">
        <f aca="false">(IF(B19="V",1,0))</f>
        <v>0</v>
      </c>
      <c r="J19" s="0" t="n">
        <f aca="false">(IF(B19="E",1,0))</f>
        <v>1</v>
      </c>
      <c r="K19" s="0" t="n">
        <f aca="false">(IF(B19="O",1,0))</f>
        <v>0</v>
      </c>
      <c r="L19" s="0" t="n">
        <f aca="false">(IF(B19="L",1,0))</f>
        <v>0</v>
      </c>
      <c r="M19" s="0" t="n">
        <f aca="false">(IF(C19="V",1,0))</f>
        <v>1</v>
      </c>
      <c r="N19" s="0" t="n">
        <f aca="false">(IF(C19="E",1,0))</f>
        <v>0</v>
      </c>
      <c r="O19" s="0" t="n">
        <f aca="false">(IF(C19="O",1,0))</f>
        <v>0</v>
      </c>
      <c r="P19" s="0" t="n">
        <f aca="false">(IF(C19="L",1,0))</f>
        <v>0</v>
      </c>
      <c r="Q19" s="0" t="n">
        <f aca="false">(IF(D19="V",1,0))</f>
        <v>0</v>
      </c>
      <c r="R19" s="0" t="n">
        <f aca="false">(IF(D19="E",1,0))</f>
        <v>1</v>
      </c>
      <c r="S19" s="0" t="n">
        <f aca="false">(IF(D19="O",1,0))</f>
        <v>0</v>
      </c>
      <c r="T19" s="0" t="n">
        <f aca="false">(IF(D19="L",1,0))</f>
        <v>0</v>
      </c>
      <c r="U19" s="0" t="n">
        <f aca="false">MAX(E19-1,0)</f>
        <v>0</v>
      </c>
      <c r="V19" s="0" t="n">
        <f aca="false">MAX(U19-1+F19,0)</f>
        <v>1</v>
      </c>
      <c r="W19" s="0" t="n">
        <f aca="false">MAX(V19-1+G19,0)</f>
        <v>0</v>
      </c>
      <c r="X19" s="0" t="n">
        <f aca="false">MAX(W19-1+H19,0)</f>
        <v>0</v>
      </c>
      <c r="Y19" s="1" t="n">
        <f aca="false">0.5*(E19*I19+F19*J19+G19*K19+H19*L19-1)+(0+$U19*J19+$V19*K19+$W19*L19)</f>
        <v>0.5</v>
      </c>
      <c r="Z19" s="1" t="n">
        <f aca="false">0.5*(E19*M19+F19*N19+G19*O19+H19*P19-1)+(0+$U19*N19+$V19*O19+$W19*P19)</f>
        <v>0</v>
      </c>
      <c r="AA19" s="1" t="n">
        <f aca="false">0.5*(E19*Q19+F19*R19+G19*S19+H19*T19-1)+(0+$U19*R19+$V19*S19+$W19*T19)</f>
        <v>0.5</v>
      </c>
      <c r="AB19" s="0" t="n">
        <f aca="false">IF(B19="V",-2,0)+IF(B19="E",-1,0)+IF(B19="O",0,0)+IF(B19="L",1,0)+Y19</f>
        <v>-0.5</v>
      </c>
      <c r="AC19" s="0" t="n">
        <f aca="false">IF(C19="V",-2,0)+IF(C19="E",-1,0)+IF(C19="O",0,0)+IF(C19="L",1,0)+Z19</f>
        <v>-2</v>
      </c>
      <c r="AD19" s="0" t="n">
        <f aca="false">IF(D19="V",-2,0)+IF(D19="E",-1,0)+IF(D19="O",0,0)+IF(D19="L",1,0)+AA19</f>
        <v>-0.5</v>
      </c>
      <c r="AE19" s="1" t="n">
        <f aca="false">IF(B19="V",-2,0)+IF(B19="E",-1,0)+IF(B19="O",0,0)+IF(B19="L",1,0)</f>
        <v>-1</v>
      </c>
      <c r="AF19" s="1" t="n">
        <f aca="false">IF(B19="V",-2,0)+IF(B19="E",-1,0)+IF(B19="O",0,0)+IF(B19="L",1,0)+Y19</f>
        <v>-0.5</v>
      </c>
      <c r="AG19" s="1" t="n">
        <f aca="false">IF(B19="V",-2,0)+IF(B19="E",-1,0)+IF(B19="O",0,0)+IF(B19="L",1,0)+Y19*2</f>
        <v>0</v>
      </c>
      <c r="AH19" s="1" t="n">
        <f aca="false">IF(C19="V",-2,0)+IF(C19="E",-1,0)+IF(C19="O",0,0)+IF(C19="L",1,0)</f>
        <v>-2</v>
      </c>
      <c r="AI19" s="1" t="n">
        <f aca="false">IF(C19="V",-2,0)+IF(C19="E",-1,0)+IF(C19="O",0,0)+IF(C19="L",1,0)+Z19</f>
        <v>-2</v>
      </c>
      <c r="AJ19" s="1" t="n">
        <f aca="false">IF(C19="V",-2,0)+IF(C19="E",-1,0)+IF(C19="O",0,0)+IF(C19="L",1,0)+Z19*2</f>
        <v>-2</v>
      </c>
      <c r="AK19" s="1" t="n">
        <f aca="false">IF(D19="V",-2,0)+IF(D19="E",-1,0)+IF(D19="O",0,0)+IF(D19="L",1,0)</f>
        <v>-1</v>
      </c>
      <c r="AL19" s="1" t="n">
        <f aca="false">IF(D19="V",-2,0)+IF(D19="E",-1,0)+IF(D19="O",0,0)+IF(D19="L",1,0)+AA19</f>
        <v>-0.5</v>
      </c>
      <c r="AM19" s="1" t="n">
        <f aca="false">IF(D19="V",-2,0)+IF(D19="E",-1,0)+IF(D19="O",0,0)+IF(D19="L",1,0)+AA19*2</f>
        <v>0</v>
      </c>
      <c r="AN19" s="1" t="n">
        <f aca="false">(ABS(IF(AE19&lt;0,AE19*Early,AE19*Late))+ABS(IF(AF19&lt;0,AF19*Early,AF19*Late))+ABS(IF(AG19&lt;0,AG19*Early,AG19*Late)))/3</f>
        <v>1.5</v>
      </c>
      <c r="AO19" s="1" t="n">
        <f aca="false">(ABS(IF(AH19&lt;0,AH19*Early,AH19*Late))+ABS(IF(AI19&lt;0,AI19*Early,AI19*Late))+ABS(IF(AJ19&lt;0,AJ19*Early,AJ19*Late)))/3</f>
        <v>6</v>
      </c>
      <c r="AP19" s="1" t="n">
        <f aca="false">(ABS(IF(AK19&lt;0,AK19*Early,AK19*Late))+ABS(IF(AL19&lt;0,AL19*Early,AL19*Late))+ABS(IF(AM19&lt;0,AM19*Early,AM19*Late)))/3</f>
        <v>1.5</v>
      </c>
      <c r="AQ19" s="0" t="n">
        <f aca="false">Y19*Delay+AN19</f>
        <v>2</v>
      </c>
      <c r="AR19" s="0" t="n">
        <f aca="false">Z19*Delay+AO19</f>
        <v>6</v>
      </c>
      <c r="AS19" s="0" t="n">
        <f aca="false">AA19*Delay+AP19</f>
        <v>2</v>
      </c>
      <c r="AT19" s="0" t="n">
        <f aca="false">IF(AS19=MIN(AS18:AS21),1,0)</f>
        <v>0</v>
      </c>
      <c r="AX19" s="0" t="str">
        <f aca="false">B19&amp;C19&amp;D19</f>
        <v>EVE</v>
      </c>
      <c r="AY19" s="1" t="n">
        <f aca="false">AQ19+AR19+AS19</f>
        <v>10</v>
      </c>
      <c r="AZ19" s="1" t="str">
        <f aca="false">RIGHT(AX19,2)</f>
        <v>VE</v>
      </c>
      <c r="BA19" s="1" t="str">
        <f aca="false">LEFT(AX19,1)&amp;RIGHT(AX19,1)</f>
        <v>EE</v>
      </c>
      <c r="BB19" s="1" t="str">
        <f aca="false">LEFT(AX19,2)</f>
        <v>EV</v>
      </c>
      <c r="BC19" s="1" t="n">
        <f aca="false">VLOOKUP(AZ19,TwoPlayers!$AG$1:$AH$17,2,FALSE())</f>
        <v>9</v>
      </c>
      <c r="BD19" s="1" t="n">
        <f aca="false">VLOOKUP(BA19,TwoPlayers!$AG$1:$AH$17,2,FALSE())</f>
        <v>4</v>
      </c>
      <c r="BE19" s="1" t="n">
        <f aca="false">VLOOKUP(BB19,TwoPlayers!$AG$1:$AH$17,2,FALSE())</f>
        <v>9</v>
      </c>
      <c r="BF19" s="1" t="n">
        <f aca="false">$AY19-BC19</f>
        <v>1</v>
      </c>
      <c r="BG19" s="1" t="n">
        <f aca="false">$AY19-BD19</f>
        <v>6</v>
      </c>
      <c r="BH19" s="1" t="n">
        <f aca="false">$AY19-BE19</f>
        <v>1</v>
      </c>
      <c r="BJ19" s="0" t="n">
        <f aca="false">AQ19+BF19</f>
        <v>3</v>
      </c>
      <c r="BK19" s="0" t="n">
        <f aca="false">AR19+BG19</f>
        <v>12</v>
      </c>
      <c r="BL19" s="0" t="n">
        <f aca="false">AS19+BH19</f>
        <v>3</v>
      </c>
      <c r="BM19" s="0" t="n">
        <f aca="false">IF(BL19=MIN(BL18:BL22),1,0)</f>
        <v>0</v>
      </c>
    </row>
    <row r="20" customFormat="false" ht="13" hidden="false" customHeight="false" outlineLevel="0" collapsed="false">
      <c r="A20" s="0" t="n">
        <v>19</v>
      </c>
      <c r="B20" s="0" t="s">
        <v>2</v>
      </c>
      <c r="C20" s="0" t="s">
        <v>1</v>
      </c>
      <c r="D20" s="0" t="s">
        <v>3</v>
      </c>
      <c r="E20" s="0" t="n">
        <f aca="false">(IF($B20="V",1,0))+IF($C20="V",1,0)+IF($D20="V",1,0)</f>
        <v>1</v>
      </c>
      <c r="F20" s="0" t="n">
        <f aca="false">(IF($B20="E",1,0))+IF($C20="E",1,0)+IF($D20="E",1,0)</f>
        <v>1</v>
      </c>
      <c r="G20" s="0" t="n">
        <f aca="false">(IF($B20="O",1,0))+IF($C20="O",1,0)+IF($D20="O",1,0)</f>
        <v>1</v>
      </c>
      <c r="H20" s="0" t="n">
        <f aca="false">(IF($B20="L",1,0))+IF($C20="L",1,0)+IF($D20="L",1,0)</f>
        <v>0</v>
      </c>
      <c r="I20" s="0" t="n">
        <f aca="false">(IF(B20="V",1,0))</f>
        <v>0</v>
      </c>
      <c r="J20" s="0" t="n">
        <f aca="false">(IF(B20="E",1,0))</f>
        <v>1</v>
      </c>
      <c r="K20" s="0" t="n">
        <f aca="false">(IF(B20="O",1,0))</f>
        <v>0</v>
      </c>
      <c r="L20" s="0" t="n">
        <f aca="false">(IF(B20="L",1,0))</f>
        <v>0</v>
      </c>
      <c r="M20" s="0" t="n">
        <f aca="false">(IF(C20="V",1,0))</f>
        <v>1</v>
      </c>
      <c r="N20" s="0" t="n">
        <f aca="false">(IF(C20="E",1,0))</f>
        <v>0</v>
      </c>
      <c r="O20" s="0" t="n">
        <f aca="false">(IF(C20="O",1,0))</f>
        <v>0</v>
      </c>
      <c r="P20" s="0" t="n">
        <f aca="false">(IF(C20="L",1,0))</f>
        <v>0</v>
      </c>
      <c r="Q20" s="0" t="n">
        <f aca="false">(IF(D20="V",1,0))</f>
        <v>0</v>
      </c>
      <c r="R20" s="0" t="n">
        <f aca="false">(IF(D20="E",1,0))</f>
        <v>0</v>
      </c>
      <c r="S20" s="0" t="n">
        <f aca="false">(IF(D20="O",1,0))</f>
        <v>1</v>
      </c>
      <c r="T20" s="0" t="n">
        <f aca="false">(IF(D20="L",1,0))</f>
        <v>0</v>
      </c>
      <c r="U20" s="0" t="n">
        <f aca="false">MAX(E20-1,0)</f>
        <v>0</v>
      </c>
      <c r="V20" s="0" t="n">
        <f aca="false">MAX(U20-1+F20,0)</f>
        <v>0</v>
      </c>
      <c r="W20" s="0" t="n">
        <f aca="false">MAX(V20-1+G20,0)</f>
        <v>0</v>
      </c>
      <c r="X20" s="0" t="n">
        <f aca="false">MAX(W20-1+H20,0)</f>
        <v>0</v>
      </c>
      <c r="Y20" s="1" t="n">
        <f aca="false">0.5*(E20*I20+F20*J20+G20*K20+H20*L20-1)+(0+$U20*J20+$V20*K20+$W20*L20)</f>
        <v>0</v>
      </c>
      <c r="Z20" s="1" t="n">
        <f aca="false">0.5*(E20*M20+F20*N20+G20*O20+H20*P20-1)+(0+$U20*N20+$V20*O20+$W20*P20)</f>
        <v>0</v>
      </c>
      <c r="AA20" s="1" t="n">
        <f aca="false">0.5*(E20*Q20+F20*R20+G20*S20+H20*T20-1)+(0+$U20*R20+$V20*S20+$W20*T20)</f>
        <v>0</v>
      </c>
      <c r="AB20" s="0" t="n">
        <f aca="false">IF(B20="V",-2,0)+IF(B20="E",-1,0)+IF(B20="O",0,0)+IF(B20="L",1,0)+Y20</f>
        <v>-1</v>
      </c>
      <c r="AC20" s="0" t="n">
        <f aca="false">IF(C20="V",-2,0)+IF(C20="E",-1,0)+IF(C20="O",0,0)+IF(C20="L",1,0)+Z20</f>
        <v>-2</v>
      </c>
      <c r="AD20" s="0" t="n">
        <f aca="false">IF(D20="V",-2,0)+IF(D20="E",-1,0)+IF(D20="O",0,0)+IF(D20="L",1,0)+AA20</f>
        <v>0</v>
      </c>
      <c r="AE20" s="1" t="n">
        <f aca="false">IF(B20="V",-2,0)+IF(B20="E",-1,0)+IF(B20="O",0,0)+IF(B20="L",1,0)</f>
        <v>-1</v>
      </c>
      <c r="AF20" s="1" t="n">
        <f aca="false">IF(B20="V",-2,0)+IF(B20="E",-1,0)+IF(B20="O",0,0)+IF(B20="L",1,0)+Y20</f>
        <v>-1</v>
      </c>
      <c r="AG20" s="1" t="n">
        <f aca="false">IF(B20="V",-2,0)+IF(B20="E",-1,0)+IF(B20="O",0,0)+IF(B20="L",1,0)+Y20*2</f>
        <v>-1</v>
      </c>
      <c r="AH20" s="1" t="n">
        <f aca="false">IF(C20="V",-2,0)+IF(C20="E",-1,0)+IF(C20="O",0,0)+IF(C20="L",1,0)</f>
        <v>-2</v>
      </c>
      <c r="AI20" s="1" t="n">
        <f aca="false">IF(C20="V",-2,0)+IF(C20="E",-1,0)+IF(C20="O",0,0)+IF(C20="L",1,0)+Z20</f>
        <v>-2</v>
      </c>
      <c r="AJ20" s="1" t="n">
        <f aca="false">IF(C20="V",-2,0)+IF(C20="E",-1,0)+IF(C20="O",0,0)+IF(C20="L",1,0)+Z20*2</f>
        <v>-2</v>
      </c>
      <c r="AK20" s="1" t="n">
        <f aca="false">IF(D20="V",-2,0)+IF(D20="E",-1,0)+IF(D20="O",0,0)+IF(D20="L",1,0)</f>
        <v>0</v>
      </c>
      <c r="AL20" s="1" t="n">
        <f aca="false">IF(D20="V",-2,0)+IF(D20="E",-1,0)+IF(D20="O",0,0)+IF(D20="L",1,0)+AA20</f>
        <v>0</v>
      </c>
      <c r="AM20" s="1" t="n">
        <f aca="false">IF(D20="V",-2,0)+IF(D20="E",-1,0)+IF(D20="O",0,0)+IF(D20="L",1,0)+AA20*2</f>
        <v>0</v>
      </c>
      <c r="AN20" s="1" t="n">
        <f aca="false">(ABS(IF(AE20&lt;0,AE20*Early,AE20*Late))+ABS(IF(AF20&lt;0,AF20*Early,AF20*Late))+ABS(IF(AG20&lt;0,AG20*Early,AG20*Late)))/3</f>
        <v>3</v>
      </c>
      <c r="AO20" s="1" t="n">
        <f aca="false">(ABS(IF(AH20&lt;0,AH20*Early,AH20*Late))+ABS(IF(AI20&lt;0,AI20*Early,AI20*Late))+ABS(IF(AJ20&lt;0,AJ20*Early,AJ20*Late)))/3</f>
        <v>6</v>
      </c>
      <c r="AP20" s="1" t="n">
        <f aca="false">(ABS(IF(AK20&lt;0,AK20*Early,AK20*Late))+ABS(IF(AL20&lt;0,AL20*Early,AL20*Late))+ABS(IF(AM20&lt;0,AM20*Early,AM20*Late)))/3</f>
        <v>0</v>
      </c>
      <c r="AQ20" s="0" t="n">
        <f aca="false">Y20*Delay+AN20</f>
        <v>3</v>
      </c>
      <c r="AR20" s="0" t="n">
        <f aca="false">Z20*Delay+AO20</f>
        <v>6</v>
      </c>
      <c r="AS20" s="0" t="n">
        <f aca="false">AA20*Delay+AP20</f>
        <v>0</v>
      </c>
      <c r="AT20" s="0" t="n">
        <f aca="false">IF(AS20=MIN(AS18:AS21),1,0)</f>
        <v>1</v>
      </c>
      <c r="AX20" s="0" t="str">
        <f aca="false">B20&amp;C20&amp;D20</f>
        <v>EVO</v>
      </c>
      <c r="AY20" s="1" t="n">
        <f aca="false">AQ20+AR20+AS20</f>
        <v>9</v>
      </c>
      <c r="AZ20" s="1" t="str">
        <f aca="false">RIGHT(AX20,2)</f>
        <v>VO</v>
      </c>
      <c r="BA20" s="1" t="str">
        <f aca="false">LEFT(AX20,1)&amp;RIGHT(AX20,1)</f>
        <v>EO</v>
      </c>
      <c r="BB20" s="1" t="str">
        <f aca="false">LEFT(AX20,2)</f>
        <v>EV</v>
      </c>
      <c r="BC20" s="1" t="n">
        <f aca="false">VLOOKUP(AZ20,TwoPlayers!$AG$1:$AH$17,2,FALSE())</f>
        <v>6</v>
      </c>
      <c r="BD20" s="1" t="n">
        <f aca="false">VLOOKUP(BA20,TwoPlayers!$AG$1:$AH$17,2,FALSE())</f>
        <v>3</v>
      </c>
      <c r="BE20" s="1" t="n">
        <f aca="false">VLOOKUP(BB20,TwoPlayers!$AG$1:$AH$17,2,FALSE())</f>
        <v>9</v>
      </c>
      <c r="BF20" s="1" t="n">
        <f aca="false">$AY20-BC20</f>
        <v>3</v>
      </c>
      <c r="BG20" s="1" t="n">
        <f aca="false">$AY20-BD20</f>
        <v>6</v>
      </c>
      <c r="BH20" s="1" t="n">
        <f aca="false">$AY20-BE20</f>
        <v>0</v>
      </c>
      <c r="BJ20" s="0" t="n">
        <f aca="false">AQ20+BF20</f>
        <v>6</v>
      </c>
      <c r="BK20" s="0" t="n">
        <f aca="false">AR20+BG20</f>
        <v>12</v>
      </c>
      <c r="BL20" s="0" t="n">
        <f aca="false">AS20+BH20</f>
        <v>0</v>
      </c>
      <c r="BM20" s="0" t="n">
        <f aca="false">IF(BL20=MIN(BL18:BL22),1,0)</f>
        <v>1</v>
      </c>
    </row>
    <row r="21" customFormat="false" ht="13" hidden="false" customHeight="false" outlineLevel="0" collapsed="false">
      <c r="A21" s="0" t="n">
        <v>20</v>
      </c>
      <c r="B21" s="0" t="s">
        <v>2</v>
      </c>
      <c r="C21" s="0" t="s">
        <v>1</v>
      </c>
      <c r="D21" s="0" t="s">
        <v>4</v>
      </c>
      <c r="E21" s="0" t="n">
        <f aca="false">(IF($B21="V",1,0))+IF($C21="V",1,0)+IF($D21="V",1,0)</f>
        <v>1</v>
      </c>
      <c r="F21" s="0" t="n">
        <f aca="false">(IF($B21="E",1,0))+IF($C21="E",1,0)+IF($D21="E",1,0)</f>
        <v>1</v>
      </c>
      <c r="G21" s="0" t="n">
        <f aca="false">(IF($B21="O",1,0))+IF($C21="O",1,0)+IF($D21="O",1,0)</f>
        <v>0</v>
      </c>
      <c r="H21" s="0" t="n">
        <f aca="false">(IF($B21="L",1,0))+IF($C21="L",1,0)+IF($D21="L",1,0)</f>
        <v>1</v>
      </c>
      <c r="I21" s="0" t="n">
        <f aca="false">(IF(B21="V",1,0))</f>
        <v>0</v>
      </c>
      <c r="J21" s="0" t="n">
        <f aca="false">(IF(B21="E",1,0))</f>
        <v>1</v>
      </c>
      <c r="K21" s="0" t="n">
        <f aca="false">(IF(B21="O",1,0))</f>
        <v>0</v>
      </c>
      <c r="L21" s="0" t="n">
        <f aca="false">(IF(B21="L",1,0))</f>
        <v>0</v>
      </c>
      <c r="M21" s="0" t="n">
        <f aca="false">(IF(C21="V",1,0))</f>
        <v>1</v>
      </c>
      <c r="N21" s="0" t="n">
        <f aca="false">(IF(C21="E",1,0))</f>
        <v>0</v>
      </c>
      <c r="O21" s="0" t="n">
        <f aca="false">(IF(C21="O",1,0))</f>
        <v>0</v>
      </c>
      <c r="P21" s="0" t="n">
        <f aca="false">(IF(C21="L",1,0))</f>
        <v>0</v>
      </c>
      <c r="Q21" s="0" t="n">
        <f aca="false">(IF(D21="V",1,0))</f>
        <v>0</v>
      </c>
      <c r="R21" s="0" t="n">
        <f aca="false">(IF(D21="E",1,0))</f>
        <v>0</v>
      </c>
      <c r="S21" s="0" t="n">
        <f aca="false">(IF(D21="O",1,0))</f>
        <v>0</v>
      </c>
      <c r="T21" s="0" t="n">
        <f aca="false">(IF(D21="L",1,0))</f>
        <v>1</v>
      </c>
      <c r="U21" s="0" t="n">
        <f aca="false">MAX(E21-1,0)</f>
        <v>0</v>
      </c>
      <c r="V21" s="0" t="n">
        <f aca="false">MAX(U21-1+F21,0)</f>
        <v>0</v>
      </c>
      <c r="W21" s="0" t="n">
        <f aca="false">MAX(V21-1+G21,0)</f>
        <v>0</v>
      </c>
      <c r="X21" s="0" t="n">
        <f aca="false">MAX(W21-1+H21,0)</f>
        <v>0</v>
      </c>
      <c r="Y21" s="1" t="n">
        <f aca="false">0.5*(E21*I21+F21*J21+G21*K21+H21*L21-1)+(0+$U21*J21+$V21*K21+$W21*L21)</f>
        <v>0</v>
      </c>
      <c r="Z21" s="1" t="n">
        <f aca="false">0.5*(E21*M21+F21*N21+G21*O21+H21*P21-1)+(0+$U21*N21+$V21*O21+$W21*P21)</f>
        <v>0</v>
      </c>
      <c r="AA21" s="1" t="n">
        <f aca="false">0.5*(E21*Q21+F21*R21+G21*S21+H21*T21-1)+(0+$U21*R21+$V21*S21+$W21*T21)</f>
        <v>0</v>
      </c>
      <c r="AB21" s="0" t="n">
        <f aca="false">IF(B21="V",-2,0)+IF(B21="E",-1,0)+IF(B21="O",0,0)+IF(B21="L",1,0)+Y21</f>
        <v>-1</v>
      </c>
      <c r="AC21" s="0" t="n">
        <f aca="false">IF(C21="V",-2,0)+IF(C21="E",-1,0)+IF(C21="O",0,0)+IF(C21="L",1,0)+Z21</f>
        <v>-2</v>
      </c>
      <c r="AD21" s="0" t="n">
        <f aca="false">IF(D21="V",-2,0)+IF(D21="E",-1,0)+IF(D21="O",0,0)+IF(D21="L",1,0)+AA21</f>
        <v>1</v>
      </c>
      <c r="AE21" s="1" t="n">
        <f aca="false">IF(B21="V",-2,0)+IF(B21="E",-1,0)+IF(B21="O",0,0)+IF(B21="L",1,0)</f>
        <v>-1</v>
      </c>
      <c r="AF21" s="1" t="n">
        <f aca="false">IF(B21="V",-2,0)+IF(B21="E",-1,0)+IF(B21="O",0,0)+IF(B21="L",1,0)+Y21</f>
        <v>-1</v>
      </c>
      <c r="AG21" s="1" t="n">
        <f aca="false">IF(B21="V",-2,0)+IF(B21="E",-1,0)+IF(B21="O",0,0)+IF(B21="L",1,0)+Y21*2</f>
        <v>-1</v>
      </c>
      <c r="AH21" s="1" t="n">
        <f aca="false">IF(C21="V",-2,0)+IF(C21="E",-1,0)+IF(C21="O",0,0)+IF(C21="L",1,0)</f>
        <v>-2</v>
      </c>
      <c r="AI21" s="1" t="n">
        <f aca="false">IF(C21="V",-2,0)+IF(C21="E",-1,0)+IF(C21="O",0,0)+IF(C21="L",1,0)+Z21</f>
        <v>-2</v>
      </c>
      <c r="AJ21" s="1" t="n">
        <f aca="false">IF(C21="V",-2,0)+IF(C21="E",-1,0)+IF(C21="O",0,0)+IF(C21="L",1,0)+Z21*2</f>
        <v>-2</v>
      </c>
      <c r="AK21" s="1" t="n">
        <f aca="false">IF(D21="V",-2,0)+IF(D21="E",-1,0)+IF(D21="O",0,0)+IF(D21="L",1,0)</f>
        <v>1</v>
      </c>
      <c r="AL21" s="1" t="n">
        <f aca="false">IF(D21="V",-2,0)+IF(D21="E",-1,0)+IF(D21="O",0,0)+IF(D21="L",1,0)+AA21</f>
        <v>1</v>
      </c>
      <c r="AM21" s="1" t="n">
        <f aca="false">IF(D21="V",-2,0)+IF(D21="E",-1,0)+IF(D21="O",0,0)+IF(D21="L",1,0)+AA21*2</f>
        <v>1</v>
      </c>
      <c r="AN21" s="1" t="n">
        <f aca="false">(ABS(IF(AE21&lt;0,AE21*Early,AE21*Late))+ABS(IF(AF21&lt;0,AF21*Early,AF21*Late))+ABS(IF(AG21&lt;0,AG21*Early,AG21*Late)))/3</f>
        <v>3</v>
      </c>
      <c r="AO21" s="1" t="n">
        <f aca="false">(ABS(IF(AH21&lt;0,AH21*Early,AH21*Late))+ABS(IF(AI21&lt;0,AI21*Early,AI21*Late))+ABS(IF(AJ21&lt;0,AJ21*Early,AJ21*Late)))/3</f>
        <v>6</v>
      </c>
      <c r="AP21" s="1" t="n">
        <f aca="false">(ABS(IF(AK21&lt;0,AK21*Early,AK21*Late))+ABS(IF(AL21&lt;0,AL21*Early,AL21*Late))+ABS(IF(AM21&lt;0,AM21*Early,AM21*Late)))/3</f>
        <v>4</v>
      </c>
      <c r="AQ21" s="0" t="n">
        <f aca="false">Y21*Delay+AN21</f>
        <v>3</v>
      </c>
      <c r="AR21" s="0" t="n">
        <f aca="false">Z21*Delay+AO21</f>
        <v>6</v>
      </c>
      <c r="AS21" s="0" t="n">
        <f aca="false">AA21*Delay+AP21</f>
        <v>4</v>
      </c>
      <c r="AT21" s="0" t="n">
        <f aca="false">IF(AS21=MIN(AS18:AS21),1,0)</f>
        <v>0</v>
      </c>
      <c r="AX21" s="0" t="str">
        <f aca="false">B21&amp;C21&amp;D21</f>
        <v>EVL</v>
      </c>
      <c r="AY21" s="1" t="n">
        <f aca="false">AQ21+AR21+AS21</f>
        <v>13</v>
      </c>
      <c r="AZ21" s="1" t="str">
        <f aca="false">RIGHT(AX21,2)</f>
        <v>VL</v>
      </c>
      <c r="BA21" s="1" t="str">
        <f aca="false">LEFT(AX21,1)&amp;RIGHT(AX21,1)</f>
        <v>EL</v>
      </c>
      <c r="BB21" s="1" t="str">
        <f aca="false">LEFT(AX21,2)</f>
        <v>EV</v>
      </c>
      <c r="BC21" s="1" t="n">
        <f aca="false">VLOOKUP(AZ21,TwoPlayers!$AG$1:$AH$17,2,FALSE())</f>
        <v>10</v>
      </c>
      <c r="BD21" s="1" t="n">
        <f aca="false">VLOOKUP(BA21,TwoPlayers!$AG$1:$AH$17,2,FALSE())</f>
        <v>7</v>
      </c>
      <c r="BE21" s="1" t="n">
        <f aca="false">VLOOKUP(BB21,TwoPlayers!$AG$1:$AH$17,2,FALSE())</f>
        <v>9</v>
      </c>
      <c r="BF21" s="1" t="n">
        <f aca="false">$AY21-BC21</f>
        <v>3</v>
      </c>
      <c r="BG21" s="1" t="n">
        <f aca="false">$AY21-BD21</f>
        <v>6</v>
      </c>
      <c r="BH21" s="1" t="n">
        <f aca="false">$AY21-BE21</f>
        <v>4</v>
      </c>
      <c r="BJ21" s="0" t="n">
        <f aca="false">AQ21+BF21</f>
        <v>6</v>
      </c>
      <c r="BK21" s="0" t="n">
        <f aca="false">AR21+BG21</f>
        <v>12</v>
      </c>
      <c r="BL21" s="0" t="n">
        <f aca="false">AS21+BH21</f>
        <v>8</v>
      </c>
      <c r="BM21" s="0" t="n">
        <f aca="false">IF(BL21=MIN(BL18:BL22),1,0)</f>
        <v>0</v>
      </c>
    </row>
    <row r="22" customFormat="false" ht="13" hidden="false" customHeight="false" outlineLevel="0" collapsed="false">
      <c r="A22" s="0" t="n">
        <v>21</v>
      </c>
      <c r="B22" s="0" t="s">
        <v>2</v>
      </c>
      <c r="C22" s="0" t="s">
        <v>2</v>
      </c>
      <c r="D22" s="0" t="s">
        <v>1</v>
      </c>
      <c r="E22" s="0" t="n">
        <f aca="false">(IF($B22="V",1,0))+IF($C22="V",1,0)+IF($D22="V",1,0)</f>
        <v>1</v>
      </c>
      <c r="F22" s="0" t="n">
        <f aca="false">(IF($B22="E",1,0))+IF($C22="E",1,0)+IF($D22="E",1,0)</f>
        <v>2</v>
      </c>
      <c r="G22" s="0" t="n">
        <f aca="false">(IF($B22="O",1,0))+IF($C22="O",1,0)+IF($D22="O",1,0)</f>
        <v>0</v>
      </c>
      <c r="H22" s="0" t="n">
        <f aca="false">(IF($B22="L",1,0))+IF($C22="L",1,0)+IF($D22="L",1,0)</f>
        <v>0</v>
      </c>
      <c r="I22" s="0" t="n">
        <f aca="false">(IF(B22="V",1,0))</f>
        <v>0</v>
      </c>
      <c r="J22" s="0" t="n">
        <f aca="false">(IF(B22="E",1,0))</f>
        <v>1</v>
      </c>
      <c r="K22" s="0" t="n">
        <f aca="false">(IF(B22="O",1,0))</f>
        <v>0</v>
      </c>
      <c r="L22" s="0" t="n">
        <f aca="false">(IF(B22="L",1,0))</f>
        <v>0</v>
      </c>
      <c r="M22" s="0" t="n">
        <f aca="false">(IF(C22="V",1,0))</f>
        <v>0</v>
      </c>
      <c r="N22" s="0" t="n">
        <f aca="false">(IF(C22="E",1,0))</f>
        <v>1</v>
      </c>
      <c r="O22" s="0" t="n">
        <f aca="false">(IF(C22="O",1,0))</f>
        <v>0</v>
      </c>
      <c r="P22" s="0" t="n">
        <f aca="false">(IF(C22="L",1,0))</f>
        <v>0</v>
      </c>
      <c r="Q22" s="0" t="n">
        <f aca="false">(IF(D22="V",1,0))</f>
        <v>1</v>
      </c>
      <c r="R22" s="0" t="n">
        <f aca="false">(IF(D22="E",1,0))</f>
        <v>0</v>
      </c>
      <c r="S22" s="0" t="n">
        <f aca="false">(IF(D22="O",1,0))</f>
        <v>0</v>
      </c>
      <c r="T22" s="0" t="n">
        <f aca="false">(IF(D22="L",1,0))</f>
        <v>0</v>
      </c>
      <c r="U22" s="0" t="n">
        <f aca="false">MAX(E22-1,0)</f>
        <v>0</v>
      </c>
      <c r="V22" s="0" t="n">
        <f aca="false">MAX(U22-1+F22,0)</f>
        <v>1</v>
      </c>
      <c r="W22" s="0" t="n">
        <f aca="false">MAX(V22-1+G22,0)</f>
        <v>0</v>
      </c>
      <c r="X22" s="0" t="n">
        <f aca="false">MAX(W22-1+H22,0)</f>
        <v>0</v>
      </c>
      <c r="Y22" s="1" t="n">
        <f aca="false">0.5*(E22*I22+F22*J22+G22*K22+H22*L22-1)+(0+$U22*J22+$V22*K22+$W22*L22)</f>
        <v>0.5</v>
      </c>
      <c r="Z22" s="1" t="n">
        <f aca="false">0.5*(E22*M22+F22*N22+G22*O22+H22*P22-1)+(0+$U22*N22+$V22*O22+$W22*P22)</f>
        <v>0.5</v>
      </c>
      <c r="AA22" s="1" t="n">
        <f aca="false">0.5*(E22*Q22+F22*R22+G22*S22+H22*T22-1)+(0+$U22*R22+$V22*S22+$W22*T22)</f>
        <v>0</v>
      </c>
      <c r="AB22" s="0" t="n">
        <f aca="false">IF(B22="V",-2,0)+IF(B22="E",-1,0)+IF(B22="O",0,0)+IF(B22="L",1,0)+Y22</f>
        <v>-0.5</v>
      </c>
      <c r="AC22" s="0" t="n">
        <f aca="false">IF(C22="V",-2,0)+IF(C22="E",-1,0)+IF(C22="O",0,0)+IF(C22="L",1,0)+Z22</f>
        <v>-0.5</v>
      </c>
      <c r="AD22" s="0" t="n">
        <f aca="false">IF(D22="V",-2,0)+IF(D22="E",-1,0)+IF(D22="O",0,0)+IF(D22="L",1,0)+AA22</f>
        <v>-2</v>
      </c>
      <c r="AE22" s="1" t="n">
        <f aca="false">IF(B22="V",-2,0)+IF(B22="E",-1,0)+IF(B22="O",0,0)+IF(B22="L",1,0)</f>
        <v>-1</v>
      </c>
      <c r="AF22" s="1" t="n">
        <f aca="false">IF(B22="V",-2,0)+IF(B22="E",-1,0)+IF(B22="O",0,0)+IF(B22="L",1,0)+Y22</f>
        <v>-0.5</v>
      </c>
      <c r="AG22" s="1" t="n">
        <f aca="false">IF(B22="V",-2,0)+IF(B22="E",-1,0)+IF(B22="O",0,0)+IF(B22="L",1,0)+Y22*2</f>
        <v>0</v>
      </c>
      <c r="AH22" s="1" t="n">
        <f aca="false">IF(C22="V",-2,0)+IF(C22="E",-1,0)+IF(C22="O",0,0)+IF(C22="L",1,0)</f>
        <v>-1</v>
      </c>
      <c r="AI22" s="1" t="n">
        <f aca="false">IF(C22="V",-2,0)+IF(C22="E",-1,0)+IF(C22="O",0,0)+IF(C22="L",1,0)+Z22</f>
        <v>-0.5</v>
      </c>
      <c r="AJ22" s="1" t="n">
        <f aca="false">IF(C22="V",-2,0)+IF(C22="E",-1,0)+IF(C22="O",0,0)+IF(C22="L",1,0)+Z22*2</f>
        <v>0</v>
      </c>
      <c r="AK22" s="1" t="n">
        <f aca="false">IF(D22="V",-2,0)+IF(D22="E",-1,0)+IF(D22="O",0,0)+IF(D22="L",1,0)</f>
        <v>-2</v>
      </c>
      <c r="AL22" s="1" t="n">
        <f aca="false">IF(D22="V",-2,0)+IF(D22="E",-1,0)+IF(D22="O",0,0)+IF(D22="L",1,0)+AA22</f>
        <v>-2</v>
      </c>
      <c r="AM22" s="1" t="n">
        <f aca="false">IF(D22="V",-2,0)+IF(D22="E",-1,0)+IF(D22="O",0,0)+IF(D22="L",1,0)+AA22*2</f>
        <v>-2</v>
      </c>
      <c r="AN22" s="1" t="n">
        <f aca="false">(ABS(IF(AE22&lt;0,AE22*Early,AE22*Late))+ABS(IF(AF22&lt;0,AF22*Early,AF22*Late))+ABS(IF(AG22&lt;0,AG22*Early,AG22*Late)))/3</f>
        <v>1.5</v>
      </c>
      <c r="AO22" s="1" t="n">
        <f aca="false">(ABS(IF(AH22&lt;0,AH22*Early,AH22*Late))+ABS(IF(AI22&lt;0,AI22*Early,AI22*Late))+ABS(IF(AJ22&lt;0,AJ22*Early,AJ22*Late)))/3</f>
        <v>1.5</v>
      </c>
      <c r="AP22" s="1" t="n">
        <f aca="false">(ABS(IF(AK22&lt;0,AK22*Early,AK22*Late))+ABS(IF(AL22&lt;0,AL22*Early,AL22*Late))+ABS(IF(AM22&lt;0,AM22*Early,AM22*Late)))/3</f>
        <v>6</v>
      </c>
      <c r="AQ22" s="0" t="n">
        <f aca="false">Y22*Delay+AN22</f>
        <v>2</v>
      </c>
      <c r="AR22" s="0" t="n">
        <f aca="false">Z22*Delay+AO22</f>
        <v>2</v>
      </c>
      <c r="AS22" s="0" t="n">
        <f aca="false">AA22*Delay+AP22</f>
        <v>6</v>
      </c>
      <c r="AT22" s="0" t="n">
        <f aca="false">IF(AS22=MIN(AS22:AS25),1,0)</f>
        <v>0</v>
      </c>
      <c r="AX22" s="0" t="str">
        <f aca="false">B22&amp;C22&amp;D22</f>
        <v>EEV</v>
      </c>
      <c r="AY22" s="1" t="n">
        <f aca="false">AQ22+AR22+AS22</f>
        <v>10</v>
      </c>
      <c r="AZ22" s="1" t="str">
        <f aca="false">RIGHT(AX22,2)</f>
        <v>EV</v>
      </c>
      <c r="BA22" s="1" t="str">
        <f aca="false">LEFT(AX22,1)&amp;RIGHT(AX22,1)</f>
        <v>EV</v>
      </c>
      <c r="BB22" s="1" t="str">
        <f aca="false">LEFT(AX22,2)</f>
        <v>EE</v>
      </c>
      <c r="BC22" s="1" t="n">
        <f aca="false">VLOOKUP(AZ22,TwoPlayers!$AG$1:$AH$17,2,FALSE())</f>
        <v>9</v>
      </c>
      <c r="BD22" s="1" t="n">
        <f aca="false">VLOOKUP(BA22,TwoPlayers!$AG$1:$AH$17,2,FALSE())</f>
        <v>9</v>
      </c>
      <c r="BE22" s="1" t="n">
        <f aca="false">VLOOKUP(BB22,TwoPlayers!$AG$1:$AH$17,2,FALSE())</f>
        <v>4</v>
      </c>
      <c r="BF22" s="1" t="n">
        <f aca="false">$AY22-BC22</f>
        <v>1</v>
      </c>
      <c r="BG22" s="1" t="n">
        <f aca="false">$AY22-BD22</f>
        <v>1</v>
      </c>
      <c r="BH22" s="1" t="n">
        <f aca="false">$AY22-BE22</f>
        <v>6</v>
      </c>
      <c r="BJ22" s="0" t="n">
        <f aca="false">AQ22+BF22</f>
        <v>3</v>
      </c>
      <c r="BK22" s="0" t="n">
        <f aca="false">AR22+BG22</f>
        <v>3</v>
      </c>
      <c r="BL22" s="0" t="n">
        <f aca="false">AS22+BH22</f>
        <v>12</v>
      </c>
      <c r="BM22" s="0" t="n">
        <f aca="false">IF(BL22=MIN(BL22:BL26),1,0)</f>
        <v>0</v>
      </c>
    </row>
    <row r="23" customFormat="false" ht="13" hidden="false" customHeight="false" outlineLevel="0" collapsed="false">
      <c r="A23" s="0" t="n">
        <v>22</v>
      </c>
      <c r="B23" s="0" t="s">
        <v>2</v>
      </c>
      <c r="C23" s="0" t="s">
        <v>2</v>
      </c>
      <c r="D23" s="0" t="s">
        <v>2</v>
      </c>
      <c r="E23" s="0" t="n">
        <f aca="false">(IF($B23="V",1,0))+IF($C23="V",1,0)+IF($D23="V",1,0)</f>
        <v>0</v>
      </c>
      <c r="F23" s="0" t="n">
        <f aca="false">(IF($B23="E",1,0))+IF($C23="E",1,0)+IF($D23="E",1,0)</f>
        <v>3</v>
      </c>
      <c r="G23" s="0" t="n">
        <f aca="false">(IF($B23="O",1,0))+IF($C23="O",1,0)+IF($D23="O",1,0)</f>
        <v>0</v>
      </c>
      <c r="H23" s="0" t="n">
        <f aca="false">(IF($B23="L",1,0))+IF($C23="L",1,0)+IF($D23="L",1,0)</f>
        <v>0</v>
      </c>
      <c r="I23" s="0" t="n">
        <f aca="false">(IF(B23="V",1,0))</f>
        <v>0</v>
      </c>
      <c r="J23" s="0" t="n">
        <f aca="false">(IF(B23="E",1,0))</f>
        <v>1</v>
      </c>
      <c r="K23" s="0" t="n">
        <f aca="false">(IF(B23="O",1,0))</f>
        <v>0</v>
      </c>
      <c r="L23" s="0" t="n">
        <f aca="false">(IF(B23="L",1,0))</f>
        <v>0</v>
      </c>
      <c r="M23" s="0" t="n">
        <f aca="false">(IF(C23="V",1,0))</f>
        <v>0</v>
      </c>
      <c r="N23" s="0" t="n">
        <f aca="false">(IF(C23="E",1,0))</f>
        <v>1</v>
      </c>
      <c r="O23" s="0" t="n">
        <f aca="false">(IF(C23="O",1,0))</f>
        <v>0</v>
      </c>
      <c r="P23" s="0" t="n">
        <f aca="false">(IF(C23="L",1,0))</f>
        <v>0</v>
      </c>
      <c r="Q23" s="0" t="n">
        <f aca="false">(IF(D23="V",1,0))</f>
        <v>0</v>
      </c>
      <c r="R23" s="0" t="n">
        <f aca="false">(IF(D23="E",1,0))</f>
        <v>1</v>
      </c>
      <c r="S23" s="0" t="n">
        <f aca="false">(IF(D23="O",1,0))</f>
        <v>0</v>
      </c>
      <c r="T23" s="0" t="n">
        <f aca="false">(IF(D23="L",1,0))</f>
        <v>0</v>
      </c>
      <c r="U23" s="0" t="n">
        <f aca="false">MAX(E23-1,0)</f>
        <v>0</v>
      </c>
      <c r="V23" s="0" t="n">
        <f aca="false">MAX(U23-1+F23,0)</f>
        <v>2</v>
      </c>
      <c r="W23" s="0" t="n">
        <f aca="false">MAX(V23-1+G23,0)</f>
        <v>1</v>
      </c>
      <c r="X23" s="0" t="n">
        <f aca="false">MAX(W23-1+H23,0)</f>
        <v>0</v>
      </c>
      <c r="Y23" s="1" t="n">
        <f aca="false">0.5*(E23*I23+F23*J23+G23*K23+H23*L23-1)+(0+$U23*J23+$V23*K23+$W23*L23)</f>
        <v>1</v>
      </c>
      <c r="Z23" s="1" t="n">
        <f aca="false">0.5*(E23*M23+F23*N23+G23*O23+H23*P23-1)+(0+$U23*N23+$V23*O23+$W23*P23)</f>
        <v>1</v>
      </c>
      <c r="AA23" s="1" t="n">
        <f aca="false">0.5*(E23*Q23+F23*R23+G23*S23+H23*T23-1)+(0+$U23*R23+$V23*S23+$W23*T23)</f>
        <v>1</v>
      </c>
      <c r="AB23" s="0" t="n">
        <f aca="false">IF(B23="V",-2,0)+IF(B23="E",-1,0)+IF(B23="O",0,0)+IF(B23="L",1,0)+Y23</f>
        <v>0</v>
      </c>
      <c r="AC23" s="0" t="n">
        <f aca="false">IF(C23="V",-2,0)+IF(C23="E",-1,0)+IF(C23="O",0,0)+IF(C23="L",1,0)+Z23</f>
        <v>0</v>
      </c>
      <c r="AD23" s="0" t="n">
        <f aca="false">IF(D23="V",-2,0)+IF(D23="E",-1,0)+IF(D23="O",0,0)+IF(D23="L",1,0)+AA23</f>
        <v>0</v>
      </c>
      <c r="AE23" s="1" t="n">
        <f aca="false">IF(B23="V",-2,0)+IF(B23="E",-1,0)+IF(B23="O",0,0)+IF(B23="L",1,0)</f>
        <v>-1</v>
      </c>
      <c r="AF23" s="1" t="n">
        <f aca="false">IF(B23="V",-2,0)+IF(B23="E",-1,0)+IF(B23="O",0,0)+IF(B23="L",1,0)+Y23</f>
        <v>0</v>
      </c>
      <c r="AG23" s="1" t="n">
        <f aca="false">IF(B23="V",-2,0)+IF(B23="E",-1,0)+IF(B23="O",0,0)+IF(B23="L",1,0)+Y23*2</f>
        <v>1</v>
      </c>
      <c r="AH23" s="1" t="n">
        <f aca="false">IF(C23="V",-2,0)+IF(C23="E",-1,0)+IF(C23="O",0,0)+IF(C23="L",1,0)</f>
        <v>-1</v>
      </c>
      <c r="AI23" s="1" t="n">
        <f aca="false">IF(C23="V",-2,0)+IF(C23="E",-1,0)+IF(C23="O",0,0)+IF(C23="L",1,0)+Z23</f>
        <v>0</v>
      </c>
      <c r="AJ23" s="1" t="n">
        <f aca="false">IF(C23="V",-2,0)+IF(C23="E",-1,0)+IF(C23="O",0,0)+IF(C23="L",1,0)+Z23*2</f>
        <v>1</v>
      </c>
      <c r="AK23" s="1" t="n">
        <f aca="false">IF(D23="V",-2,0)+IF(D23="E",-1,0)+IF(D23="O",0,0)+IF(D23="L",1,0)</f>
        <v>-1</v>
      </c>
      <c r="AL23" s="1" t="n">
        <f aca="false">IF(D23="V",-2,0)+IF(D23="E",-1,0)+IF(D23="O",0,0)+IF(D23="L",1,0)+AA23</f>
        <v>0</v>
      </c>
      <c r="AM23" s="1" t="n">
        <f aca="false">IF(D23="V",-2,0)+IF(D23="E",-1,0)+IF(D23="O",0,0)+IF(D23="L",1,0)+AA23*2</f>
        <v>1</v>
      </c>
      <c r="AN23" s="1" t="n">
        <f aca="false">(ABS(IF(AE23&lt;0,AE23*Early,AE23*Late))+ABS(IF(AF23&lt;0,AF23*Early,AF23*Late))+ABS(IF(AG23&lt;0,AG23*Early,AG23*Late)))/3</f>
        <v>2.33333333333333</v>
      </c>
      <c r="AO23" s="1" t="n">
        <f aca="false">(ABS(IF(AH23&lt;0,AH23*Early,AH23*Late))+ABS(IF(AI23&lt;0,AI23*Early,AI23*Late))+ABS(IF(AJ23&lt;0,AJ23*Early,AJ23*Late)))/3</f>
        <v>2.33333333333333</v>
      </c>
      <c r="AP23" s="1" t="n">
        <f aca="false">(ABS(IF(AK23&lt;0,AK23*Early,AK23*Late))+ABS(IF(AL23&lt;0,AL23*Early,AL23*Late))+ABS(IF(AM23&lt;0,AM23*Early,AM23*Late)))/3</f>
        <v>2.33333333333333</v>
      </c>
      <c r="AQ23" s="0" t="n">
        <f aca="false">Y23*Delay+AN23</f>
        <v>3.33333333333333</v>
      </c>
      <c r="AR23" s="0" t="n">
        <f aca="false">Z23*Delay+AO23</f>
        <v>3.33333333333333</v>
      </c>
      <c r="AS23" s="0" t="n">
        <f aca="false">AA23*Delay+AP23</f>
        <v>3.33333333333333</v>
      </c>
      <c r="AT23" s="0" t="n">
        <f aca="false">IF(AS23=MIN(AS22:AS25),1,0)</f>
        <v>1</v>
      </c>
      <c r="AX23" s="1" t="str">
        <f aca="false">B23&amp;C23&amp;D23</f>
        <v>EEE</v>
      </c>
      <c r="AY23" s="1" t="n">
        <f aca="false">AQ23+AR23+AS23</f>
        <v>10</v>
      </c>
      <c r="AZ23" s="1" t="str">
        <f aca="false">RIGHT(AX23,2)</f>
        <v>EE</v>
      </c>
      <c r="BA23" s="1" t="str">
        <f aca="false">LEFT(AX23,1)&amp;RIGHT(AX23,1)</f>
        <v>EE</v>
      </c>
      <c r="BB23" s="1" t="str">
        <f aca="false">LEFT(AX23,2)</f>
        <v>EE</v>
      </c>
      <c r="BC23" s="1" t="n">
        <f aca="false">VLOOKUP(AZ23,TwoPlayers!$AG$1:$AH$17,2,FALSE())</f>
        <v>4</v>
      </c>
      <c r="BD23" s="1" t="n">
        <f aca="false">VLOOKUP(BA23,TwoPlayers!$AG$1:$AH$17,2,FALSE())</f>
        <v>4</v>
      </c>
      <c r="BE23" s="1" t="n">
        <f aca="false">VLOOKUP(BB23,TwoPlayers!$AG$1:$AH$17,2,FALSE())</f>
        <v>4</v>
      </c>
      <c r="BF23" s="1" t="n">
        <f aca="false">$AY23-BC23</f>
        <v>6</v>
      </c>
      <c r="BG23" s="1" t="n">
        <f aca="false">$AY23-BD23</f>
        <v>6</v>
      </c>
      <c r="BH23" s="1" t="n">
        <f aca="false">$AY23-BE23</f>
        <v>6</v>
      </c>
      <c r="BJ23" s="0" t="n">
        <f aca="false">AQ23+BF23</f>
        <v>9.33333333333333</v>
      </c>
      <c r="BK23" s="0" t="n">
        <f aca="false">AR23+BG23</f>
        <v>9.33333333333333</v>
      </c>
      <c r="BL23" s="0" t="n">
        <f aca="false">AS23+BH23</f>
        <v>9.33333333333333</v>
      </c>
      <c r="BM23" s="0" t="n">
        <f aca="false">IF(BL23=MIN(BL22:BL26),1,0)</f>
        <v>0</v>
      </c>
    </row>
    <row r="24" customFormat="false" ht="13" hidden="false" customHeight="false" outlineLevel="0" collapsed="false">
      <c r="A24" s="0" t="n">
        <v>23</v>
      </c>
      <c r="B24" s="0" t="s">
        <v>2</v>
      </c>
      <c r="C24" s="0" t="s">
        <v>2</v>
      </c>
      <c r="D24" s="0" t="s">
        <v>3</v>
      </c>
      <c r="E24" s="0" t="n">
        <f aca="false">(IF($B24="V",1,0))+IF($C24="V",1,0)+IF($D24="V",1,0)</f>
        <v>0</v>
      </c>
      <c r="F24" s="0" t="n">
        <f aca="false">(IF($B24="E",1,0))+IF($C24="E",1,0)+IF($D24="E",1,0)</f>
        <v>2</v>
      </c>
      <c r="G24" s="0" t="n">
        <f aca="false">(IF($B24="O",1,0))+IF($C24="O",1,0)+IF($D24="O",1,0)</f>
        <v>1</v>
      </c>
      <c r="H24" s="0" t="n">
        <f aca="false">(IF($B24="L",1,0))+IF($C24="L",1,0)+IF($D24="L",1,0)</f>
        <v>0</v>
      </c>
      <c r="I24" s="0" t="n">
        <f aca="false">(IF(B24="V",1,0))</f>
        <v>0</v>
      </c>
      <c r="J24" s="0" t="n">
        <f aca="false">(IF(B24="E",1,0))</f>
        <v>1</v>
      </c>
      <c r="K24" s="0" t="n">
        <f aca="false">(IF(B24="O",1,0))</f>
        <v>0</v>
      </c>
      <c r="L24" s="0" t="n">
        <f aca="false">(IF(B24="L",1,0))</f>
        <v>0</v>
      </c>
      <c r="M24" s="0" t="n">
        <f aca="false">(IF(C24="V",1,0))</f>
        <v>0</v>
      </c>
      <c r="N24" s="0" t="n">
        <f aca="false">(IF(C24="E",1,0))</f>
        <v>1</v>
      </c>
      <c r="O24" s="0" t="n">
        <f aca="false">(IF(C24="O",1,0))</f>
        <v>0</v>
      </c>
      <c r="P24" s="0" t="n">
        <f aca="false">(IF(C24="L",1,0))</f>
        <v>0</v>
      </c>
      <c r="Q24" s="0" t="n">
        <f aca="false">(IF(D24="V",1,0))</f>
        <v>0</v>
      </c>
      <c r="R24" s="0" t="n">
        <f aca="false">(IF(D24="E",1,0))</f>
        <v>0</v>
      </c>
      <c r="S24" s="0" t="n">
        <f aca="false">(IF(D24="O",1,0))</f>
        <v>1</v>
      </c>
      <c r="T24" s="0" t="n">
        <f aca="false">(IF(D24="L",1,0))</f>
        <v>0</v>
      </c>
      <c r="U24" s="0" t="n">
        <f aca="false">MAX(E24-1,0)</f>
        <v>0</v>
      </c>
      <c r="V24" s="0" t="n">
        <f aca="false">MAX(U24-1+F24,0)</f>
        <v>1</v>
      </c>
      <c r="W24" s="0" t="n">
        <f aca="false">MAX(V24-1+G24,0)</f>
        <v>1</v>
      </c>
      <c r="X24" s="0" t="n">
        <f aca="false">MAX(W24-1+H24,0)</f>
        <v>0</v>
      </c>
      <c r="Y24" s="1" t="n">
        <f aca="false">0.5*(E24*I24+F24*J24+G24*K24+H24*L24-1)+(0+$U24*J24+$V24*K24+$W24*L24)</f>
        <v>0.5</v>
      </c>
      <c r="Z24" s="1" t="n">
        <f aca="false">0.5*(E24*M24+F24*N24+G24*O24+H24*P24-1)+(0+$U24*N24+$V24*O24+$W24*P24)</f>
        <v>0.5</v>
      </c>
      <c r="AA24" s="1" t="n">
        <f aca="false">0.5*(E24*Q24+F24*R24+G24*S24+H24*T24-1)+(0+$U24*R24+$V24*S24+$W24*T24)</f>
        <v>1</v>
      </c>
      <c r="AB24" s="0" t="n">
        <f aca="false">IF(B24="V",-2,0)+IF(B24="E",-1,0)+IF(B24="O",0,0)+IF(B24="L",1,0)+Y24</f>
        <v>-0.5</v>
      </c>
      <c r="AC24" s="0" t="n">
        <f aca="false">IF(C24="V",-2,0)+IF(C24="E",-1,0)+IF(C24="O",0,0)+IF(C24="L",1,0)+Z24</f>
        <v>-0.5</v>
      </c>
      <c r="AD24" s="0" t="n">
        <f aca="false">IF(D24="V",-2,0)+IF(D24="E",-1,0)+IF(D24="O",0,0)+IF(D24="L",1,0)+AA24</f>
        <v>1</v>
      </c>
      <c r="AE24" s="1" t="n">
        <f aca="false">IF(B24="V",-2,0)+IF(B24="E",-1,0)+IF(B24="O",0,0)+IF(B24="L",1,0)</f>
        <v>-1</v>
      </c>
      <c r="AF24" s="1" t="n">
        <f aca="false">IF(B24="V",-2,0)+IF(B24="E",-1,0)+IF(B24="O",0,0)+IF(B24="L",1,0)+Y24</f>
        <v>-0.5</v>
      </c>
      <c r="AG24" s="1" t="n">
        <f aca="false">IF(B24="V",-2,0)+IF(B24="E",-1,0)+IF(B24="O",0,0)+IF(B24="L",1,0)+Y24*2</f>
        <v>0</v>
      </c>
      <c r="AH24" s="1" t="n">
        <f aca="false">IF(C24="V",-2,0)+IF(C24="E",-1,0)+IF(C24="O",0,0)+IF(C24="L",1,0)</f>
        <v>-1</v>
      </c>
      <c r="AI24" s="1" t="n">
        <f aca="false">IF(C24="V",-2,0)+IF(C24="E",-1,0)+IF(C24="O",0,0)+IF(C24="L",1,0)+Z24</f>
        <v>-0.5</v>
      </c>
      <c r="AJ24" s="1" t="n">
        <f aca="false">IF(C24="V",-2,0)+IF(C24="E",-1,0)+IF(C24="O",0,0)+IF(C24="L",1,0)+Z24*2</f>
        <v>0</v>
      </c>
      <c r="AK24" s="1" t="n">
        <f aca="false">IF(D24="V",-2,0)+IF(D24="E",-1,0)+IF(D24="O",0,0)+IF(D24="L",1,0)</f>
        <v>0</v>
      </c>
      <c r="AL24" s="1" t="n">
        <f aca="false">IF(D24="V",-2,0)+IF(D24="E",-1,0)+IF(D24="O",0,0)+IF(D24="L",1,0)+AA24</f>
        <v>1</v>
      </c>
      <c r="AM24" s="1" t="n">
        <f aca="false">IF(D24="V",-2,0)+IF(D24="E",-1,0)+IF(D24="O",0,0)+IF(D24="L",1,0)+AA24*2</f>
        <v>2</v>
      </c>
      <c r="AN24" s="1" t="n">
        <f aca="false">(ABS(IF(AE24&lt;0,AE24*Early,AE24*Late))+ABS(IF(AF24&lt;0,AF24*Early,AF24*Late))+ABS(IF(AG24&lt;0,AG24*Early,AG24*Late)))/3</f>
        <v>1.5</v>
      </c>
      <c r="AO24" s="1" t="n">
        <f aca="false">(ABS(IF(AH24&lt;0,AH24*Early,AH24*Late))+ABS(IF(AI24&lt;0,AI24*Early,AI24*Late))+ABS(IF(AJ24&lt;0,AJ24*Early,AJ24*Late)))/3</f>
        <v>1.5</v>
      </c>
      <c r="AP24" s="1" t="n">
        <f aca="false">(ABS(IF(AK24&lt;0,AK24*Early,AK24*Late))+ABS(IF(AL24&lt;0,AL24*Early,AL24*Late))+ABS(IF(AM24&lt;0,AM24*Early,AM24*Late)))/3</f>
        <v>4</v>
      </c>
      <c r="AQ24" s="0" t="n">
        <f aca="false">Y24*Delay+AN24</f>
        <v>2</v>
      </c>
      <c r="AR24" s="0" t="n">
        <f aca="false">Z24*Delay+AO24</f>
        <v>2</v>
      </c>
      <c r="AS24" s="0" t="n">
        <f aca="false">AA24*Delay+AP24</f>
        <v>5</v>
      </c>
      <c r="AT24" s="0" t="n">
        <f aca="false">IF(AS24=MIN(AS22:AS25),1,0)</f>
        <v>0</v>
      </c>
      <c r="AX24" s="0" t="str">
        <f aca="false">B24&amp;C24&amp;D24</f>
        <v>EEO</v>
      </c>
      <c r="AY24" s="1" t="n">
        <f aca="false">AQ24+AR24+AS24</f>
        <v>9</v>
      </c>
      <c r="AZ24" s="1" t="str">
        <f aca="false">RIGHT(AX24,2)</f>
        <v>EO</v>
      </c>
      <c r="BA24" s="1" t="str">
        <f aca="false">LEFT(AX24,1)&amp;RIGHT(AX24,1)</f>
        <v>EO</v>
      </c>
      <c r="BB24" s="1" t="str">
        <f aca="false">LEFT(AX24,2)</f>
        <v>EE</v>
      </c>
      <c r="BC24" s="1" t="n">
        <f aca="false">VLOOKUP(AZ24,TwoPlayers!$AG$1:$AH$17,2,FALSE())</f>
        <v>3</v>
      </c>
      <c r="BD24" s="1" t="n">
        <f aca="false">VLOOKUP(BA24,TwoPlayers!$AG$1:$AH$17,2,FALSE())</f>
        <v>3</v>
      </c>
      <c r="BE24" s="1" t="n">
        <f aca="false">VLOOKUP(BB24,TwoPlayers!$AG$1:$AH$17,2,FALSE())</f>
        <v>4</v>
      </c>
      <c r="BF24" s="1" t="n">
        <f aca="false">$AY24-BC24</f>
        <v>6</v>
      </c>
      <c r="BG24" s="1" t="n">
        <f aca="false">$AY24-BD24</f>
        <v>6</v>
      </c>
      <c r="BH24" s="1" t="n">
        <f aca="false">$AY24-BE24</f>
        <v>5</v>
      </c>
      <c r="BJ24" s="0" t="n">
        <f aca="false">AQ24+BF24</f>
        <v>8</v>
      </c>
      <c r="BK24" s="0" t="n">
        <f aca="false">AR24+BG24</f>
        <v>8</v>
      </c>
      <c r="BL24" s="0" t="n">
        <f aca="false">AS24+BH24</f>
        <v>10</v>
      </c>
      <c r="BM24" s="0" t="n">
        <f aca="false">IF(BL24=MIN(BL22:BL26),1,0)</f>
        <v>0</v>
      </c>
    </row>
    <row r="25" customFormat="false" ht="13" hidden="false" customHeight="false" outlineLevel="0" collapsed="false">
      <c r="A25" s="0" t="n">
        <v>24</v>
      </c>
      <c r="B25" s="0" t="s">
        <v>2</v>
      </c>
      <c r="C25" s="0" t="s">
        <v>2</v>
      </c>
      <c r="D25" s="0" t="s">
        <v>4</v>
      </c>
      <c r="E25" s="0" t="n">
        <f aca="false">(IF($B25="V",1,0))+IF($C25="V",1,0)+IF($D25="V",1,0)</f>
        <v>0</v>
      </c>
      <c r="F25" s="0" t="n">
        <f aca="false">(IF($B25="E",1,0))+IF($C25="E",1,0)+IF($D25="E",1,0)</f>
        <v>2</v>
      </c>
      <c r="G25" s="0" t="n">
        <f aca="false">(IF($B25="O",1,0))+IF($C25="O",1,0)+IF($D25="O",1,0)</f>
        <v>0</v>
      </c>
      <c r="H25" s="0" t="n">
        <f aca="false">(IF($B25="L",1,0))+IF($C25="L",1,0)+IF($D25="L",1,0)</f>
        <v>1</v>
      </c>
      <c r="I25" s="0" t="n">
        <f aca="false">(IF(B25="V",1,0))</f>
        <v>0</v>
      </c>
      <c r="J25" s="0" t="n">
        <f aca="false">(IF(B25="E",1,0))</f>
        <v>1</v>
      </c>
      <c r="K25" s="0" t="n">
        <f aca="false">(IF(B25="O",1,0))</f>
        <v>0</v>
      </c>
      <c r="L25" s="0" t="n">
        <f aca="false">(IF(B25="L",1,0))</f>
        <v>0</v>
      </c>
      <c r="M25" s="0" t="n">
        <f aca="false">(IF(C25="V",1,0))</f>
        <v>0</v>
      </c>
      <c r="N25" s="0" t="n">
        <f aca="false">(IF(C25="E",1,0))</f>
        <v>1</v>
      </c>
      <c r="O25" s="0" t="n">
        <f aca="false">(IF(C25="O",1,0))</f>
        <v>0</v>
      </c>
      <c r="P25" s="0" t="n">
        <f aca="false">(IF(C25="L",1,0))</f>
        <v>0</v>
      </c>
      <c r="Q25" s="0" t="n">
        <f aca="false">(IF(D25="V",1,0))</f>
        <v>0</v>
      </c>
      <c r="R25" s="0" t="n">
        <f aca="false">(IF(D25="E",1,0))</f>
        <v>0</v>
      </c>
      <c r="S25" s="0" t="n">
        <f aca="false">(IF(D25="O",1,0))</f>
        <v>0</v>
      </c>
      <c r="T25" s="0" t="n">
        <f aca="false">(IF(D25="L",1,0))</f>
        <v>1</v>
      </c>
      <c r="U25" s="0" t="n">
        <f aca="false">MAX(E25-1,0)</f>
        <v>0</v>
      </c>
      <c r="V25" s="0" t="n">
        <f aca="false">MAX(U25-1+F25,0)</f>
        <v>1</v>
      </c>
      <c r="W25" s="0" t="n">
        <f aca="false">MAX(V25-1+G25,0)</f>
        <v>0</v>
      </c>
      <c r="X25" s="0" t="n">
        <f aca="false">MAX(W25-1+H25,0)</f>
        <v>0</v>
      </c>
      <c r="Y25" s="1" t="n">
        <f aca="false">0.5*(E25*I25+F25*J25+G25*K25+H25*L25-1)+(0+$U25*J25+$V25*K25+$W25*L25)</f>
        <v>0.5</v>
      </c>
      <c r="Z25" s="1" t="n">
        <f aca="false">0.5*(E25*M25+F25*N25+G25*O25+H25*P25-1)+(0+$U25*N25+$V25*O25+$W25*P25)</f>
        <v>0.5</v>
      </c>
      <c r="AA25" s="1" t="n">
        <f aca="false">0.5*(E25*Q25+F25*R25+G25*S25+H25*T25-1)+(0+$U25*R25+$V25*S25+$W25*T25)</f>
        <v>0</v>
      </c>
      <c r="AB25" s="0" t="n">
        <f aca="false">IF(B25="V",-2,0)+IF(B25="E",-1,0)+IF(B25="O",0,0)+IF(B25="L",1,0)+Y25</f>
        <v>-0.5</v>
      </c>
      <c r="AC25" s="0" t="n">
        <f aca="false">IF(C25="V",-2,0)+IF(C25="E",-1,0)+IF(C25="O",0,0)+IF(C25="L",1,0)+Z25</f>
        <v>-0.5</v>
      </c>
      <c r="AD25" s="0" t="n">
        <f aca="false">IF(D25="V",-2,0)+IF(D25="E",-1,0)+IF(D25="O",0,0)+IF(D25="L",1,0)+AA25</f>
        <v>1</v>
      </c>
      <c r="AE25" s="1" t="n">
        <f aca="false">IF(B25="V",-2,0)+IF(B25="E",-1,0)+IF(B25="O",0,0)+IF(B25="L",1,0)</f>
        <v>-1</v>
      </c>
      <c r="AF25" s="1" t="n">
        <f aca="false">IF(B25="V",-2,0)+IF(B25="E",-1,0)+IF(B25="O",0,0)+IF(B25="L",1,0)+Y25</f>
        <v>-0.5</v>
      </c>
      <c r="AG25" s="1" t="n">
        <f aca="false">IF(B25="V",-2,0)+IF(B25="E",-1,0)+IF(B25="O",0,0)+IF(B25="L",1,0)+Y25*2</f>
        <v>0</v>
      </c>
      <c r="AH25" s="1" t="n">
        <f aca="false">IF(C25="V",-2,0)+IF(C25="E",-1,0)+IF(C25="O",0,0)+IF(C25="L",1,0)</f>
        <v>-1</v>
      </c>
      <c r="AI25" s="1" t="n">
        <f aca="false">IF(C25="V",-2,0)+IF(C25="E",-1,0)+IF(C25="O",0,0)+IF(C25="L",1,0)+Z25</f>
        <v>-0.5</v>
      </c>
      <c r="AJ25" s="1" t="n">
        <f aca="false">IF(C25="V",-2,0)+IF(C25="E",-1,0)+IF(C25="O",0,0)+IF(C25="L",1,0)+Z25*2</f>
        <v>0</v>
      </c>
      <c r="AK25" s="1" t="n">
        <f aca="false">IF(D25="V",-2,0)+IF(D25="E",-1,0)+IF(D25="O",0,0)+IF(D25="L",1,0)</f>
        <v>1</v>
      </c>
      <c r="AL25" s="1" t="n">
        <f aca="false">IF(D25="V",-2,0)+IF(D25="E",-1,0)+IF(D25="O",0,0)+IF(D25="L",1,0)+AA25</f>
        <v>1</v>
      </c>
      <c r="AM25" s="1" t="n">
        <f aca="false">IF(D25="V",-2,0)+IF(D25="E",-1,0)+IF(D25="O",0,0)+IF(D25="L",1,0)+AA25*2</f>
        <v>1</v>
      </c>
      <c r="AN25" s="1" t="n">
        <f aca="false">(ABS(IF(AE25&lt;0,AE25*Early,AE25*Late))+ABS(IF(AF25&lt;0,AF25*Early,AF25*Late))+ABS(IF(AG25&lt;0,AG25*Early,AG25*Late)))/3</f>
        <v>1.5</v>
      </c>
      <c r="AO25" s="1" t="n">
        <f aca="false">(ABS(IF(AH25&lt;0,AH25*Early,AH25*Late))+ABS(IF(AI25&lt;0,AI25*Early,AI25*Late))+ABS(IF(AJ25&lt;0,AJ25*Early,AJ25*Late)))/3</f>
        <v>1.5</v>
      </c>
      <c r="AP25" s="1" t="n">
        <f aca="false">(ABS(IF(AK25&lt;0,AK25*Early,AK25*Late))+ABS(IF(AL25&lt;0,AL25*Early,AL25*Late))+ABS(IF(AM25&lt;0,AM25*Early,AM25*Late)))/3</f>
        <v>4</v>
      </c>
      <c r="AQ25" s="0" t="n">
        <f aca="false">Y25*Delay+AN25</f>
        <v>2</v>
      </c>
      <c r="AR25" s="0" t="n">
        <f aca="false">Z25*Delay+AO25</f>
        <v>2</v>
      </c>
      <c r="AS25" s="0" t="n">
        <f aca="false">AA25*Delay+AP25</f>
        <v>4</v>
      </c>
      <c r="AT25" s="0" t="n">
        <f aca="false">IF(AS25=MIN(AS22:AS25),1,0)</f>
        <v>0</v>
      </c>
      <c r="AX25" s="0" t="str">
        <f aca="false">B25&amp;C25&amp;D25</f>
        <v>EEL</v>
      </c>
      <c r="AY25" s="1" t="n">
        <f aca="false">AQ25+AR25+AS25</f>
        <v>8</v>
      </c>
      <c r="AZ25" s="1" t="str">
        <f aca="false">RIGHT(AX25,2)</f>
        <v>EL</v>
      </c>
      <c r="BA25" s="1" t="str">
        <f aca="false">LEFT(AX25,1)&amp;RIGHT(AX25,1)</f>
        <v>EL</v>
      </c>
      <c r="BB25" s="1" t="str">
        <f aca="false">LEFT(AX25,2)</f>
        <v>EE</v>
      </c>
      <c r="BC25" s="1" t="n">
        <f aca="false">VLOOKUP(AZ25,TwoPlayers!$AG$1:$AH$17,2,FALSE())</f>
        <v>7</v>
      </c>
      <c r="BD25" s="1" t="n">
        <f aca="false">VLOOKUP(BA25,TwoPlayers!$AG$1:$AH$17,2,FALSE())</f>
        <v>7</v>
      </c>
      <c r="BE25" s="1" t="n">
        <f aca="false">VLOOKUP(BB25,TwoPlayers!$AG$1:$AH$17,2,FALSE())</f>
        <v>4</v>
      </c>
      <c r="BF25" s="1" t="n">
        <f aca="false">$AY25-BC25</f>
        <v>1</v>
      </c>
      <c r="BG25" s="1" t="n">
        <f aca="false">$AY25-BD25</f>
        <v>1</v>
      </c>
      <c r="BH25" s="1" t="n">
        <f aca="false">$AY25-BE25</f>
        <v>4</v>
      </c>
      <c r="BJ25" s="0" t="n">
        <f aca="false">AQ25+BF25</f>
        <v>3</v>
      </c>
      <c r="BK25" s="0" t="n">
        <f aca="false">AR25+BG25</f>
        <v>3</v>
      </c>
      <c r="BL25" s="0" t="n">
        <f aca="false">AS25+BH25</f>
        <v>8</v>
      </c>
      <c r="BM25" s="0" t="n">
        <f aca="false">IF(BL25=MIN(BL22:BL26),1,0)</f>
        <v>1</v>
      </c>
    </row>
    <row r="26" customFormat="false" ht="13" hidden="false" customHeight="false" outlineLevel="0" collapsed="false">
      <c r="A26" s="0" t="n">
        <v>25</v>
      </c>
      <c r="B26" s="0" t="s">
        <v>2</v>
      </c>
      <c r="C26" s="0" t="s">
        <v>3</v>
      </c>
      <c r="D26" s="0" t="s">
        <v>1</v>
      </c>
      <c r="E26" s="0" t="n">
        <f aca="false">(IF($B26="V",1,0))+IF($C26="V",1,0)+IF($D26="V",1,0)</f>
        <v>1</v>
      </c>
      <c r="F26" s="0" t="n">
        <f aca="false">(IF($B26="E",1,0))+IF($C26="E",1,0)+IF($D26="E",1,0)</f>
        <v>1</v>
      </c>
      <c r="G26" s="0" t="n">
        <f aca="false">(IF($B26="O",1,0))+IF($C26="O",1,0)+IF($D26="O",1,0)</f>
        <v>1</v>
      </c>
      <c r="H26" s="0" t="n">
        <f aca="false">(IF($B26="L",1,0))+IF($C26="L",1,0)+IF($D26="L",1,0)</f>
        <v>0</v>
      </c>
      <c r="I26" s="0" t="n">
        <f aca="false">(IF(B26="V",1,0))</f>
        <v>0</v>
      </c>
      <c r="J26" s="0" t="n">
        <f aca="false">(IF(B26="E",1,0))</f>
        <v>1</v>
      </c>
      <c r="K26" s="0" t="n">
        <f aca="false">(IF(B26="O",1,0))</f>
        <v>0</v>
      </c>
      <c r="L26" s="0" t="n">
        <f aca="false">(IF(B26="L",1,0))</f>
        <v>0</v>
      </c>
      <c r="M26" s="0" t="n">
        <f aca="false">(IF(C26="V",1,0))</f>
        <v>0</v>
      </c>
      <c r="N26" s="0" t="n">
        <f aca="false">(IF(C26="E",1,0))</f>
        <v>0</v>
      </c>
      <c r="O26" s="0" t="n">
        <f aca="false">(IF(C26="O",1,0))</f>
        <v>1</v>
      </c>
      <c r="P26" s="0" t="n">
        <f aca="false">(IF(C26="L",1,0))</f>
        <v>0</v>
      </c>
      <c r="Q26" s="0" t="n">
        <f aca="false">(IF(D26="V",1,0))</f>
        <v>1</v>
      </c>
      <c r="R26" s="0" t="n">
        <f aca="false">(IF(D26="E",1,0))</f>
        <v>0</v>
      </c>
      <c r="S26" s="0" t="n">
        <f aca="false">(IF(D26="O",1,0))</f>
        <v>0</v>
      </c>
      <c r="T26" s="0" t="n">
        <f aca="false">(IF(D26="L",1,0))</f>
        <v>0</v>
      </c>
      <c r="U26" s="0" t="n">
        <f aca="false">MAX(E26-1,0)</f>
        <v>0</v>
      </c>
      <c r="V26" s="0" t="n">
        <f aca="false">MAX(U26-1+F26,0)</f>
        <v>0</v>
      </c>
      <c r="W26" s="0" t="n">
        <f aca="false">MAX(V26-1+G26,0)</f>
        <v>0</v>
      </c>
      <c r="X26" s="0" t="n">
        <f aca="false">MAX(W26-1+H26,0)</f>
        <v>0</v>
      </c>
      <c r="Y26" s="1" t="n">
        <f aca="false">0.5*(E26*I26+F26*J26+G26*K26+H26*L26-1)+(0+$U26*J26+$V26*K26+$W26*L26)</f>
        <v>0</v>
      </c>
      <c r="Z26" s="1" t="n">
        <f aca="false">0.5*(E26*M26+F26*N26+G26*O26+H26*P26-1)+(0+$U26*N26+$V26*O26+$W26*P26)</f>
        <v>0</v>
      </c>
      <c r="AA26" s="1" t="n">
        <f aca="false">0.5*(E26*Q26+F26*R26+G26*S26+H26*T26-1)+(0+$U26*R26+$V26*S26+$W26*T26)</f>
        <v>0</v>
      </c>
      <c r="AB26" s="0" t="n">
        <f aca="false">IF(B26="V",-2,0)+IF(B26="E",-1,0)+IF(B26="O",0,0)+IF(B26="L",1,0)+Y26</f>
        <v>-1</v>
      </c>
      <c r="AC26" s="0" t="n">
        <f aca="false">IF(C26="V",-2,0)+IF(C26="E",-1,0)+IF(C26="O",0,0)+IF(C26="L",1,0)+Z26</f>
        <v>0</v>
      </c>
      <c r="AD26" s="0" t="n">
        <f aca="false">IF(D26="V",-2,0)+IF(D26="E",-1,0)+IF(D26="O",0,0)+IF(D26="L",1,0)+AA26</f>
        <v>-2</v>
      </c>
      <c r="AE26" s="1" t="n">
        <f aca="false">IF(B26="V",-2,0)+IF(B26="E",-1,0)+IF(B26="O",0,0)+IF(B26="L",1,0)</f>
        <v>-1</v>
      </c>
      <c r="AF26" s="1" t="n">
        <f aca="false">IF(B26="V",-2,0)+IF(B26="E",-1,0)+IF(B26="O",0,0)+IF(B26="L",1,0)+Y26</f>
        <v>-1</v>
      </c>
      <c r="AG26" s="1" t="n">
        <f aca="false">IF(B26="V",-2,0)+IF(B26="E",-1,0)+IF(B26="O",0,0)+IF(B26="L",1,0)+Y26*2</f>
        <v>-1</v>
      </c>
      <c r="AH26" s="1" t="n">
        <f aca="false">IF(C26="V",-2,0)+IF(C26="E",-1,0)+IF(C26="O",0,0)+IF(C26="L",1,0)</f>
        <v>0</v>
      </c>
      <c r="AI26" s="1" t="n">
        <f aca="false">IF(C26="V",-2,0)+IF(C26="E",-1,0)+IF(C26="O",0,0)+IF(C26="L",1,0)+Z26</f>
        <v>0</v>
      </c>
      <c r="AJ26" s="1" t="n">
        <f aca="false">IF(C26="V",-2,0)+IF(C26="E",-1,0)+IF(C26="O",0,0)+IF(C26="L",1,0)+Z26*2</f>
        <v>0</v>
      </c>
      <c r="AK26" s="1" t="n">
        <f aca="false">IF(D26="V",-2,0)+IF(D26="E",-1,0)+IF(D26="O",0,0)+IF(D26="L",1,0)</f>
        <v>-2</v>
      </c>
      <c r="AL26" s="1" t="n">
        <f aca="false">IF(D26="V",-2,0)+IF(D26="E",-1,0)+IF(D26="O",0,0)+IF(D26="L",1,0)+AA26</f>
        <v>-2</v>
      </c>
      <c r="AM26" s="1" t="n">
        <f aca="false">IF(D26="V",-2,0)+IF(D26="E",-1,0)+IF(D26="O",0,0)+IF(D26="L",1,0)+AA26*2</f>
        <v>-2</v>
      </c>
      <c r="AN26" s="1" t="n">
        <f aca="false">(ABS(IF(AE26&lt;0,AE26*Early,AE26*Late))+ABS(IF(AF26&lt;0,AF26*Early,AF26*Late))+ABS(IF(AG26&lt;0,AG26*Early,AG26*Late)))/3</f>
        <v>3</v>
      </c>
      <c r="AO26" s="1" t="n">
        <f aca="false">(ABS(IF(AH26&lt;0,AH26*Early,AH26*Late))+ABS(IF(AI26&lt;0,AI26*Early,AI26*Late))+ABS(IF(AJ26&lt;0,AJ26*Early,AJ26*Late)))/3</f>
        <v>0</v>
      </c>
      <c r="AP26" s="1" t="n">
        <f aca="false">(ABS(IF(AK26&lt;0,AK26*Early,AK26*Late))+ABS(IF(AL26&lt;0,AL26*Early,AL26*Late))+ABS(IF(AM26&lt;0,AM26*Early,AM26*Late)))/3</f>
        <v>6</v>
      </c>
      <c r="AQ26" s="0" t="n">
        <f aca="false">Y26*Delay+AN26</f>
        <v>3</v>
      </c>
      <c r="AR26" s="0" t="n">
        <f aca="false">Z26*Delay+AO26</f>
        <v>0</v>
      </c>
      <c r="AS26" s="0" t="n">
        <f aca="false">AA26*Delay+AP26</f>
        <v>6</v>
      </c>
      <c r="AT26" s="0" t="n">
        <f aca="false">IF(AS26=MIN(AS26:AS29),1,0)</f>
        <v>0</v>
      </c>
      <c r="AX26" s="0" t="str">
        <f aca="false">B26&amp;C26&amp;D26</f>
        <v>EOV</v>
      </c>
      <c r="AY26" s="1" t="n">
        <f aca="false">AQ26+AR26+AS26</f>
        <v>9</v>
      </c>
      <c r="AZ26" s="1" t="str">
        <f aca="false">RIGHT(AX26,2)</f>
        <v>OV</v>
      </c>
      <c r="BA26" s="1" t="str">
        <f aca="false">LEFT(AX26,1)&amp;RIGHT(AX26,1)</f>
        <v>EV</v>
      </c>
      <c r="BB26" s="1" t="str">
        <f aca="false">LEFT(AX26,2)</f>
        <v>EO</v>
      </c>
      <c r="BC26" s="1" t="n">
        <f aca="false">VLOOKUP(AZ26,TwoPlayers!$AG$1:$AH$17,2,FALSE())</f>
        <v>6</v>
      </c>
      <c r="BD26" s="1" t="n">
        <f aca="false">VLOOKUP(BA26,TwoPlayers!$AG$1:$AH$17,2,FALSE())</f>
        <v>9</v>
      </c>
      <c r="BE26" s="1" t="n">
        <f aca="false">VLOOKUP(BB26,TwoPlayers!$AG$1:$AH$17,2,FALSE())</f>
        <v>3</v>
      </c>
      <c r="BF26" s="1" t="n">
        <f aca="false">$AY26-BC26</f>
        <v>3</v>
      </c>
      <c r="BG26" s="1" t="n">
        <f aca="false">$AY26-BD26</f>
        <v>0</v>
      </c>
      <c r="BH26" s="1" t="n">
        <f aca="false">$AY26-BE26</f>
        <v>6</v>
      </c>
      <c r="BJ26" s="0" t="n">
        <f aca="false">AQ26+BF26</f>
        <v>6</v>
      </c>
      <c r="BK26" s="0" t="n">
        <f aca="false">AR26+BG26</f>
        <v>0</v>
      </c>
      <c r="BL26" s="0" t="n">
        <f aca="false">AS26+BH26</f>
        <v>12</v>
      </c>
      <c r="BM26" s="0" t="n">
        <f aca="false">IF(BL26=MIN(BL26:BL30),1,0)</f>
        <v>0</v>
      </c>
    </row>
    <row r="27" customFormat="false" ht="13" hidden="false" customHeight="false" outlineLevel="0" collapsed="false">
      <c r="A27" s="0" t="n">
        <v>26</v>
      </c>
      <c r="B27" s="0" t="s">
        <v>2</v>
      </c>
      <c r="C27" s="0" t="s">
        <v>3</v>
      </c>
      <c r="D27" s="0" t="s">
        <v>2</v>
      </c>
      <c r="E27" s="0" t="n">
        <f aca="false">(IF($B27="V",1,0))+IF($C27="V",1,0)+IF($D27="V",1,0)</f>
        <v>0</v>
      </c>
      <c r="F27" s="0" t="n">
        <f aca="false">(IF($B27="E",1,0))+IF($C27="E",1,0)+IF($D27="E",1,0)</f>
        <v>2</v>
      </c>
      <c r="G27" s="0" t="n">
        <f aca="false">(IF($B27="O",1,0))+IF($C27="O",1,0)+IF($D27="O",1,0)</f>
        <v>1</v>
      </c>
      <c r="H27" s="0" t="n">
        <f aca="false">(IF($B27="L",1,0))+IF($C27="L",1,0)+IF($D27="L",1,0)</f>
        <v>0</v>
      </c>
      <c r="I27" s="0" t="n">
        <f aca="false">(IF(B27="V",1,0))</f>
        <v>0</v>
      </c>
      <c r="J27" s="0" t="n">
        <f aca="false">(IF(B27="E",1,0))</f>
        <v>1</v>
      </c>
      <c r="K27" s="0" t="n">
        <f aca="false">(IF(B27="O",1,0))</f>
        <v>0</v>
      </c>
      <c r="L27" s="0" t="n">
        <f aca="false">(IF(B27="L",1,0))</f>
        <v>0</v>
      </c>
      <c r="M27" s="0" t="n">
        <f aca="false">(IF(C27="V",1,0))</f>
        <v>0</v>
      </c>
      <c r="N27" s="0" t="n">
        <f aca="false">(IF(C27="E",1,0))</f>
        <v>0</v>
      </c>
      <c r="O27" s="0" t="n">
        <f aca="false">(IF(C27="O",1,0))</f>
        <v>1</v>
      </c>
      <c r="P27" s="0" t="n">
        <f aca="false">(IF(C27="L",1,0))</f>
        <v>0</v>
      </c>
      <c r="Q27" s="0" t="n">
        <f aca="false">(IF(D27="V",1,0))</f>
        <v>0</v>
      </c>
      <c r="R27" s="0" t="n">
        <f aca="false">(IF(D27="E",1,0))</f>
        <v>1</v>
      </c>
      <c r="S27" s="0" t="n">
        <f aca="false">(IF(D27="O",1,0))</f>
        <v>0</v>
      </c>
      <c r="T27" s="0" t="n">
        <f aca="false">(IF(D27="L",1,0))</f>
        <v>0</v>
      </c>
      <c r="U27" s="0" t="n">
        <f aca="false">MAX(E27-1,0)</f>
        <v>0</v>
      </c>
      <c r="V27" s="0" t="n">
        <f aca="false">MAX(U27-1+F27,0)</f>
        <v>1</v>
      </c>
      <c r="W27" s="0" t="n">
        <f aca="false">MAX(V27-1+G27,0)</f>
        <v>1</v>
      </c>
      <c r="X27" s="0" t="n">
        <f aca="false">MAX(W27-1+H27,0)</f>
        <v>0</v>
      </c>
      <c r="Y27" s="1" t="n">
        <f aca="false">0.5*(E27*I27+F27*J27+G27*K27+H27*L27-1)+(0+$U27*J27+$V27*K27+$W27*L27)</f>
        <v>0.5</v>
      </c>
      <c r="Z27" s="1" t="n">
        <f aca="false">0.5*(E27*M27+F27*N27+G27*O27+H27*P27-1)+(0+$U27*N27+$V27*O27+$W27*P27)</f>
        <v>1</v>
      </c>
      <c r="AA27" s="1" t="n">
        <f aca="false">0.5*(E27*Q27+F27*R27+G27*S27+H27*T27-1)+(0+$U27*R27+$V27*S27+$W27*T27)</f>
        <v>0.5</v>
      </c>
      <c r="AB27" s="0" t="n">
        <f aca="false">IF(B27="V",-2,0)+IF(B27="E",-1,0)+IF(B27="O",0,0)+IF(B27="L",1,0)+Y27</f>
        <v>-0.5</v>
      </c>
      <c r="AC27" s="0" t="n">
        <f aca="false">IF(C27="V",-2,0)+IF(C27="E",-1,0)+IF(C27="O",0,0)+IF(C27="L",1,0)+Z27</f>
        <v>1</v>
      </c>
      <c r="AD27" s="0" t="n">
        <f aca="false">IF(D27="V",-2,0)+IF(D27="E",-1,0)+IF(D27="O",0,0)+IF(D27="L",1,0)+AA27</f>
        <v>-0.5</v>
      </c>
      <c r="AE27" s="1" t="n">
        <f aca="false">IF(B27="V",-2,0)+IF(B27="E",-1,0)+IF(B27="O",0,0)+IF(B27="L",1,0)</f>
        <v>-1</v>
      </c>
      <c r="AF27" s="1" t="n">
        <f aca="false">IF(B27="V",-2,0)+IF(B27="E",-1,0)+IF(B27="O",0,0)+IF(B27="L",1,0)+Y27</f>
        <v>-0.5</v>
      </c>
      <c r="AG27" s="1" t="n">
        <f aca="false">IF(B27="V",-2,0)+IF(B27="E",-1,0)+IF(B27="O",0,0)+IF(B27="L",1,0)+Y27*2</f>
        <v>0</v>
      </c>
      <c r="AH27" s="1" t="n">
        <f aca="false">IF(C27="V",-2,0)+IF(C27="E",-1,0)+IF(C27="O",0,0)+IF(C27="L",1,0)</f>
        <v>0</v>
      </c>
      <c r="AI27" s="1" t="n">
        <f aca="false">IF(C27="V",-2,0)+IF(C27="E",-1,0)+IF(C27="O",0,0)+IF(C27="L",1,0)+Z27</f>
        <v>1</v>
      </c>
      <c r="AJ27" s="1" t="n">
        <f aca="false">IF(C27="V",-2,0)+IF(C27="E",-1,0)+IF(C27="O",0,0)+IF(C27="L",1,0)+Z27*2</f>
        <v>2</v>
      </c>
      <c r="AK27" s="1" t="n">
        <f aca="false">IF(D27="V",-2,0)+IF(D27="E",-1,0)+IF(D27="O",0,0)+IF(D27="L",1,0)</f>
        <v>-1</v>
      </c>
      <c r="AL27" s="1" t="n">
        <f aca="false">IF(D27="V",-2,0)+IF(D27="E",-1,0)+IF(D27="O",0,0)+IF(D27="L",1,0)+AA27</f>
        <v>-0.5</v>
      </c>
      <c r="AM27" s="1" t="n">
        <f aca="false">IF(D27="V",-2,0)+IF(D27="E",-1,0)+IF(D27="O",0,0)+IF(D27="L",1,0)+AA27*2</f>
        <v>0</v>
      </c>
      <c r="AN27" s="1" t="n">
        <f aca="false">(ABS(IF(AE27&lt;0,AE27*Early,AE27*Late))+ABS(IF(AF27&lt;0,AF27*Early,AF27*Late))+ABS(IF(AG27&lt;0,AG27*Early,AG27*Late)))/3</f>
        <v>1.5</v>
      </c>
      <c r="AO27" s="1" t="n">
        <f aca="false">(ABS(IF(AH27&lt;0,AH27*Early,AH27*Late))+ABS(IF(AI27&lt;0,AI27*Early,AI27*Late))+ABS(IF(AJ27&lt;0,AJ27*Early,AJ27*Late)))/3</f>
        <v>4</v>
      </c>
      <c r="AP27" s="1" t="n">
        <f aca="false">(ABS(IF(AK27&lt;0,AK27*Early,AK27*Late))+ABS(IF(AL27&lt;0,AL27*Early,AL27*Late))+ABS(IF(AM27&lt;0,AM27*Early,AM27*Late)))/3</f>
        <v>1.5</v>
      </c>
      <c r="AQ27" s="0" t="n">
        <f aca="false">Y27*Delay+AN27</f>
        <v>2</v>
      </c>
      <c r="AR27" s="0" t="n">
        <f aca="false">Z27*Delay+AO27</f>
        <v>5</v>
      </c>
      <c r="AS27" s="0" t="n">
        <f aca="false">AA27*Delay+AP27</f>
        <v>2</v>
      </c>
      <c r="AT27" s="0" t="n">
        <f aca="false">IF(AS27=MIN(AS26:AS29),1,0)</f>
        <v>1</v>
      </c>
      <c r="AX27" s="0" t="str">
        <f aca="false">B27&amp;C27&amp;D27</f>
        <v>EOE</v>
      </c>
      <c r="AY27" s="1" t="n">
        <f aca="false">AQ27+AR27+AS27</f>
        <v>9</v>
      </c>
      <c r="AZ27" s="1" t="str">
        <f aca="false">RIGHT(AX27,2)</f>
        <v>OE</v>
      </c>
      <c r="BA27" s="1" t="str">
        <f aca="false">LEFT(AX27,1)&amp;RIGHT(AX27,1)</f>
        <v>EE</v>
      </c>
      <c r="BB27" s="1" t="str">
        <f aca="false">LEFT(AX27,2)</f>
        <v>EO</v>
      </c>
      <c r="BC27" s="1" t="n">
        <f aca="false">VLOOKUP(AZ27,TwoPlayers!$AG$1:$AH$17,2,FALSE())</f>
        <v>3</v>
      </c>
      <c r="BD27" s="1" t="n">
        <f aca="false">VLOOKUP(BA27,TwoPlayers!$AG$1:$AH$17,2,FALSE())</f>
        <v>4</v>
      </c>
      <c r="BE27" s="1" t="n">
        <f aca="false">VLOOKUP(BB27,TwoPlayers!$AG$1:$AH$17,2,FALSE())</f>
        <v>3</v>
      </c>
      <c r="BF27" s="1" t="n">
        <f aca="false">$AY27-BC27</f>
        <v>6</v>
      </c>
      <c r="BG27" s="1" t="n">
        <f aca="false">$AY27-BD27</f>
        <v>5</v>
      </c>
      <c r="BH27" s="1" t="n">
        <f aca="false">$AY27-BE27</f>
        <v>6</v>
      </c>
      <c r="BJ27" s="0" t="n">
        <f aca="false">AQ27+BF27</f>
        <v>8</v>
      </c>
      <c r="BK27" s="0" t="n">
        <f aca="false">AR27+BG27</f>
        <v>10</v>
      </c>
      <c r="BL27" s="0" t="n">
        <f aca="false">AS27+BH27</f>
        <v>8</v>
      </c>
      <c r="BM27" s="0" t="n">
        <f aca="false">IF(BL27=MIN(BL26:BL30),1,0)</f>
        <v>0</v>
      </c>
    </row>
    <row r="28" customFormat="false" ht="13" hidden="false" customHeight="false" outlineLevel="0" collapsed="false">
      <c r="A28" s="0" t="n">
        <v>27</v>
      </c>
      <c r="B28" s="0" t="s">
        <v>2</v>
      </c>
      <c r="C28" s="0" t="s">
        <v>3</v>
      </c>
      <c r="D28" s="0" t="s">
        <v>3</v>
      </c>
      <c r="E28" s="0" t="n">
        <f aca="false">(IF($B28="V",1,0))+IF($C28="V",1,0)+IF($D28="V",1,0)</f>
        <v>0</v>
      </c>
      <c r="F28" s="0" t="n">
        <f aca="false">(IF($B28="E",1,0))+IF($C28="E",1,0)+IF($D28="E",1,0)</f>
        <v>1</v>
      </c>
      <c r="G28" s="0" t="n">
        <f aca="false">(IF($B28="O",1,0))+IF($C28="O",1,0)+IF($D28="O",1,0)</f>
        <v>2</v>
      </c>
      <c r="H28" s="0" t="n">
        <f aca="false">(IF($B28="L",1,0))+IF($C28="L",1,0)+IF($D28="L",1,0)</f>
        <v>0</v>
      </c>
      <c r="I28" s="0" t="n">
        <f aca="false">(IF(B28="V",1,0))</f>
        <v>0</v>
      </c>
      <c r="J28" s="0" t="n">
        <f aca="false">(IF(B28="E",1,0))</f>
        <v>1</v>
      </c>
      <c r="K28" s="0" t="n">
        <f aca="false">(IF(B28="O",1,0))</f>
        <v>0</v>
      </c>
      <c r="L28" s="0" t="n">
        <f aca="false">(IF(B28="L",1,0))</f>
        <v>0</v>
      </c>
      <c r="M28" s="0" t="n">
        <f aca="false">(IF(C28="V",1,0))</f>
        <v>0</v>
      </c>
      <c r="N28" s="0" t="n">
        <f aca="false">(IF(C28="E",1,0))</f>
        <v>0</v>
      </c>
      <c r="O28" s="0" t="n">
        <f aca="false">(IF(C28="O",1,0))</f>
        <v>1</v>
      </c>
      <c r="P28" s="0" t="n">
        <f aca="false">(IF(C28="L",1,0))</f>
        <v>0</v>
      </c>
      <c r="Q28" s="0" t="n">
        <f aca="false">(IF(D28="V",1,0))</f>
        <v>0</v>
      </c>
      <c r="R28" s="0" t="n">
        <f aca="false">(IF(D28="E",1,0))</f>
        <v>0</v>
      </c>
      <c r="S28" s="0" t="n">
        <f aca="false">(IF(D28="O",1,0))</f>
        <v>1</v>
      </c>
      <c r="T28" s="0" t="n">
        <f aca="false">(IF(D28="L",1,0))</f>
        <v>0</v>
      </c>
      <c r="U28" s="0" t="n">
        <f aca="false">MAX(E28-1,0)</f>
        <v>0</v>
      </c>
      <c r="V28" s="0" t="n">
        <f aca="false">MAX(U28-1+F28,0)</f>
        <v>0</v>
      </c>
      <c r="W28" s="0" t="n">
        <f aca="false">MAX(V28-1+G28,0)</f>
        <v>1</v>
      </c>
      <c r="X28" s="0" t="n">
        <f aca="false">MAX(W28-1+H28,0)</f>
        <v>0</v>
      </c>
      <c r="Y28" s="1" t="n">
        <f aca="false">0.5*(E28*I28+F28*J28+G28*K28+H28*L28-1)+(0+$U28*J28+$V28*K28+$W28*L28)</f>
        <v>0</v>
      </c>
      <c r="Z28" s="1" t="n">
        <f aca="false">0.5*(E28*M28+F28*N28+G28*O28+H28*P28-1)+(0+$U28*N28+$V28*O28+$W28*P28)</f>
        <v>0.5</v>
      </c>
      <c r="AA28" s="1" t="n">
        <f aca="false">0.5*(E28*Q28+F28*R28+G28*S28+H28*T28-1)+(0+$U28*R28+$V28*S28+$W28*T28)</f>
        <v>0.5</v>
      </c>
      <c r="AB28" s="0" t="n">
        <f aca="false">IF(B28="V",-2,0)+IF(B28="E",-1,0)+IF(B28="O",0,0)+IF(B28="L",1,0)+Y28</f>
        <v>-1</v>
      </c>
      <c r="AC28" s="0" t="n">
        <f aca="false">IF(C28="V",-2,0)+IF(C28="E",-1,0)+IF(C28="O",0,0)+IF(C28="L",1,0)+Z28</f>
        <v>0.5</v>
      </c>
      <c r="AD28" s="0" t="n">
        <f aca="false">IF(D28="V",-2,0)+IF(D28="E",-1,0)+IF(D28="O",0,0)+IF(D28="L",1,0)+AA28</f>
        <v>0.5</v>
      </c>
      <c r="AE28" s="1" t="n">
        <f aca="false">IF(B28="V",-2,0)+IF(B28="E",-1,0)+IF(B28="O",0,0)+IF(B28="L",1,0)</f>
        <v>-1</v>
      </c>
      <c r="AF28" s="1" t="n">
        <f aca="false">IF(B28="V",-2,0)+IF(B28="E",-1,0)+IF(B28="O",0,0)+IF(B28="L",1,0)+Y28</f>
        <v>-1</v>
      </c>
      <c r="AG28" s="1" t="n">
        <f aca="false">IF(B28="V",-2,0)+IF(B28="E",-1,0)+IF(B28="O",0,0)+IF(B28="L",1,0)+Y28*2</f>
        <v>-1</v>
      </c>
      <c r="AH28" s="1" t="n">
        <f aca="false">IF(C28="V",-2,0)+IF(C28="E",-1,0)+IF(C28="O",0,0)+IF(C28="L",1,0)</f>
        <v>0</v>
      </c>
      <c r="AI28" s="1" t="n">
        <f aca="false">IF(C28="V",-2,0)+IF(C28="E",-1,0)+IF(C28="O",0,0)+IF(C28="L",1,0)+Z28</f>
        <v>0.5</v>
      </c>
      <c r="AJ28" s="1" t="n">
        <f aca="false">IF(C28="V",-2,0)+IF(C28="E",-1,0)+IF(C28="O",0,0)+IF(C28="L",1,0)+Z28*2</f>
        <v>1</v>
      </c>
      <c r="AK28" s="1" t="n">
        <f aca="false">IF(D28="V",-2,0)+IF(D28="E",-1,0)+IF(D28="O",0,0)+IF(D28="L",1,0)</f>
        <v>0</v>
      </c>
      <c r="AL28" s="1" t="n">
        <f aca="false">IF(D28="V",-2,0)+IF(D28="E",-1,0)+IF(D28="O",0,0)+IF(D28="L",1,0)+AA28</f>
        <v>0.5</v>
      </c>
      <c r="AM28" s="1" t="n">
        <f aca="false">IF(D28="V",-2,0)+IF(D28="E",-1,0)+IF(D28="O",0,0)+IF(D28="L",1,0)+AA28*2</f>
        <v>1</v>
      </c>
      <c r="AN28" s="1" t="n">
        <f aca="false">(ABS(IF(AE28&lt;0,AE28*Early,AE28*Late))+ABS(IF(AF28&lt;0,AF28*Early,AF28*Late))+ABS(IF(AG28&lt;0,AG28*Early,AG28*Late)))/3</f>
        <v>3</v>
      </c>
      <c r="AO28" s="1" t="n">
        <f aca="false">(ABS(IF(AH28&lt;0,AH28*Early,AH28*Late))+ABS(IF(AI28&lt;0,AI28*Early,AI28*Late))+ABS(IF(AJ28&lt;0,AJ28*Early,AJ28*Late)))/3</f>
        <v>2</v>
      </c>
      <c r="AP28" s="1" t="n">
        <f aca="false">(ABS(IF(AK28&lt;0,AK28*Early,AK28*Late))+ABS(IF(AL28&lt;0,AL28*Early,AL28*Late))+ABS(IF(AM28&lt;0,AM28*Early,AM28*Late)))/3</f>
        <v>2</v>
      </c>
      <c r="AQ28" s="0" t="n">
        <f aca="false">Y28*Delay+AN28</f>
        <v>3</v>
      </c>
      <c r="AR28" s="0" t="n">
        <f aca="false">Z28*Delay+AO28</f>
        <v>2.5</v>
      </c>
      <c r="AS28" s="0" t="n">
        <f aca="false">AA28*Delay+AP28</f>
        <v>2.5</v>
      </c>
      <c r="AT28" s="0" t="n">
        <f aca="false">IF(AS28=MIN(AS26:AS29),1,0)</f>
        <v>0</v>
      </c>
      <c r="AX28" s="0" t="str">
        <f aca="false">B28&amp;C28&amp;D28</f>
        <v>EOO</v>
      </c>
      <c r="AY28" s="1" t="n">
        <f aca="false">AQ28+AR28+AS28</f>
        <v>8</v>
      </c>
      <c r="AZ28" s="1" t="str">
        <f aca="false">RIGHT(AX28,2)</f>
        <v>OO</v>
      </c>
      <c r="BA28" s="1" t="str">
        <f aca="false">LEFT(AX28,1)&amp;RIGHT(AX28,1)</f>
        <v>EO</v>
      </c>
      <c r="BB28" s="1" t="str">
        <f aca="false">LEFT(AX28,2)</f>
        <v>EO</v>
      </c>
      <c r="BC28" s="1" t="n">
        <f aca="false">VLOOKUP(AZ28,TwoPlayers!$AG$1:$AH$17,2,FALSE())</f>
        <v>5</v>
      </c>
      <c r="BD28" s="1" t="n">
        <f aca="false">VLOOKUP(BA28,TwoPlayers!$AG$1:$AH$17,2,FALSE())</f>
        <v>3</v>
      </c>
      <c r="BE28" s="1" t="n">
        <f aca="false">VLOOKUP(BB28,TwoPlayers!$AG$1:$AH$17,2,FALSE())</f>
        <v>3</v>
      </c>
      <c r="BF28" s="1" t="n">
        <f aca="false">$AY28-BC28</f>
        <v>3</v>
      </c>
      <c r="BG28" s="1" t="n">
        <f aca="false">$AY28-BD28</f>
        <v>5</v>
      </c>
      <c r="BH28" s="1" t="n">
        <f aca="false">$AY28-BE28</f>
        <v>5</v>
      </c>
      <c r="BJ28" s="0" t="n">
        <f aca="false">AQ28+BF28</f>
        <v>6</v>
      </c>
      <c r="BK28" s="0" t="n">
        <f aca="false">AR28+BG28</f>
        <v>7.5</v>
      </c>
      <c r="BL28" s="0" t="n">
        <f aca="false">AS28+BH28</f>
        <v>7.5</v>
      </c>
      <c r="BM28" s="0" t="n">
        <f aca="false">IF(BL28=MIN(BL26:BL30),1,0)</f>
        <v>1</v>
      </c>
    </row>
    <row r="29" customFormat="false" ht="13" hidden="false" customHeight="false" outlineLevel="0" collapsed="false">
      <c r="A29" s="0" t="n">
        <v>28</v>
      </c>
      <c r="B29" s="0" t="s">
        <v>2</v>
      </c>
      <c r="C29" s="0" t="s">
        <v>3</v>
      </c>
      <c r="D29" s="0" t="s">
        <v>4</v>
      </c>
      <c r="E29" s="0" t="n">
        <f aca="false">(IF($B29="V",1,0))+IF($C29="V",1,0)+IF($D29="V",1,0)</f>
        <v>0</v>
      </c>
      <c r="F29" s="0" t="n">
        <f aca="false">(IF($B29="E",1,0))+IF($C29="E",1,0)+IF($D29="E",1,0)</f>
        <v>1</v>
      </c>
      <c r="G29" s="0" t="n">
        <f aca="false">(IF($B29="O",1,0))+IF($C29="O",1,0)+IF($D29="O",1,0)</f>
        <v>1</v>
      </c>
      <c r="H29" s="0" t="n">
        <f aca="false">(IF($B29="L",1,0))+IF($C29="L",1,0)+IF($D29="L",1,0)</f>
        <v>1</v>
      </c>
      <c r="I29" s="0" t="n">
        <f aca="false">(IF(B29="V",1,0))</f>
        <v>0</v>
      </c>
      <c r="J29" s="0" t="n">
        <f aca="false">(IF(B29="E",1,0))</f>
        <v>1</v>
      </c>
      <c r="K29" s="0" t="n">
        <f aca="false">(IF(B29="O",1,0))</f>
        <v>0</v>
      </c>
      <c r="L29" s="0" t="n">
        <f aca="false">(IF(B29="L",1,0))</f>
        <v>0</v>
      </c>
      <c r="M29" s="0" t="n">
        <f aca="false">(IF(C29="V",1,0))</f>
        <v>0</v>
      </c>
      <c r="N29" s="0" t="n">
        <f aca="false">(IF(C29="E",1,0))</f>
        <v>0</v>
      </c>
      <c r="O29" s="0" t="n">
        <f aca="false">(IF(C29="O",1,0))</f>
        <v>1</v>
      </c>
      <c r="P29" s="0" t="n">
        <f aca="false">(IF(C29="L",1,0))</f>
        <v>0</v>
      </c>
      <c r="Q29" s="0" t="n">
        <f aca="false">(IF(D29="V",1,0))</f>
        <v>0</v>
      </c>
      <c r="R29" s="0" t="n">
        <f aca="false">(IF(D29="E",1,0))</f>
        <v>0</v>
      </c>
      <c r="S29" s="0" t="n">
        <f aca="false">(IF(D29="O",1,0))</f>
        <v>0</v>
      </c>
      <c r="T29" s="0" t="n">
        <f aca="false">(IF(D29="L",1,0))</f>
        <v>1</v>
      </c>
      <c r="U29" s="0" t="n">
        <f aca="false">MAX(E29-1,0)</f>
        <v>0</v>
      </c>
      <c r="V29" s="0" t="n">
        <f aca="false">MAX(U29-1+F29,0)</f>
        <v>0</v>
      </c>
      <c r="W29" s="0" t="n">
        <f aca="false">MAX(V29-1+G29,0)</f>
        <v>0</v>
      </c>
      <c r="X29" s="0" t="n">
        <f aca="false">MAX(W29-1+H29,0)</f>
        <v>0</v>
      </c>
      <c r="Y29" s="1" t="n">
        <f aca="false">0.5*(E29*I29+F29*J29+G29*K29+H29*L29-1)+(0+$U29*J29+$V29*K29+$W29*L29)</f>
        <v>0</v>
      </c>
      <c r="Z29" s="1" t="n">
        <f aca="false">0.5*(E29*M29+F29*N29+G29*O29+H29*P29-1)+(0+$U29*N29+$V29*O29+$W29*P29)</f>
        <v>0</v>
      </c>
      <c r="AA29" s="1" t="n">
        <f aca="false">0.5*(E29*Q29+F29*R29+G29*S29+H29*T29-1)+(0+$U29*R29+$V29*S29+$W29*T29)</f>
        <v>0</v>
      </c>
      <c r="AB29" s="0" t="n">
        <f aca="false">IF(B29="V",-2,0)+IF(B29="E",-1,0)+IF(B29="O",0,0)+IF(B29="L",1,0)+Y29</f>
        <v>-1</v>
      </c>
      <c r="AC29" s="0" t="n">
        <f aca="false">IF(C29="V",-2,0)+IF(C29="E",-1,0)+IF(C29="O",0,0)+IF(C29="L",1,0)+Z29</f>
        <v>0</v>
      </c>
      <c r="AD29" s="0" t="n">
        <f aca="false">IF(D29="V",-2,0)+IF(D29="E",-1,0)+IF(D29="O",0,0)+IF(D29="L",1,0)+AA29</f>
        <v>1</v>
      </c>
      <c r="AE29" s="1" t="n">
        <f aca="false">IF(B29="V",-2,0)+IF(B29="E",-1,0)+IF(B29="O",0,0)+IF(B29="L",1,0)</f>
        <v>-1</v>
      </c>
      <c r="AF29" s="1" t="n">
        <f aca="false">IF(B29="V",-2,0)+IF(B29="E",-1,0)+IF(B29="O",0,0)+IF(B29="L",1,0)+Y29</f>
        <v>-1</v>
      </c>
      <c r="AG29" s="1" t="n">
        <f aca="false">IF(B29="V",-2,0)+IF(B29="E",-1,0)+IF(B29="O",0,0)+IF(B29="L",1,0)+Y29*2</f>
        <v>-1</v>
      </c>
      <c r="AH29" s="1" t="n">
        <f aca="false">IF(C29="V",-2,0)+IF(C29="E",-1,0)+IF(C29="O",0,0)+IF(C29="L",1,0)</f>
        <v>0</v>
      </c>
      <c r="AI29" s="1" t="n">
        <f aca="false">IF(C29="V",-2,0)+IF(C29="E",-1,0)+IF(C29="O",0,0)+IF(C29="L",1,0)+Z29</f>
        <v>0</v>
      </c>
      <c r="AJ29" s="1" t="n">
        <f aca="false">IF(C29="V",-2,0)+IF(C29="E",-1,0)+IF(C29="O",0,0)+IF(C29="L",1,0)+Z29*2</f>
        <v>0</v>
      </c>
      <c r="AK29" s="1" t="n">
        <f aca="false">IF(D29="V",-2,0)+IF(D29="E",-1,0)+IF(D29="O",0,0)+IF(D29="L",1,0)</f>
        <v>1</v>
      </c>
      <c r="AL29" s="1" t="n">
        <f aca="false">IF(D29="V",-2,0)+IF(D29="E",-1,0)+IF(D29="O",0,0)+IF(D29="L",1,0)+AA29</f>
        <v>1</v>
      </c>
      <c r="AM29" s="1" t="n">
        <f aca="false">IF(D29="V",-2,0)+IF(D29="E",-1,0)+IF(D29="O",0,0)+IF(D29="L",1,0)+AA29*2</f>
        <v>1</v>
      </c>
      <c r="AN29" s="1" t="n">
        <f aca="false">(ABS(IF(AE29&lt;0,AE29*Early,AE29*Late))+ABS(IF(AF29&lt;0,AF29*Early,AF29*Late))+ABS(IF(AG29&lt;0,AG29*Early,AG29*Late)))/3</f>
        <v>3</v>
      </c>
      <c r="AO29" s="1" t="n">
        <f aca="false">(ABS(IF(AH29&lt;0,AH29*Early,AH29*Late))+ABS(IF(AI29&lt;0,AI29*Early,AI29*Late))+ABS(IF(AJ29&lt;0,AJ29*Early,AJ29*Late)))/3</f>
        <v>0</v>
      </c>
      <c r="AP29" s="1" t="n">
        <f aca="false">(ABS(IF(AK29&lt;0,AK29*Early,AK29*Late))+ABS(IF(AL29&lt;0,AL29*Early,AL29*Late))+ABS(IF(AM29&lt;0,AM29*Early,AM29*Late)))/3</f>
        <v>4</v>
      </c>
      <c r="AQ29" s="0" t="n">
        <f aca="false">Y29*Delay+AN29</f>
        <v>3</v>
      </c>
      <c r="AR29" s="0" t="n">
        <f aca="false">Z29*Delay+AO29</f>
        <v>0</v>
      </c>
      <c r="AS29" s="0" t="n">
        <f aca="false">AA29*Delay+AP29</f>
        <v>4</v>
      </c>
      <c r="AT29" s="0" t="n">
        <f aca="false">IF(AS29=MIN(AS26:AS29),1,0)</f>
        <v>0</v>
      </c>
      <c r="AX29" s="0" t="str">
        <f aca="false">B29&amp;C29&amp;D29</f>
        <v>EOL</v>
      </c>
      <c r="AY29" s="1" t="n">
        <f aca="false">AQ29+AR29+AS29</f>
        <v>7</v>
      </c>
      <c r="AZ29" s="1" t="str">
        <f aca="false">RIGHT(AX29,2)</f>
        <v>OL</v>
      </c>
      <c r="BA29" s="1" t="str">
        <f aca="false">LEFT(AX29,1)&amp;RIGHT(AX29,1)</f>
        <v>EL</v>
      </c>
      <c r="BB29" s="1" t="str">
        <f aca="false">LEFT(AX29,2)</f>
        <v>EO</v>
      </c>
      <c r="BC29" s="1" t="n">
        <f aca="false">VLOOKUP(AZ29,TwoPlayers!$AG$1:$AH$17,2,FALSE())</f>
        <v>4</v>
      </c>
      <c r="BD29" s="1" t="n">
        <f aca="false">VLOOKUP(BA29,TwoPlayers!$AG$1:$AH$17,2,FALSE())</f>
        <v>7</v>
      </c>
      <c r="BE29" s="1" t="n">
        <f aca="false">VLOOKUP(BB29,TwoPlayers!$AG$1:$AH$17,2,FALSE())</f>
        <v>3</v>
      </c>
      <c r="BF29" s="1" t="n">
        <f aca="false">$AY29-BC29</f>
        <v>3</v>
      </c>
      <c r="BG29" s="1" t="n">
        <f aca="false">$AY29-BD29</f>
        <v>0</v>
      </c>
      <c r="BH29" s="1" t="n">
        <f aca="false">$AY29-BE29</f>
        <v>4</v>
      </c>
      <c r="BJ29" s="0" t="n">
        <f aca="false">AQ29+BF29</f>
        <v>6</v>
      </c>
      <c r="BK29" s="0" t="n">
        <f aca="false">AR29+BG29</f>
        <v>0</v>
      </c>
      <c r="BL29" s="0" t="n">
        <f aca="false">AS29+BH29</f>
        <v>8</v>
      </c>
      <c r="BM29" s="0" t="n">
        <f aca="false">IF(BL29=MIN(BL26:BL30),1,0)</f>
        <v>0</v>
      </c>
    </row>
    <row r="30" customFormat="false" ht="13" hidden="false" customHeight="false" outlineLevel="0" collapsed="false">
      <c r="A30" s="0" t="n">
        <v>29</v>
      </c>
      <c r="B30" s="0" t="s">
        <v>2</v>
      </c>
      <c r="C30" s="0" t="s">
        <v>4</v>
      </c>
      <c r="D30" s="0" t="s">
        <v>1</v>
      </c>
      <c r="E30" s="0" t="n">
        <f aca="false">(IF($B30="V",1,0))+IF($C30="V",1,0)+IF($D30="V",1,0)</f>
        <v>1</v>
      </c>
      <c r="F30" s="0" t="n">
        <f aca="false">(IF($B30="E",1,0))+IF($C30="E",1,0)+IF($D30="E",1,0)</f>
        <v>1</v>
      </c>
      <c r="G30" s="0" t="n">
        <f aca="false">(IF($B30="O",1,0))+IF($C30="O",1,0)+IF($D30="O",1,0)</f>
        <v>0</v>
      </c>
      <c r="H30" s="0" t="n">
        <f aca="false">(IF($B30="L",1,0))+IF($C30="L",1,0)+IF($D30="L",1,0)</f>
        <v>1</v>
      </c>
      <c r="I30" s="0" t="n">
        <f aca="false">(IF(B30="V",1,0))</f>
        <v>0</v>
      </c>
      <c r="J30" s="0" t="n">
        <f aca="false">(IF(B30="E",1,0))</f>
        <v>1</v>
      </c>
      <c r="K30" s="0" t="n">
        <f aca="false">(IF(B30="O",1,0))</f>
        <v>0</v>
      </c>
      <c r="L30" s="0" t="n">
        <f aca="false">(IF(B30="L",1,0))</f>
        <v>0</v>
      </c>
      <c r="M30" s="0" t="n">
        <f aca="false">(IF(C30="V",1,0))</f>
        <v>0</v>
      </c>
      <c r="N30" s="0" t="n">
        <f aca="false">(IF(C30="E",1,0))</f>
        <v>0</v>
      </c>
      <c r="O30" s="0" t="n">
        <f aca="false">(IF(C30="O",1,0))</f>
        <v>0</v>
      </c>
      <c r="P30" s="0" t="n">
        <f aca="false">(IF(C30="L",1,0))</f>
        <v>1</v>
      </c>
      <c r="Q30" s="0" t="n">
        <f aca="false">(IF(D30="V",1,0))</f>
        <v>1</v>
      </c>
      <c r="R30" s="0" t="n">
        <f aca="false">(IF(D30="E",1,0))</f>
        <v>0</v>
      </c>
      <c r="S30" s="0" t="n">
        <f aca="false">(IF(D30="O",1,0))</f>
        <v>0</v>
      </c>
      <c r="T30" s="0" t="n">
        <f aca="false">(IF(D30="L",1,0))</f>
        <v>0</v>
      </c>
      <c r="U30" s="0" t="n">
        <f aca="false">MAX(E30-1,0)</f>
        <v>0</v>
      </c>
      <c r="V30" s="0" t="n">
        <f aca="false">MAX(U30-1+F30,0)</f>
        <v>0</v>
      </c>
      <c r="W30" s="0" t="n">
        <f aca="false">MAX(V30-1+G30,0)</f>
        <v>0</v>
      </c>
      <c r="X30" s="0" t="n">
        <f aca="false">MAX(W30-1+H30,0)</f>
        <v>0</v>
      </c>
      <c r="Y30" s="1" t="n">
        <f aca="false">0.5*(E30*I30+F30*J30+G30*K30+H30*L30-1)+(0+$U30*J30+$V30*K30+$W30*L30)</f>
        <v>0</v>
      </c>
      <c r="Z30" s="1" t="n">
        <f aca="false">0.5*(E30*M30+F30*N30+G30*O30+H30*P30-1)+(0+$U30*N30+$V30*O30+$W30*P30)</f>
        <v>0</v>
      </c>
      <c r="AA30" s="1" t="n">
        <f aca="false">0.5*(E30*Q30+F30*R30+G30*S30+H30*T30-1)+(0+$U30*R30+$V30*S30+$W30*T30)</f>
        <v>0</v>
      </c>
      <c r="AB30" s="0" t="n">
        <f aca="false">IF(B30="V",-2,0)+IF(B30="E",-1,0)+IF(B30="O",0,0)+IF(B30="L",1,0)+Y30</f>
        <v>-1</v>
      </c>
      <c r="AC30" s="0" t="n">
        <f aca="false">IF(C30="V",-2,0)+IF(C30="E",-1,0)+IF(C30="O",0,0)+IF(C30="L",1,0)+Z30</f>
        <v>1</v>
      </c>
      <c r="AD30" s="0" t="n">
        <f aca="false">IF(D30="V",-2,0)+IF(D30="E",-1,0)+IF(D30="O",0,0)+IF(D30="L",1,0)+AA30</f>
        <v>-2</v>
      </c>
      <c r="AE30" s="1" t="n">
        <f aca="false">IF(B30="V",-2,0)+IF(B30="E",-1,0)+IF(B30="O",0,0)+IF(B30="L",1,0)</f>
        <v>-1</v>
      </c>
      <c r="AF30" s="1" t="n">
        <f aca="false">IF(B30="V",-2,0)+IF(B30="E",-1,0)+IF(B30="O",0,0)+IF(B30="L",1,0)+Y30</f>
        <v>-1</v>
      </c>
      <c r="AG30" s="1" t="n">
        <f aca="false">IF(B30="V",-2,0)+IF(B30="E",-1,0)+IF(B30="O",0,0)+IF(B30="L",1,0)+Y30*2</f>
        <v>-1</v>
      </c>
      <c r="AH30" s="1" t="n">
        <f aca="false">IF(C30="V",-2,0)+IF(C30="E",-1,0)+IF(C30="O",0,0)+IF(C30="L",1,0)</f>
        <v>1</v>
      </c>
      <c r="AI30" s="1" t="n">
        <f aca="false">IF(C30="V",-2,0)+IF(C30="E",-1,0)+IF(C30="O",0,0)+IF(C30="L",1,0)+Z30</f>
        <v>1</v>
      </c>
      <c r="AJ30" s="1" t="n">
        <f aca="false">IF(C30="V",-2,0)+IF(C30="E",-1,0)+IF(C30="O",0,0)+IF(C30="L",1,0)+Z30*2</f>
        <v>1</v>
      </c>
      <c r="AK30" s="1" t="n">
        <f aca="false">IF(D30="V",-2,0)+IF(D30="E",-1,0)+IF(D30="O",0,0)+IF(D30="L",1,0)</f>
        <v>-2</v>
      </c>
      <c r="AL30" s="1" t="n">
        <f aca="false">IF(D30="V",-2,0)+IF(D30="E",-1,0)+IF(D30="O",0,0)+IF(D30="L",1,0)+AA30</f>
        <v>-2</v>
      </c>
      <c r="AM30" s="1" t="n">
        <f aca="false">IF(D30="V",-2,0)+IF(D30="E",-1,0)+IF(D30="O",0,0)+IF(D30="L",1,0)+AA30*2</f>
        <v>-2</v>
      </c>
      <c r="AN30" s="1" t="n">
        <f aca="false">(ABS(IF(AE30&lt;0,AE30*Early,AE30*Late))+ABS(IF(AF30&lt;0,AF30*Early,AF30*Late))+ABS(IF(AG30&lt;0,AG30*Early,AG30*Late)))/3</f>
        <v>3</v>
      </c>
      <c r="AO30" s="1" t="n">
        <f aca="false">(ABS(IF(AH30&lt;0,AH30*Early,AH30*Late))+ABS(IF(AI30&lt;0,AI30*Early,AI30*Late))+ABS(IF(AJ30&lt;0,AJ30*Early,AJ30*Late)))/3</f>
        <v>4</v>
      </c>
      <c r="AP30" s="1" t="n">
        <f aca="false">(ABS(IF(AK30&lt;0,AK30*Early,AK30*Late))+ABS(IF(AL30&lt;0,AL30*Early,AL30*Late))+ABS(IF(AM30&lt;0,AM30*Early,AM30*Late)))/3</f>
        <v>6</v>
      </c>
      <c r="AQ30" s="0" t="n">
        <f aca="false">Y30*Delay+AN30</f>
        <v>3</v>
      </c>
      <c r="AR30" s="0" t="n">
        <f aca="false">Z30*Delay+AO30</f>
        <v>4</v>
      </c>
      <c r="AS30" s="0" t="n">
        <f aca="false">AA30*Delay+AP30</f>
        <v>6</v>
      </c>
      <c r="AT30" s="0" t="n">
        <f aca="false">IF(AS30=MIN(AS30:AS33),1,0)</f>
        <v>0</v>
      </c>
      <c r="AX30" s="0" t="str">
        <f aca="false">B30&amp;C30&amp;D30</f>
        <v>ELV</v>
      </c>
      <c r="AY30" s="1" t="n">
        <f aca="false">AQ30+AR30+AS30</f>
        <v>13</v>
      </c>
      <c r="AZ30" s="1" t="str">
        <f aca="false">RIGHT(AX30,2)</f>
        <v>LV</v>
      </c>
      <c r="BA30" s="1" t="str">
        <f aca="false">LEFT(AX30,1)&amp;RIGHT(AX30,1)</f>
        <v>EV</v>
      </c>
      <c r="BB30" s="1" t="str">
        <f aca="false">LEFT(AX30,2)</f>
        <v>EL</v>
      </c>
      <c r="BC30" s="1" t="n">
        <f aca="false">VLOOKUP(AZ30,TwoPlayers!$AG$1:$AH$17,2,FALSE())</f>
        <v>10</v>
      </c>
      <c r="BD30" s="1" t="n">
        <f aca="false">VLOOKUP(BA30,TwoPlayers!$AG$1:$AH$17,2,FALSE())</f>
        <v>9</v>
      </c>
      <c r="BE30" s="1" t="n">
        <f aca="false">VLOOKUP(BB30,TwoPlayers!$AG$1:$AH$17,2,FALSE())</f>
        <v>7</v>
      </c>
      <c r="BF30" s="1" t="n">
        <f aca="false">$AY30-BC30</f>
        <v>3</v>
      </c>
      <c r="BG30" s="1" t="n">
        <f aca="false">$AY30-BD30</f>
        <v>4</v>
      </c>
      <c r="BH30" s="1" t="n">
        <f aca="false">$AY30-BE30</f>
        <v>6</v>
      </c>
      <c r="BJ30" s="0" t="n">
        <f aca="false">AQ30+BF30</f>
        <v>6</v>
      </c>
      <c r="BK30" s="0" t="n">
        <f aca="false">AR30+BG30</f>
        <v>8</v>
      </c>
      <c r="BL30" s="0" t="n">
        <f aca="false">AS30+BH30</f>
        <v>12</v>
      </c>
      <c r="BM30" s="0" t="n">
        <f aca="false">IF(BL30=MIN(BL30:BL34),1,0)</f>
        <v>0</v>
      </c>
    </row>
    <row r="31" customFormat="false" ht="13" hidden="false" customHeight="false" outlineLevel="0" collapsed="false">
      <c r="A31" s="0" t="n">
        <v>30</v>
      </c>
      <c r="B31" s="0" t="s">
        <v>2</v>
      </c>
      <c r="C31" s="0" t="s">
        <v>4</v>
      </c>
      <c r="D31" s="0" t="s">
        <v>2</v>
      </c>
      <c r="E31" s="0" t="n">
        <f aca="false">(IF($B31="V",1,0))+IF($C31="V",1,0)+IF($D31="V",1,0)</f>
        <v>0</v>
      </c>
      <c r="F31" s="0" t="n">
        <f aca="false">(IF($B31="E",1,0))+IF($C31="E",1,0)+IF($D31="E",1,0)</f>
        <v>2</v>
      </c>
      <c r="G31" s="0" t="n">
        <f aca="false">(IF($B31="O",1,0))+IF($C31="O",1,0)+IF($D31="O",1,0)</f>
        <v>0</v>
      </c>
      <c r="H31" s="0" t="n">
        <f aca="false">(IF($B31="L",1,0))+IF($C31="L",1,0)+IF($D31="L",1,0)</f>
        <v>1</v>
      </c>
      <c r="I31" s="0" t="n">
        <f aca="false">(IF(B31="V",1,0))</f>
        <v>0</v>
      </c>
      <c r="J31" s="0" t="n">
        <f aca="false">(IF(B31="E",1,0))</f>
        <v>1</v>
      </c>
      <c r="K31" s="0" t="n">
        <f aca="false">(IF(B31="O",1,0))</f>
        <v>0</v>
      </c>
      <c r="L31" s="0" t="n">
        <f aca="false">(IF(B31="L",1,0))</f>
        <v>0</v>
      </c>
      <c r="M31" s="0" t="n">
        <f aca="false">(IF(C31="V",1,0))</f>
        <v>0</v>
      </c>
      <c r="N31" s="0" t="n">
        <f aca="false">(IF(C31="E",1,0))</f>
        <v>0</v>
      </c>
      <c r="O31" s="0" t="n">
        <f aca="false">(IF(C31="O",1,0))</f>
        <v>0</v>
      </c>
      <c r="P31" s="0" t="n">
        <f aca="false">(IF(C31="L",1,0))</f>
        <v>1</v>
      </c>
      <c r="Q31" s="0" t="n">
        <f aca="false">(IF(D31="V",1,0))</f>
        <v>0</v>
      </c>
      <c r="R31" s="0" t="n">
        <f aca="false">(IF(D31="E",1,0))</f>
        <v>1</v>
      </c>
      <c r="S31" s="0" t="n">
        <f aca="false">(IF(D31="O",1,0))</f>
        <v>0</v>
      </c>
      <c r="T31" s="0" t="n">
        <f aca="false">(IF(D31="L",1,0))</f>
        <v>0</v>
      </c>
      <c r="U31" s="0" t="n">
        <f aca="false">MAX(E31-1,0)</f>
        <v>0</v>
      </c>
      <c r="V31" s="0" t="n">
        <f aca="false">MAX(U31-1+F31,0)</f>
        <v>1</v>
      </c>
      <c r="W31" s="0" t="n">
        <f aca="false">MAX(V31-1+G31,0)</f>
        <v>0</v>
      </c>
      <c r="X31" s="0" t="n">
        <f aca="false">MAX(W31-1+H31,0)</f>
        <v>0</v>
      </c>
      <c r="Y31" s="1" t="n">
        <f aca="false">0.5*(E31*I31+F31*J31+G31*K31+H31*L31-1)+(0+$U31*J31+$V31*K31+$W31*L31)</f>
        <v>0.5</v>
      </c>
      <c r="Z31" s="1" t="n">
        <f aca="false">0.5*(E31*M31+F31*N31+G31*O31+H31*P31-1)+(0+$U31*N31+$V31*O31+$W31*P31)</f>
        <v>0</v>
      </c>
      <c r="AA31" s="1" t="n">
        <f aca="false">0.5*(E31*Q31+F31*R31+G31*S31+H31*T31-1)+(0+$U31*R31+$V31*S31+$W31*T31)</f>
        <v>0.5</v>
      </c>
      <c r="AB31" s="0" t="n">
        <f aca="false">IF(B31="V",-2,0)+IF(B31="E",-1,0)+IF(B31="O",0,0)+IF(B31="L",1,0)+Y31</f>
        <v>-0.5</v>
      </c>
      <c r="AC31" s="0" t="n">
        <f aca="false">IF(C31="V",-2,0)+IF(C31="E",-1,0)+IF(C31="O",0,0)+IF(C31="L",1,0)+Z31</f>
        <v>1</v>
      </c>
      <c r="AD31" s="0" t="n">
        <f aca="false">IF(D31="V",-2,0)+IF(D31="E",-1,0)+IF(D31="O",0,0)+IF(D31="L",1,0)+AA31</f>
        <v>-0.5</v>
      </c>
      <c r="AE31" s="1" t="n">
        <f aca="false">IF(B31="V",-2,0)+IF(B31="E",-1,0)+IF(B31="O",0,0)+IF(B31="L",1,0)</f>
        <v>-1</v>
      </c>
      <c r="AF31" s="1" t="n">
        <f aca="false">IF(B31="V",-2,0)+IF(B31="E",-1,0)+IF(B31="O",0,0)+IF(B31="L",1,0)+Y31</f>
        <v>-0.5</v>
      </c>
      <c r="AG31" s="1" t="n">
        <f aca="false">IF(B31="V",-2,0)+IF(B31="E",-1,0)+IF(B31="O",0,0)+IF(B31="L",1,0)+Y31*2</f>
        <v>0</v>
      </c>
      <c r="AH31" s="1" t="n">
        <f aca="false">IF(C31="V",-2,0)+IF(C31="E",-1,0)+IF(C31="O",0,0)+IF(C31="L",1,0)</f>
        <v>1</v>
      </c>
      <c r="AI31" s="1" t="n">
        <f aca="false">IF(C31="V",-2,0)+IF(C31="E",-1,0)+IF(C31="O",0,0)+IF(C31="L",1,0)+Z31</f>
        <v>1</v>
      </c>
      <c r="AJ31" s="1" t="n">
        <f aca="false">IF(C31="V",-2,0)+IF(C31="E",-1,0)+IF(C31="O",0,0)+IF(C31="L",1,0)+Z31*2</f>
        <v>1</v>
      </c>
      <c r="AK31" s="1" t="n">
        <f aca="false">IF(D31="V",-2,0)+IF(D31="E",-1,0)+IF(D31="O",0,0)+IF(D31="L",1,0)</f>
        <v>-1</v>
      </c>
      <c r="AL31" s="1" t="n">
        <f aca="false">IF(D31="V",-2,0)+IF(D31="E",-1,0)+IF(D31="O",0,0)+IF(D31="L",1,0)+AA31</f>
        <v>-0.5</v>
      </c>
      <c r="AM31" s="1" t="n">
        <f aca="false">IF(D31="V",-2,0)+IF(D31="E",-1,0)+IF(D31="O",0,0)+IF(D31="L",1,0)+AA31*2</f>
        <v>0</v>
      </c>
      <c r="AN31" s="1" t="n">
        <f aca="false">(ABS(IF(AE31&lt;0,AE31*Early,AE31*Late))+ABS(IF(AF31&lt;0,AF31*Early,AF31*Late))+ABS(IF(AG31&lt;0,AG31*Early,AG31*Late)))/3</f>
        <v>1.5</v>
      </c>
      <c r="AO31" s="1" t="n">
        <f aca="false">(ABS(IF(AH31&lt;0,AH31*Early,AH31*Late))+ABS(IF(AI31&lt;0,AI31*Early,AI31*Late))+ABS(IF(AJ31&lt;0,AJ31*Early,AJ31*Late)))/3</f>
        <v>4</v>
      </c>
      <c r="AP31" s="1" t="n">
        <f aca="false">(ABS(IF(AK31&lt;0,AK31*Early,AK31*Late))+ABS(IF(AL31&lt;0,AL31*Early,AL31*Late))+ABS(IF(AM31&lt;0,AM31*Early,AM31*Late)))/3</f>
        <v>1.5</v>
      </c>
      <c r="AQ31" s="0" t="n">
        <f aca="false">Y31*Delay+AN31</f>
        <v>2</v>
      </c>
      <c r="AR31" s="0" t="n">
        <f aca="false">Z31*Delay+AO31</f>
        <v>4</v>
      </c>
      <c r="AS31" s="0" t="n">
        <f aca="false">AA31*Delay+AP31</f>
        <v>2</v>
      </c>
      <c r="AT31" s="0" t="n">
        <f aca="false">IF(AS31=MIN(AS30:AS33),1,0)</f>
        <v>0</v>
      </c>
      <c r="AX31" s="0" t="str">
        <f aca="false">B31&amp;C31&amp;D31</f>
        <v>ELE</v>
      </c>
      <c r="AY31" s="1" t="n">
        <f aca="false">AQ31+AR31+AS31</f>
        <v>8</v>
      </c>
      <c r="AZ31" s="1" t="str">
        <f aca="false">RIGHT(AX31,2)</f>
        <v>LE</v>
      </c>
      <c r="BA31" s="1" t="str">
        <f aca="false">LEFT(AX31,1)&amp;RIGHT(AX31,1)</f>
        <v>EE</v>
      </c>
      <c r="BB31" s="1" t="str">
        <f aca="false">LEFT(AX31,2)</f>
        <v>EL</v>
      </c>
      <c r="BC31" s="1" t="n">
        <f aca="false">VLOOKUP(AZ31,TwoPlayers!$AG$1:$AH$17,2,FALSE())</f>
        <v>7</v>
      </c>
      <c r="BD31" s="1" t="n">
        <f aca="false">VLOOKUP(BA31,TwoPlayers!$AG$1:$AH$17,2,FALSE())</f>
        <v>4</v>
      </c>
      <c r="BE31" s="1" t="n">
        <f aca="false">VLOOKUP(BB31,TwoPlayers!$AG$1:$AH$17,2,FALSE())</f>
        <v>7</v>
      </c>
      <c r="BF31" s="1" t="n">
        <f aca="false">$AY31-BC31</f>
        <v>1</v>
      </c>
      <c r="BG31" s="1" t="n">
        <f aca="false">$AY31-BD31</f>
        <v>4</v>
      </c>
      <c r="BH31" s="1" t="n">
        <f aca="false">$AY31-BE31</f>
        <v>1</v>
      </c>
      <c r="BJ31" s="0" t="n">
        <f aca="false">AQ31+BF31</f>
        <v>3</v>
      </c>
      <c r="BK31" s="0" t="n">
        <f aca="false">AR31+BG31</f>
        <v>8</v>
      </c>
      <c r="BL31" s="0" t="n">
        <f aca="false">AS31+BH31</f>
        <v>3</v>
      </c>
      <c r="BM31" s="0" t="n">
        <f aca="false">IF(BL31=MIN(BL30:BL34),1,0)</f>
        <v>0</v>
      </c>
    </row>
    <row r="32" customFormat="false" ht="13" hidden="false" customHeight="false" outlineLevel="0" collapsed="false">
      <c r="A32" s="0" t="n">
        <v>31</v>
      </c>
      <c r="B32" s="0" t="s">
        <v>2</v>
      </c>
      <c r="C32" s="0" t="s">
        <v>4</v>
      </c>
      <c r="D32" s="0" t="s">
        <v>3</v>
      </c>
      <c r="E32" s="0" t="n">
        <f aca="false">(IF($B32="V",1,0))+IF($C32="V",1,0)+IF($D32="V",1,0)</f>
        <v>0</v>
      </c>
      <c r="F32" s="0" t="n">
        <f aca="false">(IF($B32="E",1,0))+IF($C32="E",1,0)+IF($D32="E",1,0)</f>
        <v>1</v>
      </c>
      <c r="G32" s="0" t="n">
        <f aca="false">(IF($B32="O",1,0))+IF($C32="O",1,0)+IF($D32="O",1,0)</f>
        <v>1</v>
      </c>
      <c r="H32" s="0" t="n">
        <f aca="false">(IF($B32="L",1,0))+IF($C32="L",1,0)+IF($D32="L",1,0)</f>
        <v>1</v>
      </c>
      <c r="I32" s="0" t="n">
        <f aca="false">(IF(B32="V",1,0))</f>
        <v>0</v>
      </c>
      <c r="J32" s="0" t="n">
        <f aca="false">(IF(B32="E",1,0))</f>
        <v>1</v>
      </c>
      <c r="K32" s="0" t="n">
        <f aca="false">(IF(B32="O",1,0))</f>
        <v>0</v>
      </c>
      <c r="L32" s="0" t="n">
        <f aca="false">(IF(B32="L",1,0))</f>
        <v>0</v>
      </c>
      <c r="M32" s="0" t="n">
        <f aca="false">(IF(C32="V",1,0))</f>
        <v>0</v>
      </c>
      <c r="N32" s="0" t="n">
        <f aca="false">(IF(C32="E",1,0))</f>
        <v>0</v>
      </c>
      <c r="O32" s="0" t="n">
        <f aca="false">(IF(C32="O",1,0))</f>
        <v>0</v>
      </c>
      <c r="P32" s="0" t="n">
        <f aca="false">(IF(C32="L",1,0))</f>
        <v>1</v>
      </c>
      <c r="Q32" s="0" t="n">
        <f aca="false">(IF(D32="V",1,0))</f>
        <v>0</v>
      </c>
      <c r="R32" s="0" t="n">
        <f aca="false">(IF(D32="E",1,0))</f>
        <v>0</v>
      </c>
      <c r="S32" s="0" t="n">
        <f aca="false">(IF(D32="O",1,0))</f>
        <v>1</v>
      </c>
      <c r="T32" s="0" t="n">
        <f aca="false">(IF(D32="L",1,0))</f>
        <v>0</v>
      </c>
      <c r="U32" s="0" t="n">
        <f aca="false">MAX(E32-1,0)</f>
        <v>0</v>
      </c>
      <c r="V32" s="0" t="n">
        <f aca="false">MAX(U32-1+F32,0)</f>
        <v>0</v>
      </c>
      <c r="W32" s="0" t="n">
        <f aca="false">MAX(V32-1+G32,0)</f>
        <v>0</v>
      </c>
      <c r="X32" s="0" t="n">
        <f aca="false">MAX(W32-1+H32,0)</f>
        <v>0</v>
      </c>
      <c r="Y32" s="1" t="n">
        <f aca="false">0.5*(E32*I32+F32*J32+G32*K32+H32*L32-1)+(0+$U32*J32+$V32*K32+$W32*L32)</f>
        <v>0</v>
      </c>
      <c r="Z32" s="1" t="n">
        <f aca="false">0.5*(E32*M32+F32*N32+G32*O32+H32*P32-1)+(0+$U32*N32+$V32*O32+$W32*P32)</f>
        <v>0</v>
      </c>
      <c r="AA32" s="1" t="n">
        <f aca="false">0.5*(E32*Q32+F32*R32+G32*S32+H32*T32-1)+(0+$U32*R32+$V32*S32+$W32*T32)</f>
        <v>0</v>
      </c>
      <c r="AB32" s="0" t="n">
        <f aca="false">IF(B32="V",-2,0)+IF(B32="E",-1,0)+IF(B32="O",0,0)+IF(B32="L",1,0)+Y32</f>
        <v>-1</v>
      </c>
      <c r="AC32" s="0" t="n">
        <f aca="false">IF(C32="V",-2,0)+IF(C32="E",-1,0)+IF(C32="O",0,0)+IF(C32="L",1,0)+Z32</f>
        <v>1</v>
      </c>
      <c r="AD32" s="0" t="n">
        <f aca="false">IF(D32="V",-2,0)+IF(D32="E",-1,0)+IF(D32="O",0,0)+IF(D32="L",1,0)+AA32</f>
        <v>0</v>
      </c>
      <c r="AE32" s="1" t="n">
        <f aca="false">IF(B32="V",-2,0)+IF(B32="E",-1,0)+IF(B32="O",0,0)+IF(B32="L",1,0)</f>
        <v>-1</v>
      </c>
      <c r="AF32" s="1" t="n">
        <f aca="false">IF(B32="V",-2,0)+IF(B32="E",-1,0)+IF(B32="O",0,0)+IF(B32="L",1,0)+Y32</f>
        <v>-1</v>
      </c>
      <c r="AG32" s="1" t="n">
        <f aca="false">IF(B32="V",-2,0)+IF(B32="E",-1,0)+IF(B32="O",0,0)+IF(B32="L",1,0)+Y32*2</f>
        <v>-1</v>
      </c>
      <c r="AH32" s="1" t="n">
        <f aca="false">IF(C32="V",-2,0)+IF(C32="E",-1,0)+IF(C32="O",0,0)+IF(C32="L",1,0)</f>
        <v>1</v>
      </c>
      <c r="AI32" s="1" t="n">
        <f aca="false">IF(C32="V",-2,0)+IF(C32="E",-1,0)+IF(C32="O",0,0)+IF(C32="L",1,0)+Z32</f>
        <v>1</v>
      </c>
      <c r="AJ32" s="1" t="n">
        <f aca="false">IF(C32="V",-2,0)+IF(C32="E",-1,0)+IF(C32="O",0,0)+IF(C32="L",1,0)+Z32*2</f>
        <v>1</v>
      </c>
      <c r="AK32" s="1" t="n">
        <f aca="false">IF(D32="V",-2,0)+IF(D32="E",-1,0)+IF(D32="O",0,0)+IF(D32="L",1,0)</f>
        <v>0</v>
      </c>
      <c r="AL32" s="1" t="n">
        <f aca="false">IF(D32="V",-2,0)+IF(D32="E",-1,0)+IF(D32="O",0,0)+IF(D32="L",1,0)+AA32</f>
        <v>0</v>
      </c>
      <c r="AM32" s="1" t="n">
        <f aca="false">IF(D32="V",-2,0)+IF(D32="E",-1,0)+IF(D32="O",0,0)+IF(D32="L",1,0)+AA32*2</f>
        <v>0</v>
      </c>
      <c r="AN32" s="1" t="n">
        <f aca="false">(ABS(IF(AE32&lt;0,AE32*Early,AE32*Late))+ABS(IF(AF32&lt;0,AF32*Early,AF32*Late))+ABS(IF(AG32&lt;0,AG32*Early,AG32*Late)))/3</f>
        <v>3</v>
      </c>
      <c r="AO32" s="1" t="n">
        <f aca="false">(ABS(IF(AH32&lt;0,AH32*Early,AH32*Late))+ABS(IF(AI32&lt;0,AI32*Early,AI32*Late))+ABS(IF(AJ32&lt;0,AJ32*Early,AJ32*Late)))/3</f>
        <v>4</v>
      </c>
      <c r="AP32" s="1" t="n">
        <f aca="false">(ABS(IF(AK32&lt;0,AK32*Early,AK32*Late))+ABS(IF(AL32&lt;0,AL32*Early,AL32*Late))+ABS(IF(AM32&lt;0,AM32*Early,AM32*Late)))/3</f>
        <v>0</v>
      </c>
      <c r="AQ32" s="0" t="n">
        <f aca="false">Y32*Delay+AN32</f>
        <v>3</v>
      </c>
      <c r="AR32" s="0" t="n">
        <f aca="false">Z32*Delay+AO32</f>
        <v>4</v>
      </c>
      <c r="AS32" s="0" t="n">
        <f aca="false">AA32*Delay+AP32</f>
        <v>0</v>
      </c>
      <c r="AT32" s="0" t="n">
        <f aca="false">IF(AS32=MIN(AS30:AS33),1,0)</f>
        <v>1</v>
      </c>
      <c r="AX32" s="0" t="str">
        <f aca="false">B32&amp;C32&amp;D32</f>
        <v>ELO</v>
      </c>
      <c r="AY32" s="1" t="n">
        <f aca="false">AQ32+AR32+AS32</f>
        <v>7</v>
      </c>
      <c r="AZ32" s="1" t="str">
        <f aca="false">RIGHT(AX32,2)</f>
        <v>LO</v>
      </c>
      <c r="BA32" s="1" t="str">
        <f aca="false">LEFT(AX32,1)&amp;RIGHT(AX32,1)</f>
        <v>EO</v>
      </c>
      <c r="BB32" s="1" t="str">
        <f aca="false">LEFT(AX32,2)</f>
        <v>EL</v>
      </c>
      <c r="BC32" s="1" t="n">
        <f aca="false">VLOOKUP(AZ32,TwoPlayers!$AG$1:$AH$17,2,FALSE())</f>
        <v>4</v>
      </c>
      <c r="BD32" s="1" t="n">
        <f aca="false">VLOOKUP(BA32,TwoPlayers!$AG$1:$AH$17,2,FALSE())</f>
        <v>3</v>
      </c>
      <c r="BE32" s="1" t="n">
        <f aca="false">VLOOKUP(BB32,TwoPlayers!$AG$1:$AH$17,2,FALSE())</f>
        <v>7</v>
      </c>
      <c r="BF32" s="1" t="n">
        <f aca="false">$AY32-BC32</f>
        <v>3</v>
      </c>
      <c r="BG32" s="1" t="n">
        <f aca="false">$AY32-BD32</f>
        <v>4</v>
      </c>
      <c r="BH32" s="1" t="n">
        <f aca="false">$AY32-BE32</f>
        <v>0</v>
      </c>
      <c r="BJ32" s="0" t="n">
        <f aca="false">AQ32+BF32</f>
        <v>6</v>
      </c>
      <c r="BK32" s="0" t="n">
        <f aca="false">AR32+BG32</f>
        <v>8</v>
      </c>
      <c r="BL32" s="0" t="n">
        <f aca="false">AS32+BH32</f>
        <v>0</v>
      </c>
      <c r="BM32" s="0" t="n">
        <f aca="false">IF(BL32=MIN(BL30:BL34),1,0)</f>
        <v>1</v>
      </c>
    </row>
    <row r="33" customFormat="false" ht="13" hidden="false" customHeight="false" outlineLevel="0" collapsed="false">
      <c r="A33" s="0" t="n">
        <v>32</v>
      </c>
      <c r="B33" s="0" t="s">
        <v>2</v>
      </c>
      <c r="C33" s="0" t="s">
        <v>4</v>
      </c>
      <c r="D33" s="0" t="s">
        <v>4</v>
      </c>
      <c r="E33" s="0" t="n">
        <f aca="false">(IF($B33="V",1,0))+IF($C33="V",1,0)+IF($D33="V",1,0)</f>
        <v>0</v>
      </c>
      <c r="F33" s="0" t="n">
        <f aca="false">(IF($B33="E",1,0))+IF($C33="E",1,0)+IF($D33="E",1,0)</f>
        <v>1</v>
      </c>
      <c r="G33" s="0" t="n">
        <f aca="false">(IF($B33="O",1,0))+IF($C33="O",1,0)+IF($D33="O",1,0)</f>
        <v>0</v>
      </c>
      <c r="H33" s="0" t="n">
        <f aca="false">(IF($B33="L",1,0))+IF($C33="L",1,0)+IF($D33="L",1,0)</f>
        <v>2</v>
      </c>
      <c r="I33" s="0" t="n">
        <f aca="false">(IF(B33="V",1,0))</f>
        <v>0</v>
      </c>
      <c r="J33" s="0" t="n">
        <f aca="false">(IF(B33="E",1,0))</f>
        <v>1</v>
      </c>
      <c r="K33" s="0" t="n">
        <f aca="false">(IF(B33="O",1,0))</f>
        <v>0</v>
      </c>
      <c r="L33" s="0" t="n">
        <f aca="false">(IF(B33="L",1,0))</f>
        <v>0</v>
      </c>
      <c r="M33" s="0" t="n">
        <f aca="false">(IF(C33="V",1,0))</f>
        <v>0</v>
      </c>
      <c r="N33" s="0" t="n">
        <f aca="false">(IF(C33="E",1,0))</f>
        <v>0</v>
      </c>
      <c r="O33" s="0" t="n">
        <f aca="false">(IF(C33="O",1,0))</f>
        <v>0</v>
      </c>
      <c r="P33" s="0" t="n">
        <f aca="false">(IF(C33="L",1,0))</f>
        <v>1</v>
      </c>
      <c r="Q33" s="0" t="n">
        <f aca="false">(IF(D33="V",1,0))</f>
        <v>0</v>
      </c>
      <c r="R33" s="0" t="n">
        <f aca="false">(IF(D33="E",1,0))</f>
        <v>0</v>
      </c>
      <c r="S33" s="0" t="n">
        <f aca="false">(IF(D33="O",1,0))</f>
        <v>0</v>
      </c>
      <c r="T33" s="0" t="n">
        <f aca="false">(IF(D33="L",1,0))</f>
        <v>1</v>
      </c>
      <c r="U33" s="0" t="n">
        <f aca="false">MAX(E33-1,0)</f>
        <v>0</v>
      </c>
      <c r="V33" s="0" t="n">
        <f aca="false">MAX(U33-1+F33,0)</f>
        <v>0</v>
      </c>
      <c r="W33" s="0" t="n">
        <f aca="false">MAX(V33-1+G33,0)</f>
        <v>0</v>
      </c>
      <c r="X33" s="0" t="n">
        <f aca="false">MAX(W33-1+H33,0)</f>
        <v>1</v>
      </c>
      <c r="Y33" s="1" t="n">
        <f aca="false">0.5*(E33*I33+F33*J33+G33*K33+H33*L33-1)+(0+$U33*J33+$V33*K33+$W33*L33)</f>
        <v>0</v>
      </c>
      <c r="Z33" s="1" t="n">
        <f aca="false">0.5*(E33*M33+F33*N33+G33*O33+H33*P33-1)+(0+$U33*N33+$V33*O33+$W33*P33)</f>
        <v>0.5</v>
      </c>
      <c r="AA33" s="1" t="n">
        <f aca="false">0.5*(E33*Q33+F33*R33+G33*S33+H33*T33-1)+(0+$U33*R33+$V33*S33+$W33*T33)</f>
        <v>0.5</v>
      </c>
      <c r="AB33" s="0" t="n">
        <f aca="false">IF(B33="V",-2,0)+IF(B33="E",-1,0)+IF(B33="O",0,0)+IF(B33="L",1,0)+Y33</f>
        <v>-1</v>
      </c>
      <c r="AC33" s="0" t="n">
        <f aca="false">IF(C33="V",-2,0)+IF(C33="E",-1,0)+IF(C33="O",0,0)+IF(C33="L",1,0)+Z33</f>
        <v>1.5</v>
      </c>
      <c r="AD33" s="0" t="n">
        <f aca="false">IF(D33="V",-2,0)+IF(D33="E",-1,0)+IF(D33="O",0,0)+IF(D33="L",1,0)+AA33</f>
        <v>1.5</v>
      </c>
      <c r="AE33" s="1" t="n">
        <f aca="false">IF(B33="V",-2,0)+IF(B33="E",-1,0)+IF(B33="O",0,0)+IF(B33="L",1,0)</f>
        <v>-1</v>
      </c>
      <c r="AF33" s="1" t="n">
        <f aca="false">IF(B33="V",-2,0)+IF(B33="E",-1,0)+IF(B33="O",0,0)+IF(B33="L",1,0)+Y33</f>
        <v>-1</v>
      </c>
      <c r="AG33" s="1" t="n">
        <f aca="false">IF(B33="V",-2,0)+IF(B33="E",-1,0)+IF(B33="O",0,0)+IF(B33="L",1,0)+Y33*2</f>
        <v>-1</v>
      </c>
      <c r="AH33" s="1" t="n">
        <f aca="false">IF(C33="V",-2,0)+IF(C33="E",-1,0)+IF(C33="O",0,0)+IF(C33="L",1,0)</f>
        <v>1</v>
      </c>
      <c r="AI33" s="1" t="n">
        <f aca="false">IF(C33="V",-2,0)+IF(C33="E",-1,0)+IF(C33="O",0,0)+IF(C33="L",1,0)+Z33</f>
        <v>1.5</v>
      </c>
      <c r="AJ33" s="1" t="n">
        <f aca="false">IF(C33="V",-2,0)+IF(C33="E",-1,0)+IF(C33="O",0,0)+IF(C33="L",1,0)+Z33*2</f>
        <v>2</v>
      </c>
      <c r="AK33" s="1" t="n">
        <f aca="false">IF(D33="V",-2,0)+IF(D33="E",-1,0)+IF(D33="O",0,0)+IF(D33="L",1,0)</f>
        <v>1</v>
      </c>
      <c r="AL33" s="1" t="n">
        <f aca="false">IF(D33="V",-2,0)+IF(D33="E",-1,0)+IF(D33="O",0,0)+IF(D33="L",1,0)+AA33</f>
        <v>1.5</v>
      </c>
      <c r="AM33" s="1" t="n">
        <f aca="false">IF(D33="V",-2,0)+IF(D33="E",-1,0)+IF(D33="O",0,0)+IF(D33="L",1,0)+AA33*2</f>
        <v>2</v>
      </c>
      <c r="AN33" s="1" t="n">
        <f aca="false">(ABS(IF(AE33&lt;0,AE33*Early,AE33*Late))+ABS(IF(AF33&lt;0,AF33*Early,AF33*Late))+ABS(IF(AG33&lt;0,AG33*Early,AG33*Late)))/3</f>
        <v>3</v>
      </c>
      <c r="AO33" s="1" t="n">
        <f aca="false">(ABS(IF(AH33&lt;0,AH33*Early,AH33*Late))+ABS(IF(AI33&lt;0,AI33*Early,AI33*Late))+ABS(IF(AJ33&lt;0,AJ33*Early,AJ33*Late)))/3</f>
        <v>6</v>
      </c>
      <c r="AP33" s="1" t="n">
        <f aca="false">(ABS(IF(AK33&lt;0,AK33*Early,AK33*Late))+ABS(IF(AL33&lt;0,AL33*Early,AL33*Late))+ABS(IF(AM33&lt;0,AM33*Early,AM33*Late)))/3</f>
        <v>6</v>
      </c>
      <c r="AQ33" s="0" t="n">
        <f aca="false">Y33*Delay+AN33</f>
        <v>3</v>
      </c>
      <c r="AR33" s="0" t="n">
        <f aca="false">Z33*Delay+AO33</f>
        <v>6.5</v>
      </c>
      <c r="AS33" s="0" t="n">
        <f aca="false">AA33*Delay+AP33</f>
        <v>6.5</v>
      </c>
      <c r="AT33" s="0" t="n">
        <f aca="false">IF(AS33=MIN(AS30:AS33),1,0)</f>
        <v>0</v>
      </c>
      <c r="AX33" s="0" t="str">
        <f aca="false">B33&amp;C33&amp;D33</f>
        <v>ELL</v>
      </c>
      <c r="AY33" s="1" t="n">
        <f aca="false">AQ33+AR33+AS33</f>
        <v>16</v>
      </c>
      <c r="AZ33" s="1" t="str">
        <f aca="false">RIGHT(AX33,2)</f>
        <v>LL</v>
      </c>
      <c r="BA33" s="1" t="str">
        <f aca="false">LEFT(AX33,1)&amp;RIGHT(AX33,1)</f>
        <v>EL</v>
      </c>
      <c r="BB33" s="1" t="str">
        <f aca="false">LEFT(AX33,2)</f>
        <v>EL</v>
      </c>
      <c r="BC33" s="1" t="n">
        <f aca="false">VLOOKUP(AZ33,TwoPlayers!$AG$1:$AH$17,2,FALSE())</f>
        <v>13</v>
      </c>
      <c r="BD33" s="1" t="n">
        <f aca="false">VLOOKUP(BA33,TwoPlayers!$AG$1:$AH$17,2,FALSE())</f>
        <v>7</v>
      </c>
      <c r="BE33" s="1" t="n">
        <f aca="false">VLOOKUP(BB33,TwoPlayers!$AG$1:$AH$17,2,FALSE())</f>
        <v>7</v>
      </c>
      <c r="BF33" s="1" t="n">
        <f aca="false">$AY33-BC33</f>
        <v>3</v>
      </c>
      <c r="BG33" s="1" t="n">
        <f aca="false">$AY33-BD33</f>
        <v>9</v>
      </c>
      <c r="BH33" s="1" t="n">
        <f aca="false">$AY33-BE33</f>
        <v>9</v>
      </c>
      <c r="BJ33" s="0" t="n">
        <f aca="false">AQ33+BF33</f>
        <v>6</v>
      </c>
      <c r="BK33" s="0" t="n">
        <f aca="false">AR33+BG33</f>
        <v>15.5</v>
      </c>
      <c r="BL33" s="0" t="n">
        <f aca="false">AS33+BH33</f>
        <v>15.5</v>
      </c>
      <c r="BM33" s="0" t="n">
        <f aca="false">IF(BL33=MIN(BL30:BL34),1,0)</f>
        <v>0</v>
      </c>
    </row>
    <row r="34" customFormat="false" ht="13" hidden="false" customHeight="false" outlineLevel="0" collapsed="false">
      <c r="A34" s="0" t="n">
        <v>33</v>
      </c>
      <c r="B34" s="0" t="s">
        <v>3</v>
      </c>
      <c r="C34" s="0" t="s">
        <v>1</v>
      </c>
      <c r="D34" s="0" t="s">
        <v>1</v>
      </c>
      <c r="E34" s="0" t="n">
        <f aca="false">(IF($B34="V",1,0))+IF($C34="V",1,0)+IF($D34="V",1,0)</f>
        <v>2</v>
      </c>
      <c r="F34" s="0" t="n">
        <f aca="false">(IF($B34="E",1,0))+IF($C34="E",1,0)+IF($D34="E",1,0)</f>
        <v>0</v>
      </c>
      <c r="G34" s="0" t="n">
        <f aca="false">(IF($B34="O",1,0))+IF($C34="O",1,0)+IF($D34="O",1,0)</f>
        <v>1</v>
      </c>
      <c r="H34" s="0" t="n">
        <f aca="false">(IF($B34="L",1,0))+IF($C34="L",1,0)+IF($D34="L",1,0)</f>
        <v>0</v>
      </c>
      <c r="I34" s="0" t="n">
        <f aca="false">(IF(B34="V",1,0))</f>
        <v>0</v>
      </c>
      <c r="J34" s="0" t="n">
        <f aca="false">(IF(B34="E",1,0))</f>
        <v>0</v>
      </c>
      <c r="K34" s="0" t="n">
        <f aca="false">(IF(B34="O",1,0))</f>
        <v>1</v>
      </c>
      <c r="L34" s="0" t="n">
        <f aca="false">(IF(B34="L",1,0))</f>
        <v>0</v>
      </c>
      <c r="M34" s="0" t="n">
        <f aca="false">(IF(C34="V",1,0))</f>
        <v>1</v>
      </c>
      <c r="N34" s="0" t="n">
        <f aca="false">(IF(C34="E",1,0))</f>
        <v>0</v>
      </c>
      <c r="O34" s="0" t="n">
        <f aca="false">(IF(C34="O",1,0))</f>
        <v>0</v>
      </c>
      <c r="P34" s="0" t="n">
        <f aca="false">(IF(C34="L",1,0))</f>
        <v>0</v>
      </c>
      <c r="Q34" s="0" t="n">
        <f aca="false">(IF(D34="V",1,0))</f>
        <v>1</v>
      </c>
      <c r="R34" s="0" t="n">
        <f aca="false">(IF(D34="E",1,0))</f>
        <v>0</v>
      </c>
      <c r="S34" s="0" t="n">
        <f aca="false">(IF(D34="O",1,0))</f>
        <v>0</v>
      </c>
      <c r="T34" s="0" t="n">
        <f aca="false">(IF(D34="L",1,0))</f>
        <v>0</v>
      </c>
      <c r="U34" s="0" t="n">
        <f aca="false">MAX(E34-1,0)</f>
        <v>1</v>
      </c>
      <c r="V34" s="0" t="n">
        <f aca="false">MAX(U34-1+F34,0)</f>
        <v>0</v>
      </c>
      <c r="W34" s="0" t="n">
        <f aca="false">MAX(V34-1+G34,0)</f>
        <v>0</v>
      </c>
      <c r="X34" s="0" t="n">
        <f aca="false">MAX(W34-1+H34,0)</f>
        <v>0</v>
      </c>
      <c r="Y34" s="1" t="n">
        <f aca="false">0.5*(E34*I34+F34*J34+G34*K34+H34*L34-1)+(0+$U34*J34+$V34*K34+$W34*L34)</f>
        <v>0</v>
      </c>
      <c r="Z34" s="1" t="n">
        <f aca="false">0.5*(E34*M34+F34*N34+G34*O34+H34*P34-1)+(0+$U34*N34+$V34*O34+$W34*P34)</f>
        <v>0.5</v>
      </c>
      <c r="AA34" s="1" t="n">
        <f aca="false">0.5*(E34*Q34+F34*R34+G34*S34+H34*T34-1)+(0+$U34*R34+$V34*S34+$W34*T34)</f>
        <v>0.5</v>
      </c>
      <c r="AB34" s="0" t="n">
        <f aca="false">IF(B34="V",-2,0)+IF(B34="E",-1,0)+IF(B34="O",0,0)+IF(B34="L",1,0)+Y34</f>
        <v>0</v>
      </c>
      <c r="AC34" s="0" t="n">
        <f aca="false">IF(C34="V",-2,0)+IF(C34="E",-1,0)+IF(C34="O",0,0)+IF(C34="L",1,0)+Z34</f>
        <v>-1.5</v>
      </c>
      <c r="AD34" s="0" t="n">
        <f aca="false">IF(D34="V",-2,0)+IF(D34="E",-1,0)+IF(D34="O",0,0)+IF(D34="L",1,0)+AA34</f>
        <v>-1.5</v>
      </c>
      <c r="AE34" s="1" t="n">
        <f aca="false">IF(B34="V",-2,0)+IF(B34="E",-1,0)+IF(B34="O",0,0)+IF(B34="L",1,0)</f>
        <v>0</v>
      </c>
      <c r="AF34" s="1" t="n">
        <f aca="false">IF(B34="V",-2,0)+IF(B34="E",-1,0)+IF(B34="O",0,0)+IF(B34="L",1,0)+Y34</f>
        <v>0</v>
      </c>
      <c r="AG34" s="1" t="n">
        <f aca="false">IF(B34="V",-2,0)+IF(B34="E",-1,0)+IF(B34="O",0,0)+IF(B34="L",1,0)+Y34*2</f>
        <v>0</v>
      </c>
      <c r="AH34" s="1" t="n">
        <f aca="false">IF(C34="V",-2,0)+IF(C34="E",-1,0)+IF(C34="O",0,0)+IF(C34="L",1,0)</f>
        <v>-2</v>
      </c>
      <c r="AI34" s="1" t="n">
        <f aca="false">IF(C34="V",-2,0)+IF(C34="E",-1,0)+IF(C34="O",0,0)+IF(C34="L",1,0)+Z34</f>
        <v>-1.5</v>
      </c>
      <c r="AJ34" s="1" t="n">
        <f aca="false">IF(C34="V",-2,0)+IF(C34="E",-1,0)+IF(C34="O",0,0)+IF(C34="L",1,0)+Z34*2</f>
        <v>-1</v>
      </c>
      <c r="AK34" s="1" t="n">
        <f aca="false">IF(D34="V",-2,0)+IF(D34="E",-1,0)+IF(D34="O",0,0)+IF(D34="L",1,0)</f>
        <v>-2</v>
      </c>
      <c r="AL34" s="1" t="n">
        <f aca="false">IF(D34="V",-2,0)+IF(D34="E",-1,0)+IF(D34="O",0,0)+IF(D34="L",1,0)+AA34</f>
        <v>-1.5</v>
      </c>
      <c r="AM34" s="1" t="n">
        <f aca="false">IF(D34="V",-2,0)+IF(D34="E",-1,0)+IF(D34="O",0,0)+IF(D34="L",1,0)+AA34*2</f>
        <v>-1</v>
      </c>
      <c r="AN34" s="1" t="n">
        <f aca="false">(ABS(IF(AE34&lt;0,AE34*Early,AE34*Late))+ABS(IF(AF34&lt;0,AF34*Early,AF34*Late))+ABS(IF(AG34&lt;0,AG34*Early,AG34*Late)))/3</f>
        <v>0</v>
      </c>
      <c r="AO34" s="1" t="n">
        <f aca="false">(ABS(IF(AH34&lt;0,AH34*Early,AH34*Late))+ABS(IF(AI34&lt;0,AI34*Early,AI34*Late))+ABS(IF(AJ34&lt;0,AJ34*Early,AJ34*Late)))/3</f>
        <v>4.5</v>
      </c>
      <c r="AP34" s="1" t="n">
        <f aca="false">(ABS(IF(AK34&lt;0,AK34*Early,AK34*Late))+ABS(IF(AL34&lt;0,AL34*Early,AL34*Late))+ABS(IF(AM34&lt;0,AM34*Early,AM34*Late)))/3</f>
        <v>4.5</v>
      </c>
      <c r="AQ34" s="0" t="n">
        <f aca="false">Y34*Delay+AN34</f>
        <v>0</v>
      </c>
      <c r="AR34" s="0" t="n">
        <f aca="false">Z34*Delay+AO34</f>
        <v>5</v>
      </c>
      <c r="AS34" s="0" t="n">
        <f aca="false">AA34*Delay+AP34</f>
        <v>5</v>
      </c>
      <c r="AT34" s="0" t="n">
        <f aca="false">IF(AS34=MIN(AS34:AS37),1,0)</f>
        <v>0</v>
      </c>
      <c r="AX34" s="0" t="str">
        <f aca="false">B34&amp;C34&amp;D34</f>
        <v>OVV</v>
      </c>
      <c r="AY34" s="1" t="n">
        <f aca="false">AQ34+AR34+AS34</f>
        <v>10</v>
      </c>
      <c r="AZ34" s="1" t="str">
        <f aca="false">RIGHT(AX34,2)</f>
        <v>VV</v>
      </c>
      <c r="BA34" s="1" t="str">
        <f aca="false">LEFT(AX34,1)&amp;RIGHT(AX34,1)</f>
        <v>OV</v>
      </c>
      <c r="BB34" s="1" t="str">
        <f aca="false">LEFT(AX34,2)</f>
        <v>OV</v>
      </c>
      <c r="BC34" s="1" t="n">
        <f aca="false">VLOOKUP(AZ34,TwoPlayers!$AG$1:$AH$17,2,FALSE())</f>
        <v>10</v>
      </c>
      <c r="BD34" s="1" t="n">
        <f aca="false">VLOOKUP(BA34,TwoPlayers!$AG$1:$AH$17,2,FALSE())</f>
        <v>6</v>
      </c>
      <c r="BE34" s="1" t="n">
        <f aca="false">VLOOKUP(BB34,TwoPlayers!$AG$1:$AH$17,2,FALSE())</f>
        <v>6</v>
      </c>
      <c r="BF34" s="1" t="n">
        <f aca="false">$AY34-BC34</f>
        <v>0</v>
      </c>
      <c r="BG34" s="1" t="n">
        <f aca="false">$AY34-BD34</f>
        <v>4</v>
      </c>
      <c r="BH34" s="1" t="n">
        <f aca="false">$AY34-BE34</f>
        <v>4</v>
      </c>
      <c r="BJ34" s="0" t="n">
        <f aca="false">AQ34+BF34</f>
        <v>0</v>
      </c>
      <c r="BK34" s="0" t="n">
        <f aca="false">AR34+BG34</f>
        <v>9</v>
      </c>
      <c r="BL34" s="0" t="n">
        <f aca="false">AS34+BH34</f>
        <v>9</v>
      </c>
      <c r="BM34" s="0" t="n">
        <f aca="false">IF(BL34=MIN(BL34:BL38),1,0)</f>
        <v>0</v>
      </c>
    </row>
    <row r="35" customFormat="false" ht="13" hidden="false" customHeight="false" outlineLevel="0" collapsed="false">
      <c r="A35" s="0" t="n">
        <v>34</v>
      </c>
      <c r="B35" s="0" t="s">
        <v>3</v>
      </c>
      <c r="C35" s="0" t="s">
        <v>1</v>
      </c>
      <c r="D35" s="0" t="s">
        <v>2</v>
      </c>
      <c r="E35" s="0" t="n">
        <f aca="false">(IF($B35="V",1,0))+IF($C35="V",1,0)+IF($D35="V",1,0)</f>
        <v>1</v>
      </c>
      <c r="F35" s="0" t="n">
        <f aca="false">(IF($B35="E",1,0))+IF($C35="E",1,0)+IF($D35="E",1,0)</f>
        <v>1</v>
      </c>
      <c r="G35" s="0" t="n">
        <f aca="false">(IF($B35="O",1,0))+IF($C35="O",1,0)+IF($D35="O",1,0)</f>
        <v>1</v>
      </c>
      <c r="H35" s="0" t="n">
        <f aca="false">(IF($B35="L",1,0))+IF($C35="L",1,0)+IF($D35="L",1,0)</f>
        <v>0</v>
      </c>
      <c r="I35" s="0" t="n">
        <f aca="false">(IF(B35="V",1,0))</f>
        <v>0</v>
      </c>
      <c r="J35" s="0" t="n">
        <f aca="false">(IF(B35="E",1,0))</f>
        <v>0</v>
      </c>
      <c r="K35" s="0" t="n">
        <f aca="false">(IF(B35="O",1,0))</f>
        <v>1</v>
      </c>
      <c r="L35" s="0" t="n">
        <f aca="false">(IF(B35="L",1,0))</f>
        <v>0</v>
      </c>
      <c r="M35" s="0" t="n">
        <f aca="false">(IF(C35="V",1,0))</f>
        <v>1</v>
      </c>
      <c r="N35" s="0" t="n">
        <f aca="false">(IF(C35="E",1,0))</f>
        <v>0</v>
      </c>
      <c r="O35" s="0" t="n">
        <f aca="false">(IF(C35="O",1,0))</f>
        <v>0</v>
      </c>
      <c r="P35" s="0" t="n">
        <f aca="false">(IF(C35="L",1,0))</f>
        <v>0</v>
      </c>
      <c r="Q35" s="0" t="n">
        <f aca="false">(IF(D35="V",1,0))</f>
        <v>0</v>
      </c>
      <c r="R35" s="0" t="n">
        <f aca="false">(IF(D35="E",1,0))</f>
        <v>1</v>
      </c>
      <c r="S35" s="0" t="n">
        <f aca="false">(IF(D35="O",1,0))</f>
        <v>0</v>
      </c>
      <c r="T35" s="0" t="n">
        <f aca="false">(IF(D35="L",1,0))</f>
        <v>0</v>
      </c>
      <c r="U35" s="0" t="n">
        <f aca="false">MAX(E35-1,0)</f>
        <v>0</v>
      </c>
      <c r="V35" s="0" t="n">
        <f aca="false">MAX(U35-1+F35,0)</f>
        <v>0</v>
      </c>
      <c r="W35" s="0" t="n">
        <f aca="false">MAX(V35-1+G35,0)</f>
        <v>0</v>
      </c>
      <c r="X35" s="0" t="n">
        <f aca="false">MAX(W35-1+H35,0)</f>
        <v>0</v>
      </c>
      <c r="Y35" s="1" t="n">
        <f aca="false">0.5*(E35*I35+F35*J35+G35*K35+H35*L35-1)+(0+$U35*J35+$V35*K35+$W35*L35)</f>
        <v>0</v>
      </c>
      <c r="Z35" s="1" t="n">
        <f aca="false">0.5*(E35*M35+F35*N35+G35*O35+H35*P35-1)+(0+$U35*N35+$V35*O35+$W35*P35)</f>
        <v>0</v>
      </c>
      <c r="AA35" s="1" t="n">
        <f aca="false">0.5*(E35*Q35+F35*R35+G35*S35+H35*T35-1)+(0+$U35*R35+$V35*S35+$W35*T35)</f>
        <v>0</v>
      </c>
      <c r="AB35" s="0" t="n">
        <f aca="false">IF(B35="V",-2,0)+IF(B35="E",-1,0)+IF(B35="O",0,0)+IF(B35="L",1,0)+Y35</f>
        <v>0</v>
      </c>
      <c r="AC35" s="0" t="n">
        <f aca="false">IF(C35="V",-2,0)+IF(C35="E",-1,0)+IF(C35="O",0,0)+IF(C35="L",1,0)+Z35</f>
        <v>-2</v>
      </c>
      <c r="AD35" s="0" t="n">
        <f aca="false">IF(D35="V",-2,0)+IF(D35="E",-1,0)+IF(D35="O",0,0)+IF(D35="L",1,0)+AA35</f>
        <v>-1</v>
      </c>
      <c r="AE35" s="1" t="n">
        <f aca="false">IF(B35="V",-2,0)+IF(B35="E",-1,0)+IF(B35="O",0,0)+IF(B35="L",1,0)</f>
        <v>0</v>
      </c>
      <c r="AF35" s="1" t="n">
        <f aca="false">IF(B35="V",-2,0)+IF(B35="E",-1,0)+IF(B35="O",0,0)+IF(B35="L",1,0)+Y35</f>
        <v>0</v>
      </c>
      <c r="AG35" s="1" t="n">
        <f aca="false">IF(B35="V",-2,0)+IF(B35="E",-1,0)+IF(B35="O",0,0)+IF(B35="L",1,0)+Y35*2</f>
        <v>0</v>
      </c>
      <c r="AH35" s="1" t="n">
        <f aca="false">IF(C35="V",-2,0)+IF(C35="E",-1,0)+IF(C35="O",0,0)+IF(C35="L",1,0)</f>
        <v>-2</v>
      </c>
      <c r="AI35" s="1" t="n">
        <f aca="false">IF(C35="V",-2,0)+IF(C35="E",-1,0)+IF(C35="O",0,0)+IF(C35="L",1,0)+Z35</f>
        <v>-2</v>
      </c>
      <c r="AJ35" s="1" t="n">
        <f aca="false">IF(C35="V",-2,0)+IF(C35="E",-1,0)+IF(C35="O",0,0)+IF(C35="L",1,0)+Z35*2</f>
        <v>-2</v>
      </c>
      <c r="AK35" s="1" t="n">
        <f aca="false">IF(D35="V",-2,0)+IF(D35="E",-1,0)+IF(D35="O",0,0)+IF(D35="L",1,0)</f>
        <v>-1</v>
      </c>
      <c r="AL35" s="1" t="n">
        <f aca="false">IF(D35="V",-2,0)+IF(D35="E",-1,0)+IF(D35="O",0,0)+IF(D35="L",1,0)+AA35</f>
        <v>-1</v>
      </c>
      <c r="AM35" s="1" t="n">
        <f aca="false">IF(D35="V",-2,0)+IF(D35="E",-1,0)+IF(D35="O",0,0)+IF(D35="L",1,0)+AA35*2</f>
        <v>-1</v>
      </c>
      <c r="AN35" s="1" t="n">
        <f aca="false">(ABS(IF(AE35&lt;0,AE35*Early,AE35*Late))+ABS(IF(AF35&lt;0,AF35*Early,AF35*Late))+ABS(IF(AG35&lt;0,AG35*Early,AG35*Late)))/3</f>
        <v>0</v>
      </c>
      <c r="AO35" s="1" t="n">
        <f aca="false">(ABS(IF(AH35&lt;0,AH35*Early,AH35*Late))+ABS(IF(AI35&lt;0,AI35*Early,AI35*Late))+ABS(IF(AJ35&lt;0,AJ35*Early,AJ35*Late)))/3</f>
        <v>6</v>
      </c>
      <c r="AP35" s="1" t="n">
        <f aca="false">(ABS(IF(AK35&lt;0,AK35*Early,AK35*Late))+ABS(IF(AL35&lt;0,AL35*Early,AL35*Late))+ABS(IF(AM35&lt;0,AM35*Early,AM35*Late)))/3</f>
        <v>3</v>
      </c>
      <c r="AQ35" s="0" t="n">
        <f aca="false">Y35*Delay+AN35</f>
        <v>0</v>
      </c>
      <c r="AR35" s="0" t="n">
        <f aca="false">Z35*Delay+AO35</f>
        <v>6</v>
      </c>
      <c r="AS35" s="0" t="n">
        <f aca="false">AA35*Delay+AP35</f>
        <v>3</v>
      </c>
      <c r="AT35" s="0" t="n">
        <f aca="false">IF(AS35=MIN(AS34:AS37),1,0)</f>
        <v>0</v>
      </c>
      <c r="AX35" s="0" t="str">
        <f aca="false">B35&amp;C35&amp;D35</f>
        <v>OVE</v>
      </c>
      <c r="AY35" s="1" t="n">
        <f aca="false">AQ35+AR35+AS35</f>
        <v>9</v>
      </c>
      <c r="AZ35" s="1" t="str">
        <f aca="false">RIGHT(AX35,2)</f>
        <v>VE</v>
      </c>
      <c r="BA35" s="1" t="str">
        <f aca="false">LEFT(AX35,1)&amp;RIGHT(AX35,1)</f>
        <v>OE</v>
      </c>
      <c r="BB35" s="1" t="str">
        <f aca="false">LEFT(AX35,2)</f>
        <v>OV</v>
      </c>
      <c r="BC35" s="1" t="n">
        <f aca="false">VLOOKUP(AZ35,TwoPlayers!$AG$1:$AH$17,2,FALSE())</f>
        <v>9</v>
      </c>
      <c r="BD35" s="1" t="n">
        <f aca="false">VLOOKUP(BA35,TwoPlayers!$AG$1:$AH$17,2,FALSE())</f>
        <v>3</v>
      </c>
      <c r="BE35" s="1" t="n">
        <f aca="false">VLOOKUP(BB35,TwoPlayers!$AG$1:$AH$17,2,FALSE())</f>
        <v>6</v>
      </c>
      <c r="BF35" s="1" t="n">
        <f aca="false">$AY35-BC35</f>
        <v>0</v>
      </c>
      <c r="BG35" s="1" t="n">
        <f aca="false">$AY35-BD35</f>
        <v>6</v>
      </c>
      <c r="BH35" s="1" t="n">
        <f aca="false">$AY35-BE35</f>
        <v>3</v>
      </c>
      <c r="BJ35" s="0" t="n">
        <f aca="false">AQ35+BF35</f>
        <v>0</v>
      </c>
      <c r="BK35" s="0" t="n">
        <f aca="false">AR35+BG35</f>
        <v>12</v>
      </c>
      <c r="BL35" s="0" t="n">
        <f aca="false">AS35+BH35</f>
        <v>6</v>
      </c>
      <c r="BM35" s="0" t="n">
        <f aca="false">IF(BL35=MIN(BL34:BL38),1,0)</f>
        <v>1</v>
      </c>
    </row>
    <row r="36" customFormat="false" ht="13" hidden="false" customHeight="false" outlineLevel="0" collapsed="false">
      <c r="A36" s="0" t="n">
        <v>35</v>
      </c>
      <c r="B36" s="0" t="s">
        <v>3</v>
      </c>
      <c r="C36" s="0" t="s">
        <v>1</v>
      </c>
      <c r="D36" s="0" t="s">
        <v>3</v>
      </c>
      <c r="E36" s="0" t="n">
        <f aca="false">(IF($B36="V",1,0))+IF($C36="V",1,0)+IF($D36="V",1,0)</f>
        <v>1</v>
      </c>
      <c r="F36" s="0" t="n">
        <f aca="false">(IF($B36="E",1,0))+IF($C36="E",1,0)+IF($D36="E",1,0)</f>
        <v>0</v>
      </c>
      <c r="G36" s="0" t="n">
        <f aca="false">(IF($B36="O",1,0))+IF($C36="O",1,0)+IF($D36="O",1,0)</f>
        <v>2</v>
      </c>
      <c r="H36" s="0" t="n">
        <f aca="false">(IF($B36="L",1,0))+IF($C36="L",1,0)+IF($D36="L",1,0)</f>
        <v>0</v>
      </c>
      <c r="I36" s="0" t="n">
        <f aca="false">(IF(B36="V",1,0))</f>
        <v>0</v>
      </c>
      <c r="J36" s="0" t="n">
        <f aca="false">(IF(B36="E",1,0))</f>
        <v>0</v>
      </c>
      <c r="K36" s="0" t="n">
        <f aca="false">(IF(B36="O",1,0))</f>
        <v>1</v>
      </c>
      <c r="L36" s="0" t="n">
        <f aca="false">(IF(B36="L",1,0))</f>
        <v>0</v>
      </c>
      <c r="M36" s="0" t="n">
        <f aca="false">(IF(C36="V",1,0))</f>
        <v>1</v>
      </c>
      <c r="N36" s="0" t="n">
        <f aca="false">(IF(C36="E",1,0))</f>
        <v>0</v>
      </c>
      <c r="O36" s="0" t="n">
        <f aca="false">(IF(C36="O",1,0))</f>
        <v>0</v>
      </c>
      <c r="P36" s="0" t="n">
        <f aca="false">(IF(C36="L",1,0))</f>
        <v>0</v>
      </c>
      <c r="Q36" s="0" t="n">
        <f aca="false">(IF(D36="V",1,0))</f>
        <v>0</v>
      </c>
      <c r="R36" s="0" t="n">
        <f aca="false">(IF(D36="E",1,0))</f>
        <v>0</v>
      </c>
      <c r="S36" s="0" t="n">
        <f aca="false">(IF(D36="O",1,0))</f>
        <v>1</v>
      </c>
      <c r="T36" s="0" t="n">
        <f aca="false">(IF(D36="L",1,0))</f>
        <v>0</v>
      </c>
      <c r="U36" s="0" t="n">
        <f aca="false">MAX(E36-1,0)</f>
        <v>0</v>
      </c>
      <c r="V36" s="0" t="n">
        <f aca="false">MAX(U36-1+F36,0)</f>
        <v>0</v>
      </c>
      <c r="W36" s="0" t="n">
        <f aca="false">MAX(V36-1+G36,0)</f>
        <v>1</v>
      </c>
      <c r="X36" s="0" t="n">
        <f aca="false">MAX(W36-1+H36,0)</f>
        <v>0</v>
      </c>
      <c r="Y36" s="1" t="n">
        <f aca="false">0.5*(E36*I36+F36*J36+G36*K36+H36*L36-1)+(0+$U36*J36+$V36*K36+$W36*L36)</f>
        <v>0.5</v>
      </c>
      <c r="Z36" s="1" t="n">
        <f aca="false">0.5*(E36*M36+F36*N36+G36*O36+H36*P36-1)+(0+$U36*N36+$V36*O36+$W36*P36)</f>
        <v>0</v>
      </c>
      <c r="AA36" s="1" t="n">
        <f aca="false">0.5*(E36*Q36+F36*R36+G36*S36+H36*T36-1)+(0+$U36*R36+$V36*S36+$W36*T36)</f>
        <v>0.5</v>
      </c>
      <c r="AB36" s="0" t="n">
        <f aca="false">IF(B36="V",-2,0)+IF(B36="E",-1,0)+IF(B36="O",0,0)+IF(B36="L",1,0)+Y36</f>
        <v>0.5</v>
      </c>
      <c r="AC36" s="0" t="n">
        <f aca="false">IF(C36="V",-2,0)+IF(C36="E",-1,0)+IF(C36="O",0,0)+IF(C36="L",1,0)+Z36</f>
        <v>-2</v>
      </c>
      <c r="AD36" s="0" t="n">
        <f aca="false">IF(D36="V",-2,0)+IF(D36="E",-1,0)+IF(D36="O",0,0)+IF(D36="L",1,0)+AA36</f>
        <v>0.5</v>
      </c>
      <c r="AE36" s="1" t="n">
        <f aca="false">IF(B36="V",-2,0)+IF(B36="E",-1,0)+IF(B36="O",0,0)+IF(B36="L",1,0)</f>
        <v>0</v>
      </c>
      <c r="AF36" s="1" t="n">
        <f aca="false">IF(B36="V",-2,0)+IF(B36="E",-1,0)+IF(B36="O",0,0)+IF(B36="L",1,0)+Y36</f>
        <v>0.5</v>
      </c>
      <c r="AG36" s="1" t="n">
        <f aca="false">IF(B36="V",-2,0)+IF(B36="E",-1,0)+IF(B36="O",0,0)+IF(B36="L",1,0)+Y36*2</f>
        <v>1</v>
      </c>
      <c r="AH36" s="1" t="n">
        <f aca="false">IF(C36="V",-2,0)+IF(C36="E",-1,0)+IF(C36="O",0,0)+IF(C36="L",1,0)</f>
        <v>-2</v>
      </c>
      <c r="AI36" s="1" t="n">
        <f aca="false">IF(C36="V",-2,0)+IF(C36="E",-1,0)+IF(C36="O",0,0)+IF(C36="L",1,0)+Z36</f>
        <v>-2</v>
      </c>
      <c r="AJ36" s="1" t="n">
        <f aca="false">IF(C36="V",-2,0)+IF(C36="E",-1,0)+IF(C36="O",0,0)+IF(C36="L",1,0)+Z36*2</f>
        <v>-2</v>
      </c>
      <c r="AK36" s="1" t="n">
        <f aca="false">IF(D36="V",-2,0)+IF(D36="E",-1,0)+IF(D36="O",0,0)+IF(D36="L",1,0)</f>
        <v>0</v>
      </c>
      <c r="AL36" s="1" t="n">
        <f aca="false">IF(D36="V",-2,0)+IF(D36="E",-1,0)+IF(D36="O",0,0)+IF(D36="L",1,0)+AA36</f>
        <v>0.5</v>
      </c>
      <c r="AM36" s="1" t="n">
        <f aca="false">IF(D36="V",-2,0)+IF(D36="E",-1,0)+IF(D36="O",0,0)+IF(D36="L",1,0)+AA36*2</f>
        <v>1</v>
      </c>
      <c r="AN36" s="1" t="n">
        <f aca="false">(ABS(IF(AE36&lt;0,AE36*Early,AE36*Late))+ABS(IF(AF36&lt;0,AF36*Early,AF36*Late))+ABS(IF(AG36&lt;0,AG36*Early,AG36*Late)))/3</f>
        <v>2</v>
      </c>
      <c r="AO36" s="1" t="n">
        <f aca="false">(ABS(IF(AH36&lt;0,AH36*Early,AH36*Late))+ABS(IF(AI36&lt;0,AI36*Early,AI36*Late))+ABS(IF(AJ36&lt;0,AJ36*Early,AJ36*Late)))/3</f>
        <v>6</v>
      </c>
      <c r="AP36" s="1" t="n">
        <f aca="false">(ABS(IF(AK36&lt;0,AK36*Early,AK36*Late))+ABS(IF(AL36&lt;0,AL36*Early,AL36*Late))+ABS(IF(AM36&lt;0,AM36*Early,AM36*Late)))/3</f>
        <v>2</v>
      </c>
      <c r="AQ36" s="0" t="n">
        <f aca="false">Y36*Delay+AN36</f>
        <v>2.5</v>
      </c>
      <c r="AR36" s="0" t="n">
        <f aca="false">Z36*Delay+AO36</f>
        <v>6</v>
      </c>
      <c r="AS36" s="0" t="n">
        <f aca="false">AA36*Delay+AP36</f>
        <v>2.5</v>
      </c>
      <c r="AT36" s="0" t="n">
        <f aca="false">IF(AS36=MIN(AS34:AS37),1,0)</f>
        <v>1</v>
      </c>
      <c r="AX36" s="0" t="str">
        <f aca="false">B36&amp;C36&amp;D36</f>
        <v>OVO</v>
      </c>
      <c r="AY36" s="1" t="n">
        <f aca="false">AQ36+AR36+AS36</f>
        <v>11</v>
      </c>
      <c r="AZ36" s="1" t="str">
        <f aca="false">RIGHT(AX36,2)</f>
        <v>VO</v>
      </c>
      <c r="BA36" s="1" t="str">
        <f aca="false">LEFT(AX36,1)&amp;RIGHT(AX36,1)</f>
        <v>OO</v>
      </c>
      <c r="BB36" s="1" t="str">
        <f aca="false">LEFT(AX36,2)</f>
        <v>OV</v>
      </c>
      <c r="BC36" s="1" t="n">
        <f aca="false">VLOOKUP(AZ36,TwoPlayers!$AG$1:$AH$17,2,FALSE())</f>
        <v>6</v>
      </c>
      <c r="BD36" s="1" t="n">
        <f aca="false">VLOOKUP(BA36,TwoPlayers!$AG$1:$AH$17,2,FALSE())</f>
        <v>5</v>
      </c>
      <c r="BE36" s="1" t="n">
        <f aca="false">VLOOKUP(BB36,TwoPlayers!$AG$1:$AH$17,2,FALSE())</f>
        <v>6</v>
      </c>
      <c r="BF36" s="1" t="n">
        <f aca="false">$AY36-BC36</f>
        <v>5</v>
      </c>
      <c r="BG36" s="1" t="n">
        <f aca="false">$AY36-BD36</f>
        <v>6</v>
      </c>
      <c r="BH36" s="1" t="n">
        <f aca="false">$AY36-BE36</f>
        <v>5</v>
      </c>
      <c r="BJ36" s="0" t="n">
        <f aca="false">AQ36+BF36</f>
        <v>7.5</v>
      </c>
      <c r="BK36" s="0" t="n">
        <f aca="false">AR36+BG36</f>
        <v>12</v>
      </c>
      <c r="BL36" s="0" t="n">
        <f aca="false">AS36+BH36</f>
        <v>7.5</v>
      </c>
      <c r="BM36" s="0" t="n">
        <f aca="false">IF(BL36=MIN(BL34:BL38),1,0)</f>
        <v>0</v>
      </c>
    </row>
    <row r="37" customFormat="false" ht="13" hidden="false" customHeight="false" outlineLevel="0" collapsed="false">
      <c r="A37" s="0" t="n">
        <v>36</v>
      </c>
      <c r="B37" s="0" t="s">
        <v>3</v>
      </c>
      <c r="C37" s="0" t="s">
        <v>1</v>
      </c>
      <c r="D37" s="0" t="s">
        <v>4</v>
      </c>
      <c r="E37" s="0" t="n">
        <f aca="false">(IF($B37="V",1,0))+IF($C37="V",1,0)+IF($D37="V",1,0)</f>
        <v>1</v>
      </c>
      <c r="F37" s="0" t="n">
        <f aca="false">(IF($B37="E",1,0))+IF($C37="E",1,0)+IF($D37="E",1,0)</f>
        <v>0</v>
      </c>
      <c r="G37" s="0" t="n">
        <f aca="false">(IF($B37="O",1,0))+IF($C37="O",1,0)+IF($D37="O",1,0)</f>
        <v>1</v>
      </c>
      <c r="H37" s="0" t="n">
        <f aca="false">(IF($B37="L",1,0))+IF($C37="L",1,0)+IF($D37="L",1,0)</f>
        <v>1</v>
      </c>
      <c r="I37" s="0" t="n">
        <f aca="false">(IF(B37="V",1,0))</f>
        <v>0</v>
      </c>
      <c r="J37" s="0" t="n">
        <f aca="false">(IF(B37="E",1,0))</f>
        <v>0</v>
      </c>
      <c r="K37" s="0" t="n">
        <f aca="false">(IF(B37="O",1,0))</f>
        <v>1</v>
      </c>
      <c r="L37" s="0" t="n">
        <f aca="false">(IF(B37="L",1,0))</f>
        <v>0</v>
      </c>
      <c r="M37" s="0" t="n">
        <f aca="false">(IF(C37="V",1,0))</f>
        <v>1</v>
      </c>
      <c r="N37" s="0" t="n">
        <f aca="false">(IF(C37="E",1,0))</f>
        <v>0</v>
      </c>
      <c r="O37" s="0" t="n">
        <f aca="false">(IF(C37="O",1,0))</f>
        <v>0</v>
      </c>
      <c r="P37" s="0" t="n">
        <f aca="false">(IF(C37="L",1,0))</f>
        <v>0</v>
      </c>
      <c r="Q37" s="0" t="n">
        <f aca="false">(IF(D37="V",1,0))</f>
        <v>0</v>
      </c>
      <c r="R37" s="0" t="n">
        <f aca="false">(IF(D37="E",1,0))</f>
        <v>0</v>
      </c>
      <c r="S37" s="0" t="n">
        <f aca="false">(IF(D37="O",1,0))</f>
        <v>0</v>
      </c>
      <c r="T37" s="0" t="n">
        <f aca="false">(IF(D37="L",1,0))</f>
        <v>1</v>
      </c>
      <c r="U37" s="0" t="n">
        <f aca="false">MAX(E37-1,0)</f>
        <v>0</v>
      </c>
      <c r="V37" s="0" t="n">
        <f aca="false">MAX(U37-1+F37,0)</f>
        <v>0</v>
      </c>
      <c r="W37" s="0" t="n">
        <f aca="false">MAX(V37-1+G37,0)</f>
        <v>0</v>
      </c>
      <c r="X37" s="0" t="n">
        <f aca="false">MAX(W37-1+H37,0)</f>
        <v>0</v>
      </c>
      <c r="Y37" s="1" t="n">
        <f aca="false">0.5*(E37*I37+F37*J37+G37*K37+H37*L37-1)+(0+$U37*J37+$V37*K37+$W37*L37)</f>
        <v>0</v>
      </c>
      <c r="Z37" s="1" t="n">
        <f aca="false">0.5*(E37*M37+F37*N37+G37*O37+H37*P37-1)+(0+$U37*N37+$V37*O37+$W37*P37)</f>
        <v>0</v>
      </c>
      <c r="AA37" s="1" t="n">
        <f aca="false">0.5*(E37*Q37+F37*R37+G37*S37+H37*T37-1)+(0+$U37*R37+$V37*S37+$W37*T37)</f>
        <v>0</v>
      </c>
      <c r="AB37" s="0" t="n">
        <f aca="false">IF(B37="V",-2,0)+IF(B37="E",-1,0)+IF(B37="O",0,0)+IF(B37="L",1,0)+Y37</f>
        <v>0</v>
      </c>
      <c r="AC37" s="0" t="n">
        <f aca="false">IF(C37="V",-2,0)+IF(C37="E",-1,0)+IF(C37="O",0,0)+IF(C37="L",1,0)+Z37</f>
        <v>-2</v>
      </c>
      <c r="AD37" s="0" t="n">
        <f aca="false">IF(D37="V",-2,0)+IF(D37="E",-1,0)+IF(D37="O",0,0)+IF(D37="L",1,0)+AA37</f>
        <v>1</v>
      </c>
      <c r="AE37" s="1" t="n">
        <f aca="false">IF(B37="V",-2,0)+IF(B37="E",-1,0)+IF(B37="O",0,0)+IF(B37="L",1,0)</f>
        <v>0</v>
      </c>
      <c r="AF37" s="1" t="n">
        <f aca="false">IF(B37="V",-2,0)+IF(B37="E",-1,0)+IF(B37="O",0,0)+IF(B37="L",1,0)+Y37</f>
        <v>0</v>
      </c>
      <c r="AG37" s="1" t="n">
        <f aca="false">IF(B37="V",-2,0)+IF(B37="E",-1,0)+IF(B37="O",0,0)+IF(B37="L",1,0)+Y37*2</f>
        <v>0</v>
      </c>
      <c r="AH37" s="1" t="n">
        <f aca="false">IF(C37="V",-2,0)+IF(C37="E",-1,0)+IF(C37="O",0,0)+IF(C37="L",1,0)</f>
        <v>-2</v>
      </c>
      <c r="AI37" s="1" t="n">
        <f aca="false">IF(C37="V",-2,0)+IF(C37="E",-1,0)+IF(C37="O",0,0)+IF(C37="L",1,0)+Z37</f>
        <v>-2</v>
      </c>
      <c r="AJ37" s="1" t="n">
        <f aca="false">IF(C37="V",-2,0)+IF(C37="E",-1,0)+IF(C37="O",0,0)+IF(C37="L",1,0)+Z37*2</f>
        <v>-2</v>
      </c>
      <c r="AK37" s="1" t="n">
        <f aca="false">IF(D37="V",-2,0)+IF(D37="E",-1,0)+IF(D37="O",0,0)+IF(D37="L",1,0)</f>
        <v>1</v>
      </c>
      <c r="AL37" s="1" t="n">
        <f aca="false">IF(D37="V",-2,0)+IF(D37="E",-1,0)+IF(D37="O",0,0)+IF(D37="L",1,0)+AA37</f>
        <v>1</v>
      </c>
      <c r="AM37" s="1" t="n">
        <f aca="false">IF(D37="V",-2,0)+IF(D37="E",-1,0)+IF(D37="O",0,0)+IF(D37="L",1,0)+AA37*2</f>
        <v>1</v>
      </c>
      <c r="AN37" s="1" t="n">
        <f aca="false">(ABS(IF(AE37&lt;0,AE37*Early,AE37*Late))+ABS(IF(AF37&lt;0,AF37*Early,AF37*Late))+ABS(IF(AG37&lt;0,AG37*Early,AG37*Late)))/3</f>
        <v>0</v>
      </c>
      <c r="AO37" s="1" t="n">
        <f aca="false">(ABS(IF(AH37&lt;0,AH37*Early,AH37*Late))+ABS(IF(AI37&lt;0,AI37*Early,AI37*Late))+ABS(IF(AJ37&lt;0,AJ37*Early,AJ37*Late)))/3</f>
        <v>6</v>
      </c>
      <c r="AP37" s="1" t="n">
        <f aca="false">(ABS(IF(AK37&lt;0,AK37*Early,AK37*Late))+ABS(IF(AL37&lt;0,AL37*Early,AL37*Late))+ABS(IF(AM37&lt;0,AM37*Early,AM37*Late)))/3</f>
        <v>4</v>
      </c>
      <c r="AQ37" s="0" t="n">
        <f aca="false">Y37*Delay+AN37</f>
        <v>0</v>
      </c>
      <c r="AR37" s="0" t="n">
        <f aca="false">Z37*Delay+AO37</f>
        <v>6</v>
      </c>
      <c r="AS37" s="0" t="n">
        <f aca="false">AA37*Delay+AP37</f>
        <v>4</v>
      </c>
      <c r="AT37" s="0" t="n">
        <f aca="false">IF(AS37=MIN(AS34:AS37),1,0)</f>
        <v>0</v>
      </c>
      <c r="AX37" s="0" t="str">
        <f aca="false">B37&amp;C37&amp;D37</f>
        <v>OVL</v>
      </c>
      <c r="AY37" s="1" t="n">
        <f aca="false">AQ37+AR37+AS37</f>
        <v>10</v>
      </c>
      <c r="AZ37" s="1" t="str">
        <f aca="false">RIGHT(AX37,2)</f>
        <v>VL</v>
      </c>
      <c r="BA37" s="1" t="str">
        <f aca="false">LEFT(AX37,1)&amp;RIGHT(AX37,1)</f>
        <v>OL</v>
      </c>
      <c r="BB37" s="1" t="str">
        <f aca="false">LEFT(AX37,2)</f>
        <v>OV</v>
      </c>
      <c r="BC37" s="1" t="n">
        <f aca="false">VLOOKUP(AZ37,TwoPlayers!$AG$1:$AH$17,2,FALSE())</f>
        <v>10</v>
      </c>
      <c r="BD37" s="1" t="n">
        <f aca="false">VLOOKUP(BA37,TwoPlayers!$AG$1:$AH$17,2,FALSE())</f>
        <v>4</v>
      </c>
      <c r="BE37" s="1" t="n">
        <f aca="false">VLOOKUP(BB37,TwoPlayers!$AG$1:$AH$17,2,FALSE())</f>
        <v>6</v>
      </c>
      <c r="BF37" s="1" t="n">
        <f aca="false">$AY37-BC37</f>
        <v>0</v>
      </c>
      <c r="BG37" s="1" t="n">
        <f aca="false">$AY37-BD37</f>
        <v>6</v>
      </c>
      <c r="BH37" s="1" t="n">
        <f aca="false">$AY37-BE37</f>
        <v>4</v>
      </c>
      <c r="BJ37" s="0" t="n">
        <f aca="false">AQ37+BF37</f>
        <v>0</v>
      </c>
      <c r="BK37" s="0" t="n">
        <f aca="false">AR37+BG37</f>
        <v>12</v>
      </c>
      <c r="BL37" s="0" t="n">
        <f aca="false">AS37+BH37</f>
        <v>8</v>
      </c>
      <c r="BM37" s="0" t="n">
        <f aca="false">IF(BL37=MIN(BL34:BL38),1,0)</f>
        <v>0</v>
      </c>
    </row>
    <row r="38" customFormat="false" ht="13" hidden="false" customHeight="false" outlineLevel="0" collapsed="false">
      <c r="A38" s="0" t="n">
        <v>37</v>
      </c>
      <c r="B38" s="0" t="s">
        <v>3</v>
      </c>
      <c r="C38" s="0" t="s">
        <v>2</v>
      </c>
      <c r="D38" s="0" t="s">
        <v>1</v>
      </c>
      <c r="E38" s="0" t="n">
        <f aca="false">(IF($B38="V",1,0))+IF($C38="V",1,0)+IF($D38="V",1,0)</f>
        <v>1</v>
      </c>
      <c r="F38" s="0" t="n">
        <f aca="false">(IF($B38="E",1,0))+IF($C38="E",1,0)+IF($D38="E",1,0)</f>
        <v>1</v>
      </c>
      <c r="G38" s="0" t="n">
        <f aca="false">(IF($B38="O",1,0))+IF($C38="O",1,0)+IF($D38="O",1,0)</f>
        <v>1</v>
      </c>
      <c r="H38" s="0" t="n">
        <f aca="false">(IF($B38="L",1,0))+IF($C38="L",1,0)+IF($D38="L",1,0)</f>
        <v>0</v>
      </c>
      <c r="I38" s="0" t="n">
        <f aca="false">(IF(B38="V",1,0))</f>
        <v>0</v>
      </c>
      <c r="J38" s="0" t="n">
        <f aca="false">(IF(B38="E",1,0))</f>
        <v>0</v>
      </c>
      <c r="K38" s="0" t="n">
        <f aca="false">(IF(B38="O",1,0))</f>
        <v>1</v>
      </c>
      <c r="L38" s="0" t="n">
        <f aca="false">(IF(B38="L",1,0))</f>
        <v>0</v>
      </c>
      <c r="M38" s="0" t="n">
        <f aca="false">(IF(C38="V",1,0))</f>
        <v>0</v>
      </c>
      <c r="N38" s="0" t="n">
        <f aca="false">(IF(C38="E",1,0))</f>
        <v>1</v>
      </c>
      <c r="O38" s="0" t="n">
        <f aca="false">(IF(C38="O",1,0))</f>
        <v>0</v>
      </c>
      <c r="P38" s="0" t="n">
        <f aca="false">(IF(C38="L",1,0))</f>
        <v>0</v>
      </c>
      <c r="Q38" s="0" t="n">
        <f aca="false">(IF(D38="V",1,0))</f>
        <v>1</v>
      </c>
      <c r="R38" s="0" t="n">
        <f aca="false">(IF(D38="E",1,0))</f>
        <v>0</v>
      </c>
      <c r="S38" s="0" t="n">
        <f aca="false">(IF(D38="O",1,0))</f>
        <v>0</v>
      </c>
      <c r="T38" s="0" t="n">
        <f aca="false">(IF(D38="L",1,0))</f>
        <v>0</v>
      </c>
      <c r="U38" s="0" t="n">
        <f aca="false">MAX(E38-1,0)</f>
        <v>0</v>
      </c>
      <c r="V38" s="0" t="n">
        <f aca="false">MAX(U38-1+F38,0)</f>
        <v>0</v>
      </c>
      <c r="W38" s="0" t="n">
        <f aca="false">MAX(V38-1+G38,0)</f>
        <v>0</v>
      </c>
      <c r="X38" s="0" t="n">
        <f aca="false">MAX(W38-1+H38,0)</f>
        <v>0</v>
      </c>
      <c r="Y38" s="1" t="n">
        <f aca="false">0.5*(E38*I38+F38*J38+G38*K38+H38*L38-1)+(0+$U38*J38+$V38*K38+$W38*L38)</f>
        <v>0</v>
      </c>
      <c r="Z38" s="1" t="n">
        <f aca="false">0.5*(E38*M38+F38*N38+G38*O38+H38*P38-1)+(0+$U38*N38+$V38*O38+$W38*P38)</f>
        <v>0</v>
      </c>
      <c r="AA38" s="1" t="n">
        <f aca="false">0.5*(E38*Q38+F38*R38+G38*S38+H38*T38-1)+(0+$U38*R38+$V38*S38+$W38*T38)</f>
        <v>0</v>
      </c>
      <c r="AB38" s="0" t="n">
        <f aca="false">IF(B38="V",-2,0)+IF(B38="E",-1,0)+IF(B38="O",0,0)+IF(B38="L",1,0)+Y38</f>
        <v>0</v>
      </c>
      <c r="AC38" s="0" t="n">
        <f aca="false">IF(C38="V",-2,0)+IF(C38="E",-1,0)+IF(C38="O",0,0)+IF(C38="L",1,0)+Z38</f>
        <v>-1</v>
      </c>
      <c r="AD38" s="0" t="n">
        <f aca="false">IF(D38="V",-2,0)+IF(D38="E",-1,0)+IF(D38="O",0,0)+IF(D38="L",1,0)+AA38</f>
        <v>-2</v>
      </c>
      <c r="AE38" s="1" t="n">
        <f aca="false">IF(B38="V",-2,0)+IF(B38="E",-1,0)+IF(B38="O",0,0)+IF(B38="L",1,0)</f>
        <v>0</v>
      </c>
      <c r="AF38" s="1" t="n">
        <f aca="false">IF(B38="V",-2,0)+IF(B38="E",-1,0)+IF(B38="O",0,0)+IF(B38="L",1,0)+Y38</f>
        <v>0</v>
      </c>
      <c r="AG38" s="1" t="n">
        <f aca="false">IF(B38="V",-2,0)+IF(B38="E",-1,0)+IF(B38="O",0,0)+IF(B38="L",1,0)+Y38*2</f>
        <v>0</v>
      </c>
      <c r="AH38" s="1" t="n">
        <f aca="false">IF(C38="V",-2,0)+IF(C38="E",-1,0)+IF(C38="O",0,0)+IF(C38="L",1,0)</f>
        <v>-1</v>
      </c>
      <c r="AI38" s="1" t="n">
        <f aca="false">IF(C38="V",-2,0)+IF(C38="E",-1,0)+IF(C38="O",0,0)+IF(C38="L",1,0)+Z38</f>
        <v>-1</v>
      </c>
      <c r="AJ38" s="1" t="n">
        <f aca="false">IF(C38="V",-2,0)+IF(C38="E",-1,0)+IF(C38="O",0,0)+IF(C38="L",1,0)+Z38*2</f>
        <v>-1</v>
      </c>
      <c r="AK38" s="1" t="n">
        <f aca="false">IF(D38="V",-2,0)+IF(D38="E",-1,0)+IF(D38="O",0,0)+IF(D38="L",1,0)</f>
        <v>-2</v>
      </c>
      <c r="AL38" s="1" t="n">
        <f aca="false">IF(D38="V",-2,0)+IF(D38="E",-1,0)+IF(D38="O",0,0)+IF(D38="L",1,0)+AA38</f>
        <v>-2</v>
      </c>
      <c r="AM38" s="1" t="n">
        <f aca="false">IF(D38="V",-2,0)+IF(D38="E",-1,0)+IF(D38="O",0,0)+IF(D38="L",1,0)+AA38*2</f>
        <v>-2</v>
      </c>
      <c r="AN38" s="1" t="n">
        <f aca="false">(ABS(IF(AE38&lt;0,AE38*Early,AE38*Late))+ABS(IF(AF38&lt;0,AF38*Early,AF38*Late))+ABS(IF(AG38&lt;0,AG38*Early,AG38*Late)))/3</f>
        <v>0</v>
      </c>
      <c r="AO38" s="1" t="n">
        <f aca="false">(ABS(IF(AH38&lt;0,AH38*Early,AH38*Late))+ABS(IF(AI38&lt;0,AI38*Early,AI38*Late))+ABS(IF(AJ38&lt;0,AJ38*Early,AJ38*Late)))/3</f>
        <v>3</v>
      </c>
      <c r="AP38" s="1" t="n">
        <f aca="false">(ABS(IF(AK38&lt;0,AK38*Early,AK38*Late))+ABS(IF(AL38&lt;0,AL38*Early,AL38*Late))+ABS(IF(AM38&lt;0,AM38*Early,AM38*Late)))/3</f>
        <v>6</v>
      </c>
      <c r="AQ38" s="0" t="n">
        <f aca="false">Y38*Delay+AN38</f>
        <v>0</v>
      </c>
      <c r="AR38" s="0" t="n">
        <f aca="false">Z38*Delay+AO38</f>
        <v>3</v>
      </c>
      <c r="AS38" s="0" t="n">
        <f aca="false">AA38*Delay+AP38</f>
        <v>6</v>
      </c>
      <c r="AT38" s="0" t="n">
        <f aca="false">IF(AS38=MIN(AS38:AS41),1,0)</f>
        <v>0</v>
      </c>
      <c r="AX38" s="0" t="str">
        <f aca="false">B38&amp;C38&amp;D38</f>
        <v>OEV</v>
      </c>
      <c r="AY38" s="1" t="n">
        <f aca="false">AQ38+AR38+AS38</f>
        <v>9</v>
      </c>
      <c r="AZ38" s="1" t="str">
        <f aca="false">RIGHT(AX38,2)</f>
        <v>EV</v>
      </c>
      <c r="BA38" s="1" t="str">
        <f aca="false">LEFT(AX38,1)&amp;RIGHT(AX38,1)</f>
        <v>OV</v>
      </c>
      <c r="BB38" s="1" t="str">
        <f aca="false">LEFT(AX38,2)</f>
        <v>OE</v>
      </c>
      <c r="BC38" s="1" t="n">
        <f aca="false">VLOOKUP(AZ38,TwoPlayers!$AG$1:$AH$17,2,FALSE())</f>
        <v>9</v>
      </c>
      <c r="BD38" s="1" t="n">
        <f aca="false">VLOOKUP(BA38,TwoPlayers!$AG$1:$AH$17,2,FALSE())</f>
        <v>6</v>
      </c>
      <c r="BE38" s="1" t="n">
        <f aca="false">VLOOKUP(BB38,TwoPlayers!$AG$1:$AH$17,2,FALSE())</f>
        <v>3</v>
      </c>
      <c r="BF38" s="1" t="n">
        <f aca="false">$AY38-BC38</f>
        <v>0</v>
      </c>
      <c r="BG38" s="1" t="n">
        <f aca="false">$AY38-BD38</f>
        <v>3</v>
      </c>
      <c r="BH38" s="1" t="n">
        <f aca="false">$AY38-BE38</f>
        <v>6</v>
      </c>
      <c r="BJ38" s="0" t="n">
        <f aca="false">AQ38+BF38</f>
        <v>0</v>
      </c>
      <c r="BK38" s="0" t="n">
        <f aca="false">AR38+BG38</f>
        <v>6</v>
      </c>
      <c r="BL38" s="0" t="n">
        <f aca="false">AS38+BH38</f>
        <v>12</v>
      </c>
      <c r="BM38" s="0" t="n">
        <f aca="false">IF(BL38=MIN(BL38:BL42),1,0)</f>
        <v>0</v>
      </c>
    </row>
    <row r="39" customFormat="false" ht="13" hidden="false" customHeight="false" outlineLevel="0" collapsed="false">
      <c r="A39" s="0" t="n">
        <v>38</v>
      </c>
      <c r="B39" s="0" t="s">
        <v>3</v>
      </c>
      <c r="C39" s="0" t="s">
        <v>2</v>
      </c>
      <c r="D39" s="0" t="s">
        <v>2</v>
      </c>
      <c r="E39" s="0" t="n">
        <f aca="false">(IF($B39="V",1,0))+IF($C39="V",1,0)+IF($D39="V",1,0)</f>
        <v>0</v>
      </c>
      <c r="F39" s="0" t="n">
        <f aca="false">(IF($B39="E",1,0))+IF($C39="E",1,0)+IF($D39="E",1,0)</f>
        <v>2</v>
      </c>
      <c r="G39" s="0" t="n">
        <f aca="false">(IF($B39="O",1,0))+IF($C39="O",1,0)+IF($D39="O",1,0)</f>
        <v>1</v>
      </c>
      <c r="H39" s="0" t="n">
        <f aca="false">(IF($B39="L",1,0))+IF($C39="L",1,0)+IF($D39="L",1,0)</f>
        <v>0</v>
      </c>
      <c r="I39" s="0" t="n">
        <f aca="false">(IF(B39="V",1,0))</f>
        <v>0</v>
      </c>
      <c r="J39" s="0" t="n">
        <f aca="false">(IF(B39="E",1,0))</f>
        <v>0</v>
      </c>
      <c r="K39" s="0" t="n">
        <f aca="false">(IF(B39="O",1,0))</f>
        <v>1</v>
      </c>
      <c r="L39" s="0" t="n">
        <f aca="false">(IF(B39="L",1,0))</f>
        <v>0</v>
      </c>
      <c r="M39" s="0" t="n">
        <f aca="false">(IF(C39="V",1,0))</f>
        <v>0</v>
      </c>
      <c r="N39" s="0" t="n">
        <f aca="false">(IF(C39="E",1,0))</f>
        <v>1</v>
      </c>
      <c r="O39" s="0" t="n">
        <f aca="false">(IF(C39="O",1,0))</f>
        <v>0</v>
      </c>
      <c r="P39" s="0" t="n">
        <f aca="false">(IF(C39="L",1,0))</f>
        <v>0</v>
      </c>
      <c r="Q39" s="0" t="n">
        <f aca="false">(IF(D39="V",1,0))</f>
        <v>0</v>
      </c>
      <c r="R39" s="0" t="n">
        <f aca="false">(IF(D39="E",1,0))</f>
        <v>1</v>
      </c>
      <c r="S39" s="0" t="n">
        <f aca="false">(IF(D39="O",1,0))</f>
        <v>0</v>
      </c>
      <c r="T39" s="0" t="n">
        <f aca="false">(IF(D39="L",1,0))</f>
        <v>0</v>
      </c>
      <c r="U39" s="0" t="n">
        <f aca="false">MAX(E39-1,0)</f>
        <v>0</v>
      </c>
      <c r="V39" s="0" t="n">
        <f aca="false">MAX(U39-1+F39,0)</f>
        <v>1</v>
      </c>
      <c r="W39" s="0" t="n">
        <f aca="false">MAX(V39-1+G39,0)</f>
        <v>1</v>
      </c>
      <c r="X39" s="0" t="n">
        <f aca="false">MAX(W39-1+H39,0)</f>
        <v>0</v>
      </c>
      <c r="Y39" s="1" t="n">
        <f aca="false">0.5*(E39*I39+F39*J39+G39*K39+H39*L39-1)+(0+$U39*J39+$V39*K39+$W39*L39)</f>
        <v>1</v>
      </c>
      <c r="Z39" s="1" t="n">
        <f aca="false">0.5*(E39*M39+F39*N39+G39*O39+H39*P39-1)+(0+$U39*N39+$V39*O39+$W39*P39)</f>
        <v>0.5</v>
      </c>
      <c r="AA39" s="1" t="n">
        <f aca="false">0.5*(E39*Q39+F39*R39+G39*S39+H39*T39-1)+(0+$U39*R39+$V39*S39+$W39*T39)</f>
        <v>0.5</v>
      </c>
      <c r="AB39" s="0" t="n">
        <f aca="false">IF(B39="V",-2,0)+IF(B39="E",-1,0)+IF(B39="O",0,0)+IF(B39="L",1,0)+Y39</f>
        <v>1</v>
      </c>
      <c r="AC39" s="0" t="n">
        <f aca="false">IF(C39="V",-2,0)+IF(C39="E",-1,0)+IF(C39="O",0,0)+IF(C39="L",1,0)+Z39</f>
        <v>-0.5</v>
      </c>
      <c r="AD39" s="0" t="n">
        <f aca="false">IF(D39="V",-2,0)+IF(D39="E",-1,0)+IF(D39="O",0,0)+IF(D39="L",1,0)+AA39</f>
        <v>-0.5</v>
      </c>
      <c r="AE39" s="1" t="n">
        <f aca="false">IF(B39="V",-2,0)+IF(B39="E",-1,0)+IF(B39="O",0,0)+IF(B39="L",1,0)</f>
        <v>0</v>
      </c>
      <c r="AF39" s="1" t="n">
        <f aca="false">IF(B39="V",-2,0)+IF(B39="E",-1,0)+IF(B39="O",0,0)+IF(B39="L",1,0)+Y39</f>
        <v>1</v>
      </c>
      <c r="AG39" s="1" t="n">
        <f aca="false">IF(B39="V",-2,0)+IF(B39="E",-1,0)+IF(B39="O",0,0)+IF(B39="L",1,0)+Y39*2</f>
        <v>2</v>
      </c>
      <c r="AH39" s="1" t="n">
        <f aca="false">IF(C39="V",-2,0)+IF(C39="E",-1,0)+IF(C39="O",0,0)+IF(C39="L",1,0)</f>
        <v>-1</v>
      </c>
      <c r="AI39" s="1" t="n">
        <f aca="false">IF(C39="V",-2,0)+IF(C39="E",-1,0)+IF(C39="O",0,0)+IF(C39="L",1,0)+Z39</f>
        <v>-0.5</v>
      </c>
      <c r="AJ39" s="1" t="n">
        <f aca="false">IF(C39="V",-2,0)+IF(C39="E",-1,0)+IF(C39="O",0,0)+IF(C39="L",1,0)+Z39*2</f>
        <v>0</v>
      </c>
      <c r="AK39" s="1" t="n">
        <f aca="false">IF(D39="V",-2,0)+IF(D39="E",-1,0)+IF(D39="O",0,0)+IF(D39="L",1,0)</f>
        <v>-1</v>
      </c>
      <c r="AL39" s="1" t="n">
        <f aca="false">IF(D39="V",-2,0)+IF(D39="E",-1,0)+IF(D39="O",0,0)+IF(D39="L",1,0)+AA39</f>
        <v>-0.5</v>
      </c>
      <c r="AM39" s="1" t="n">
        <f aca="false">IF(D39="V",-2,0)+IF(D39="E",-1,0)+IF(D39="O",0,0)+IF(D39="L",1,0)+AA39*2</f>
        <v>0</v>
      </c>
      <c r="AN39" s="1" t="n">
        <f aca="false">(ABS(IF(AE39&lt;0,AE39*Early,AE39*Late))+ABS(IF(AF39&lt;0,AF39*Early,AF39*Late))+ABS(IF(AG39&lt;0,AG39*Early,AG39*Late)))/3</f>
        <v>4</v>
      </c>
      <c r="AO39" s="1" t="n">
        <f aca="false">(ABS(IF(AH39&lt;0,AH39*Early,AH39*Late))+ABS(IF(AI39&lt;0,AI39*Early,AI39*Late))+ABS(IF(AJ39&lt;0,AJ39*Early,AJ39*Late)))/3</f>
        <v>1.5</v>
      </c>
      <c r="AP39" s="1" t="n">
        <f aca="false">(ABS(IF(AK39&lt;0,AK39*Early,AK39*Late))+ABS(IF(AL39&lt;0,AL39*Early,AL39*Late))+ABS(IF(AM39&lt;0,AM39*Early,AM39*Late)))/3</f>
        <v>1.5</v>
      </c>
      <c r="AQ39" s="0" t="n">
        <f aca="false">Y39*Delay+AN39</f>
        <v>5</v>
      </c>
      <c r="AR39" s="0" t="n">
        <f aca="false">Z39*Delay+AO39</f>
        <v>2</v>
      </c>
      <c r="AS39" s="0" t="n">
        <f aca="false">AA39*Delay+AP39</f>
        <v>2</v>
      </c>
      <c r="AT39" s="0" t="n">
        <f aca="false">IF(AS39=MIN(AS38:AS41),1,0)</f>
        <v>1</v>
      </c>
      <c r="AX39" s="0" t="str">
        <f aca="false">B39&amp;C39&amp;D39</f>
        <v>OEE</v>
      </c>
      <c r="AY39" s="1" t="n">
        <f aca="false">AQ39+AR39+AS39</f>
        <v>9</v>
      </c>
      <c r="AZ39" s="1" t="str">
        <f aca="false">RIGHT(AX39,2)</f>
        <v>EE</v>
      </c>
      <c r="BA39" s="1" t="str">
        <f aca="false">LEFT(AX39,1)&amp;RIGHT(AX39,1)</f>
        <v>OE</v>
      </c>
      <c r="BB39" s="1" t="str">
        <f aca="false">LEFT(AX39,2)</f>
        <v>OE</v>
      </c>
      <c r="BC39" s="1" t="n">
        <f aca="false">VLOOKUP(AZ39,TwoPlayers!$AG$1:$AH$17,2,FALSE())</f>
        <v>4</v>
      </c>
      <c r="BD39" s="1" t="n">
        <f aca="false">VLOOKUP(BA39,TwoPlayers!$AG$1:$AH$17,2,FALSE())</f>
        <v>3</v>
      </c>
      <c r="BE39" s="1" t="n">
        <f aca="false">VLOOKUP(BB39,TwoPlayers!$AG$1:$AH$17,2,FALSE())</f>
        <v>3</v>
      </c>
      <c r="BF39" s="1" t="n">
        <f aca="false">$AY39-BC39</f>
        <v>5</v>
      </c>
      <c r="BG39" s="1" t="n">
        <f aca="false">$AY39-BD39</f>
        <v>6</v>
      </c>
      <c r="BH39" s="1" t="n">
        <f aca="false">$AY39-BE39</f>
        <v>6</v>
      </c>
      <c r="BJ39" s="0" t="n">
        <f aca="false">AQ39+BF39</f>
        <v>10</v>
      </c>
      <c r="BK39" s="0" t="n">
        <f aca="false">AR39+BG39</f>
        <v>8</v>
      </c>
      <c r="BL39" s="0" t="n">
        <f aca="false">AS39+BH39</f>
        <v>8</v>
      </c>
      <c r="BM39" s="0" t="n">
        <f aca="false">IF(BL39=MIN(BL38:BL42),1,0)</f>
        <v>0</v>
      </c>
    </row>
    <row r="40" customFormat="false" ht="13" hidden="false" customHeight="false" outlineLevel="0" collapsed="false">
      <c r="A40" s="0" t="n">
        <v>39</v>
      </c>
      <c r="B40" s="0" t="s">
        <v>3</v>
      </c>
      <c r="C40" s="0" t="s">
        <v>2</v>
      </c>
      <c r="D40" s="0" t="s">
        <v>3</v>
      </c>
      <c r="E40" s="0" t="n">
        <f aca="false">(IF($B40="V",1,0))+IF($C40="V",1,0)+IF($D40="V",1,0)</f>
        <v>0</v>
      </c>
      <c r="F40" s="0" t="n">
        <f aca="false">(IF($B40="E",1,0))+IF($C40="E",1,0)+IF($D40="E",1,0)</f>
        <v>1</v>
      </c>
      <c r="G40" s="0" t="n">
        <f aca="false">(IF($B40="O",1,0))+IF($C40="O",1,0)+IF($D40="O",1,0)</f>
        <v>2</v>
      </c>
      <c r="H40" s="0" t="n">
        <f aca="false">(IF($B40="L",1,0))+IF($C40="L",1,0)+IF($D40="L",1,0)</f>
        <v>0</v>
      </c>
      <c r="I40" s="0" t="n">
        <f aca="false">(IF(B40="V",1,0))</f>
        <v>0</v>
      </c>
      <c r="J40" s="0" t="n">
        <f aca="false">(IF(B40="E",1,0))</f>
        <v>0</v>
      </c>
      <c r="K40" s="0" t="n">
        <f aca="false">(IF(B40="O",1,0))</f>
        <v>1</v>
      </c>
      <c r="L40" s="0" t="n">
        <f aca="false">(IF(B40="L",1,0))</f>
        <v>0</v>
      </c>
      <c r="M40" s="0" t="n">
        <f aca="false">(IF(C40="V",1,0))</f>
        <v>0</v>
      </c>
      <c r="N40" s="0" t="n">
        <f aca="false">(IF(C40="E",1,0))</f>
        <v>1</v>
      </c>
      <c r="O40" s="0" t="n">
        <f aca="false">(IF(C40="O",1,0))</f>
        <v>0</v>
      </c>
      <c r="P40" s="0" t="n">
        <f aca="false">(IF(C40="L",1,0))</f>
        <v>0</v>
      </c>
      <c r="Q40" s="0" t="n">
        <f aca="false">(IF(D40="V",1,0))</f>
        <v>0</v>
      </c>
      <c r="R40" s="0" t="n">
        <f aca="false">(IF(D40="E",1,0))</f>
        <v>0</v>
      </c>
      <c r="S40" s="0" t="n">
        <f aca="false">(IF(D40="O",1,0))</f>
        <v>1</v>
      </c>
      <c r="T40" s="0" t="n">
        <f aca="false">(IF(D40="L",1,0))</f>
        <v>0</v>
      </c>
      <c r="U40" s="0" t="n">
        <f aca="false">MAX(E40-1,0)</f>
        <v>0</v>
      </c>
      <c r="V40" s="0" t="n">
        <f aca="false">MAX(U40-1+F40,0)</f>
        <v>0</v>
      </c>
      <c r="W40" s="0" t="n">
        <f aca="false">MAX(V40-1+G40,0)</f>
        <v>1</v>
      </c>
      <c r="X40" s="0" t="n">
        <f aca="false">MAX(W40-1+H40,0)</f>
        <v>0</v>
      </c>
      <c r="Y40" s="1" t="n">
        <f aca="false">0.5*(E40*I40+F40*J40+G40*K40+H40*L40-1)+(0+$U40*J40+$V40*K40+$W40*L40)</f>
        <v>0.5</v>
      </c>
      <c r="Z40" s="1" t="n">
        <f aca="false">0.5*(E40*M40+F40*N40+G40*O40+H40*P40-1)+(0+$U40*N40+$V40*O40+$W40*P40)</f>
        <v>0</v>
      </c>
      <c r="AA40" s="1" t="n">
        <f aca="false">0.5*(E40*Q40+F40*R40+G40*S40+H40*T40-1)+(0+$U40*R40+$V40*S40+$W40*T40)</f>
        <v>0.5</v>
      </c>
      <c r="AB40" s="0" t="n">
        <f aca="false">IF(B40="V",-2,0)+IF(B40="E",-1,0)+IF(B40="O",0,0)+IF(B40="L",1,0)+Y40</f>
        <v>0.5</v>
      </c>
      <c r="AC40" s="0" t="n">
        <f aca="false">IF(C40="V",-2,0)+IF(C40="E",-1,0)+IF(C40="O",0,0)+IF(C40="L",1,0)+Z40</f>
        <v>-1</v>
      </c>
      <c r="AD40" s="0" t="n">
        <f aca="false">IF(D40="V",-2,0)+IF(D40="E",-1,0)+IF(D40="O",0,0)+IF(D40="L",1,0)+AA40</f>
        <v>0.5</v>
      </c>
      <c r="AE40" s="1" t="n">
        <f aca="false">IF(B40="V",-2,0)+IF(B40="E",-1,0)+IF(B40="O",0,0)+IF(B40="L",1,0)</f>
        <v>0</v>
      </c>
      <c r="AF40" s="1" t="n">
        <f aca="false">IF(B40="V",-2,0)+IF(B40="E",-1,0)+IF(B40="O",0,0)+IF(B40="L",1,0)+Y40</f>
        <v>0.5</v>
      </c>
      <c r="AG40" s="1" t="n">
        <f aca="false">IF(B40="V",-2,0)+IF(B40="E",-1,0)+IF(B40="O",0,0)+IF(B40="L",1,0)+Y40*2</f>
        <v>1</v>
      </c>
      <c r="AH40" s="1" t="n">
        <f aca="false">IF(C40="V",-2,0)+IF(C40="E",-1,0)+IF(C40="O",0,0)+IF(C40="L",1,0)</f>
        <v>-1</v>
      </c>
      <c r="AI40" s="1" t="n">
        <f aca="false">IF(C40="V",-2,0)+IF(C40="E",-1,0)+IF(C40="O",0,0)+IF(C40="L",1,0)+Z40</f>
        <v>-1</v>
      </c>
      <c r="AJ40" s="1" t="n">
        <f aca="false">IF(C40="V",-2,0)+IF(C40="E",-1,0)+IF(C40="O",0,0)+IF(C40="L",1,0)+Z40*2</f>
        <v>-1</v>
      </c>
      <c r="AK40" s="1" t="n">
        <f aca="false">IF(D40="V",-2,0)+IF(D40="E",-1,0)+IF(D40="O",0,0)+IF(D40="L",1,0)</f>
        <v>0</v>
      </c>
      <c r="AL40" s="1" t="n">
        <f aca="false">IF(D40="V",-2,0)+IF(D40="E",-1,0)+IF(D40="O",0,0)+IF(D40="L",1,0)+AA40</f>
        <v>0.5</v>
      </c>
      <c r="AM40" s="1" t="n">
        <f aca="false">IF(D40="V",-2,0)+IF(D40="E",-1,0)+IF(D40="O",0,0)+IF(D40="L",1,0)+AA40*2</f>
        <v>1</v>
      </c>
      <c r="AN40" s="1" t="n">
        <f aca="false">(ABS(IF(AE40&lt;0,AE40*Early,AE40*Late))+ABS(IF(AF40&lt;0,AF40*Early,AF40*Late))+ABS(IF(AG40&lt;0,AG40*Early,AG40*Late)))/3</f>
        <v>2</v>
      </c>
      <c r="AO40" s="1" t="n">
        <f aca="false">(ABS(IF(AH40&lt;0,AH40*Early,AH40*Late))+ABS(IF(AI40&lt;0,AI40*Early,AI40*Late))+ABS(IF(AJ40&lt;0,AJ40*Early,AJ40*Late)))/3</f>
        <v>3</v>
      </c>
      <c r="AP40" s="1" t="n">
        <f aca="false">(ABS(IF(AK40&lt;0,AK40*Early,AK40*Late))+ABS(IF(AL40&lt;0,AL40*Early,AL40*Late))+ABS(IF(AM40&lt;0,AM40*Early,AM40*Late)))/3</f>
        <v>2</v>
      </c>
      <c r="AQ40" s="0" t="n">
        <f aca="false">Y40*Delay+AN40</f>
        <v>2.5</v>
      </c>
      <c r="AR40" s="0" t="n">
        <f aca="false">Z40*Delay+AO40</f>
        <v>3</v>
      </c>
      <c r="AS40" s="0" t="n">
        <f aca="false">AA40*Delay+AP40</f>
        <v>2.5</v>
      </c>
      <c r="AT40" s="0" t="n">
        <f aca="false">IF(AS40=MIN(AS38:AS41),1,0)</f>
        <v>0</v>
      </c>
      <c r="AX40" s="0" t="str">
        <f aca="false">B40&amp;C40&amp;D40</f>
        <v>OEO</v>
      </c>
      <c r="AY40" s="1" t="n">
        <f aca="false">AQ40+AR40+AS40</f>
        <v>8</v>
      </c>
      <c r="AZ40" s="1" t="str">
        <f aca="false">RIGHT(AX40,2)</f>
        <v>EO</v>
      </c>
      <c r="BA40" s="1" t="str">
        <f aca="false">LEFT(AX40,1)&amp;RIGHT(AX40,1)</f>
        <v>OO</v>
      </c>
      <c r="BB40" s="1" t="str">
        <f aca="false">LEFT(AX40,2)</f>
        <v>OE</v>
      </c>
      <c r="BC40" s="1" t="n">
        <f aca="false">VLOOKUP(AZ40,TwoPlayers!$AG$1:$AH$17,2,FALSE())</f>
        <v>3</v>
      </c>
      <c r="BD40" s="1" t="n">
        <f aca="false">VLOOKUP(BA40,TwoPlayers!$AG$1:$AH$17,2,FALSE())</f>
        <v>5</v>
      </c>
      <c r="BE40" s="1" t="n">
        <f aca="false">VLOOKUP(BB40,TwoPlayers!$AG$1:$AH$17,2,FALSE())</f>
        <v>3</v>
      </c>
      <c r="BF40" s="1" t="n">
        <f aca="false">$AY40-BC40</f>
        <v>5</v>
      </c>
      <c r="BG40" s="1" t="n">
        <f aca="false">$AY40-BD40</f>
        <v>3</v>
      </c>
      <c r="BH40" s="1" t="n">
        <f aca="false">$AY40-BE40</f>
        <v>5</v>
      </c>
      <c r="BJ40" s="0" t="n">
        <f aca="false">AQ40+BF40</f>
        <v>7.5</v>
      </c>
      <c r="BK40" s="0" t="n">
        <f aca="false">AR40+BG40</f>
        <v>6</v>
      </c>
      <c r="BL40" s="0" t="n">
        <f aca="false">AS40+BH40</f>
        <v>7.5</v>
      </c>
      <c r="BM40" s="0" t="n">
        <f aca="false">IF(BL40=MIN(BL38:BL42),1,0)</f>
        <v>1</v>
      </c>
    </row>
    <row r="41" customFormat="false" ht="13" hidden="false" customHeight="false" outlineLevel="0" collapsed="false">
      <c r="A41" s="0" t="n">
        <v>40</v>
      </c>
      <c r="B41" s="0" t="s">
        <v>3</v>
      </c>
      <c r="C41" s="0" t="s">
        <v>2</v>
      </c>
      <c r="D41" s="0" t="s">
        <v>4</v>
      </c>
      <c r="E41" s="0" t="n">
        <f aca="false">(IF($B41="V",1,0))+IF($C41="V",1,0)+IF($D41="V",1,0)</f>
        <v>0</v>
      </c>
      <c r="F41" s="0" t="n">
        <f aca="false">(IF($B41="E",1,0))+IF($C41="E",1,0)+IF($D41="E",1,0)</f>
        <v>1</v>
      </c>
      <c r="G41" s="0" t="n">
        <f aca="false">(IF($B41="O",1,0))+IF($C41="O",1,0)+IF($D41="O",1,0)</f>
        <v>1</v>
      </c>
      <c r="H41" s="0" t="n">
        <f aca="false">(IF($B41="L",1,0))+IF($C41="L",1,0)+IF($D41="L",1,0)</f>
        <v>1</v>
      </c>
      <c r="I41" s="0" t="n">
        <f aca="false">(IF(B41="V",1,0))</f>
        <v>0</v>
      </c>
      <c r="J41" s="0" t="n">
        <f aca="false">(IF(B41="E",1,0))</f>
        <v>0</v>
      </c>
      <c r="K41" s="0" t="n">
        <f aca="false">(IF(B41="O",1,0))</f>
        <v>1</v>
      </c>
      <c r="L41" s="0" t="n">
        <f aca="false">(IF(B41="L",1,0))</f>
        <v>0</v>
      </c>
      <c r="M41" s="0" t="n">
        <f aca="false">(IF(C41="V",1,0))</f>
        <v>0</v>
      </c>
      <c r="N41" s="0" t="n">
        <f aca="false">(IF(C41="E",1,0))</f>
        <v>1</v>
      </c>
      <c r="O41" s="0" t="n">
        <f aca="false">(IF(C41="O",1,0))</f>
        <v>0</v>
      </c>
      <c r="P41" s="0" t="n">
        <f aca="false">(IF(C41="L",1,0))</f>
        <v>0</v>
      </c>
      <c r="Q41" s="0" t="n">
        <f aca="false">(IF(D41="V",1,0))</f>
        <v>0</v>
      </c>
      <c r="R41" s="0" t="n">
        <f aca="false">(IF(D41="E",1,0))</f>
        <v>0</v>
      </c>
      <c r="S41" s="0" t="n">
        <f aca="false">(IF(D41="O",1,0))</f>
        <v>0</v>
      </c>
      <c r="T41" s="0" t="n">
        <f aca="false">(IF(D41="L",1,0))</f>
        <v>1</v>
      </c>
      <c r="U41" s="0" t="n">
        <f aca="false">MAX(E41-1,0)</f>
        <v>0</v>
      </c>
      <c r="V41" s="0" t="n">
        <f aca="false">MAX(U41-1+F41,0)</f>
        <v>0</v>
      </c>
      <c r="W41" s="0" t="n">
        <f aca="false">MAX(V41-1+G41,0)</f>
        <v>0</v>
      </c>
      <c r="X41" s="0" t="n">
        <f aca="false">MAX(W41-1+H41,0)</f>
        <v>0</v>
      </c>
      <c r="Y41" s="1" t="n">
        <f aca="false">0.5*(E41*I41+F41*J41+G41*K41+H41*L41-1)+(0+$U41*J41+$V41*K41+$W41*L41)</f>
        <v>0</v>
      </c>
      <c r="Z41" s="1" t="n">
        <f aca="false">0.5*(E41*M41+F41*N41+G41*O41+H41*P41-1)+(0+$U41*N41+$V41*O41+$W41*P41)</f>
        <v>0</v>
      </c>
      <c r="AA41" s="1" t="n">
        <f aca="false">0.5*(E41*Q41+F41*R41+G41*S41+H41*T41-1)+(0+$U41*R41+$V41*S41+$W41*T41)</f>
        <v>0</v>
      </c>
      <c r="AB41" s="0" t="n">
        <f aca="false">IF(B41="V",-2,0)+IF(B41="E",-1,0)+IF(B41="O",0,0)+IF(B41="L",1,0)+Y41</f>
        <v>0</v>
      </c>
      <c r="AC41" s="0" t="n">
        <f aca="false">IF(C41="V",-2,0)+IF(C41="E",-1,0)+IF(C41="O",0,0)+IF(C41="L",1,0)+Z41</f>
        <v>-1</v>
      </c>
      <c r="AD41" s="0" t="n">
        <f aca="false">IF(D41="V",-2,0)+IF(D41="E",-1,0)+IF(D41="O",0,0)+IF(D41="L",1,0)+AA41</f>
        <v>1</v>
      </c>
      <c r="AE41" s="1" t="n">
        <f aca="false">IF(B41="V",-2,0)+IF(B41="E",-1,0)+IF(B41="O",0,0)+IF(B41="L",1,0)</f>
        <v>0</v>
      </c>
      <c r="AF41" s="1" t="n">
        <f aca="false">IF(B41="V",-2,0)+IF(B41="E",-1,0)+IF(B41="O",0,0)+IF(B41="L",1,0)+Y41</f>
        <v>0</v>
      </c>
      <c r="AG41" s="1" t="n">
        <f aca="false">IF(B41="V",-2,0)+IF(B41="E",-1,0)+IF(B41="O",0,0)+IF(B41="L",1,0)+Y41*2</f>
        <v>0</v>
      </c>
      <c r="AH41" s="1" t="n">
        <f aca="false">IF(C41="V",-2,0)+IF(C41="E",-1,0)+IF(C41="O",0,0)+IF(C41="L",1,0)</f>
        <v>-1</v>
      </c>
      <c r="AI41" s="1" t="n">
        <f aca="false">IF(C41="V",-2,0)+IF(C41="E",-1,0)+IF(C41="O",0,0)+IF(C41="L",1,0)+Z41</f>
        <v>-1</v>
      </c>
      <c r="AJ41" s="1" t="n">
        <f aca="false">IF(C41="V",-2,0)+IF(C41="E",-1,0)+IF(C41="O",0,0)+IF(C41="L",1,0)+Z41*2</f>
        <v>-1</v>
      </c>
      <c r="AK41" s="1" t="n">
        <f aca="false">IF(D41="V",-2,0)+IF(D41="E",-1,0)+IF(D41="O",0,0)+IF(D41="L",1,0)</f>
        <v>1</v>
      </c>
      <c r="AL41" s="1" t="n">
        <f aca="false">IF(D41="V",-2,0)+IF(D41="E",-1,0)+IF(D41="O",0,0)+IF(D41="L",1,0)+AA41</f>
        <v>1</v>
      </c>
      <c r="AM41" s="1" t="n">
        <f aca="false">IF(D41="V",-2,0)+IF(D41="E",-1,0)+IF(D41="O",0,0)+IF(D41="L",1,0)+AA41*2</f>
        <v>1</v>
      </c>
      <c r="AN41" s="1" t="n">
        <f aca="false">(ABS(IF(AE41&lt;0,AE41*Early,AE41*Late))+ABS(IF(AF41&lt;0,AF41*Early,AF41*Late))+ABS(IF(AG41&lt;0,AG41*Early,AG41*Late)))/3</f>
        <v>0</v>
      </c>
      <c r="AO41" s="1" t="n">
        <f aca="false">(ABS(IF(AH41&lt;0,AH41*Early,AH41*Late))+ABS(IF(AI41&lt;0,AI41*Early,AI41*Late))+ABS(IF(AJ41&lt;0,AJ41*Early,AJ41*Late)))/3</f>
        <v>3</v>
      </c>
      <c r="AP41" s="1" t="n">
        <f aca="false">(ABS(IF(AK41&lt;0,AK41*Early,AK41*Late))+ABS(IF(AL41&lt;0,AL41*Early,AL41*Late))+ABS(IF(AM41&lt;0,AM41*Early,AM41*Late)))/3</f>
        <v>4</v>
      </c>
      <c r="AQ41" s="0" t="n">
        <f aca="false">Y41*Delay+AN41</f>
        <v>0</v>
      </c>
      <c r="AR41" s="0" t="n">
        <f aca="false">Z41*Delay+AO41</f>
        <v>3</v>
      </c>
      <c r="AS41" s="0" t="n">
        <f aca="false">AA41*Delay+AP41</f>
        <v>4</v>
      </c>
      <c r="AT41" s="0" t="n">
        <f aca="false">IF(AS41=MIN(AS38:AS41),1,0)</f>
        <v>0</v>
      </c>
      <c r="AX41" s="0" t="str">
        <f aca="false">B41&amp;C41&amp;D41</f>
        <v>OEL</v>
      </c>
      <c r="AY41" s="1" t="n">
        <f aca="false">AQ41+AR41+AS41</f>
        <v>7</v>
      </c>
      <c r="AZ41" s="1" t="str">
        <f aca="false">RIGHT(AX41,2)</f>
        <v>EL</v>
      </c>
      <c r="BA41" s="1" t="str">
        <f aca="false">LEFT(AX41,1)&amp;RIGHT(AX41,1)</f>
        <v>OL</v>
      </c>
      <c r="BB41" s="1" t="str">
        <f aca="false">LEFT(AX41,2)</f>
        <v>OE</v>
      </c>
      <c r="BC41" s="1" t="n">
        <f aca="false">VLOOKUP(AZ41,TwoPlayers!$AG$1:$AH$17,2,FALSE())</f>
        <v>7</v>
      </c>
      <c r="BD41" s="1" t="n">
        <f aca="false">VLOOKUP(BA41,TwoPlayers!$AG$1:$AH$17,2,FALSE())</f>
        <v>4</v>
      </c>
      <c r="BE41" s="1" t="n">
        <f aca="false">VLOOKUP(BB41,TwoPlayers!$AG$1:$AH$17,2,FALSE())</f>
        <v>3</v>
      </c>
      <c r="BF41" s="1" t="n">
        <f aca="false">$AY41-BC41</f>
        <v>0</v>
      </c>
      <c r="BG41" s="1" t="n">
        <f aca="false">$AY41-BD41</f>
        <v>3</v>
      </c>
      <c r="BH41" s="1" t="n">
        <f aca="false">$AY41-BE41</f>
        <v>4</v>
      </c>
      <c r="BJ41" s="0" t="n">
        <f aca="false">AQ41+BF41</f>
        <v>0</v>
      </c>
      <c r="BK41" s="0" t="n">
        <f aca="false">AR41+BG41</f>
        <v>6</v>
      </c>
      <c r="BL41" s="0" t="n">
        <f aca="false">AS41+BH41</f>
        <v>8</v>
      </c>
      <c r="BM41" s="0" t="n">
        <f aca="false">IF(BL41=MIN(BL38:BL42),1,0)</f>
        <v>0</v>
      </c>
    </row>
    <row r="42" customFormat="false" ht="13" hidden="false" customHeight="false" outlineLevel="0" collapsed="false">
      <c r="A42" s="0" t="n">
        <v>41</v>
      </c>
      <c r="B42" s="0" t="s">
        <v>3</v>
      </c>
      <c r="C42" s="0" t="s">
        <v>3</v>
      </c>
      <c r="D42" s="0" t="s">
        <v>1</v>
      </c>
      <c r="E42" s="0" t="n">
        <f aca="false">(IF($B42="V",1,0))+IF($C42="V",1,0)+IF($D42="V",1,0)</f>
        <v>1</v>
      </c>
      <c r="F42" s="0" t="n">
        <f aca="false">(IF($B42="E",1,0))+IF($C42="E",1,0)+IF($D42="E",1,0)</f>
        <v>0</v>
      </c>
      <c r="G42" s="0" t="n">
        <f aca="false">(IF($B42="O",1,0))+IF($C42="O",1,0)+IF($D42="O",1,0)</f>
        <v>2</v>
      </c>
      <c r="H42" s="0" t="n">
        <f aca="false">(IF($B42="L",1,0))+IF($C42="L",1,0)+IF($D42="L",1,0)</f>
        <v>0</v>
      </c>
      <c r="I42" s="0" t="n">
        <f aca="false">(IF(B42="V",1,0))</f>
        <v>0</v>
      </c>
      <c r="J42" s="0" t="n">
        <f aca="false">(IF(B42="E",1,0))</f>
        <v>0</v>
      </c>
      <c r="K42" s="0" t="n">
        <f aca="false">(IF(B42="O",1,0))</f>
        <v>1</v>
      </c>
      <c r="L42" s="0" t="n">
        <f aca="false">(IF(B42="L",1,0))</f>
        <v>0</v>
      </c>
      <c r="M42" s="0" t="n">
        <f aca="false">(IF(C42="V",1,0))</f>
        <v>0</v>
      </c>
      <c r="N42" s="0" t="n">
        <f aca="false">(IF(C42="E",1,0))</f>
        <v>0</v>
      </c>
      <c r="O42" s="0" t="n">
        <f aca="false">(IF(C42="O",1,0))</f>
        <v>1</v>
      </c>
      <c r="P42" s="0" t="n">
        <f aca="false">(IF(C42="L",1,0))</f>
        <v>0</v>
      </c>
      <c r="Q42" s="0" t="n">
        <f aca="false">(IF(D42="V",1,0))</f>
        <v>1</v>
      </c>
      <c r="R42" s="0" t="n">
        <f aca="false">(IF(D42="E",1,0))</f>
        <v>0</v>
      </c>
      <c r="S42" s="0" t="n">
        <f aca="false">(IF(D42="O",1,0))</f>
        <v>0</v>
      </c>
      <c r="T42" s="0" t="n">
        <f aca="false">(IF(D42="L",1,0))</f>
        <v>0</v>
      </c>
      <c r="U42" s="0" t="n">
        <f aca="false">MAX(E42-1,0)</f>
        <v>0</v>
      </c>
      <c r="V42" s="0" t="n">
        <f aca="false">MAX(U42-1+F42,0)</f>
        <v>0</v>
      </c>
      <c r="W42" s="0" t="n">
        <f aca="false">MAX(V42-1+G42,0)</f>
        <v>1</v>
      </c>
      <c r="X42" s="0" t="n">
        <f aca="false">MAX(W42-1+H42,0)</f>
        <v>0</v>
      </c>
      <c r="Y42" s="1" t="n">
        <f aca="false">0.5*(E42*I42+F42*J42+G42*K42+H42*L42-1)+(0+$U42*J42+$V42*K42+$W42*L42)</f>
        <v>0.5</v>
      </c>
      <c r="Z42" s="1" t="n">
        <f aca="false">0.5*(E42*M42+F42*N42+G42*O42+H42*P42-1)+(0+$U42*N42+$V42*O42+$W42*P42)</f>
        <v>0.5</v>
      </c>
      <c r="AA42" s="1" t="n">
        <f aca="false">0.5*(E42*Q42+F42*R42+G42*S42+H42*T42-1)+(0+$U42*R42+$V42*S42+$W42*T42)</f>
        <v>0</v>
      </c>
      <c r="AB42" s="0" t="n">
        <f aca="false">IF(B42="V",-2,0)+IF(B42="E",-1,0)+IF(B42="O",0,0)+IF(B42="L",1,0)+Y42</f>
        <v>0.5</v>
      </c>
      <c r="AC42" s="0" t="n">
        <f aca="false">IF(C42="V",-2,0)+IF(C42="E",-1,0)+IF(C42="O",0,0)+IF(C42="L",1,0)+Z42</f>
        <v>0.5</v>
      </c>
      <c r="AD42" s="0" t="n">
        <f aca="false">IF(D42="V",-2,0)+IF(D42="E",-1,0)+IF(D42="O",0,0)+IF(D42="L",1,0)+AA42</f>
        <v>-2</v>
      </c>
      <c r="AE42" s="1" t="n">
        <f aca="false">IF(B42="V",-2,0)+IF(B42="E",-1,0)+IF(B42="O",0,0)+IF(B42="L",1,0)</f>
        <v>0</v>
      </c>
      <c r="AF42" s="1" t="n">
        <f aca="false">IF(B42="V",-2,0)+IF(B42="E",-1,0)+IF(B42="O",0,0)+IF(B42="L",1,0)+Y42</f>
        <v>0.5</v>
      </c>
      <c r="AG42" s="1" t="n">
        <f aca="false">IF(B42="V",-2,0)+IF(B42="E",-1,0)+IF(B42="O",0,0)+IF(B42="L",1,0)+Y42*2</f>
        <v>1</v>
      </c>
      <c r="AH42" s="1" t="n">
        <f aca="false">IF(C42="V",-2,0)+IF(C42="E",-1,0)+IF(C42="O",0,0)+IF(C42="L",1,0)</f>
        <v>0</v>
      </c>
      <c r="AI42" s="1" t="n">
        <f aca="false">IF(C42="V",-2,0)+IF(C42="E",-1,0)+IF(C42="O",0,0)+IF(C42="L",1,0)+Z42</f>
        <v>0.5</v>
      </c>
      <c r="AJ42" s="1" t="n">
        <f aca="false">IF(C42="V",-2,0)+IF(C42="E",-1,0)+IF(C42="O",0,0)+IF(C42="L",1,0)+Z42*2</f>
        <v>1</v>
      </c>
      <c r="AK42" s="1" t="n">
        <f aca="false">IF(D42="V",-2,0)+IF(D42="E",-1,0)+IF(D42="O",0,0)+IF(D42="L",1,0)</f>
        <v>-2</v>
      </c>
      <c r="AL42" s="1" t="n">
        <f aca="false">IF(D42="V",-2,0)+IF(D42="E",-1,0)+IF(D42="O",0,0)+IF(D42="L",1,0)+AA42</f>
        <v>-2</v>
      </c>
      <c r="AM42" s="1" t="n">
        <f aca="false">IF(D42="V",-2,0)+IF(D42="E",-1,0)+IF(D42="O",0,0)+IF(D42="L",1,0)+AA42*2</f>
        <v>-2</v>
      </c>
      <c r="AN42" s="1" t="n">
        <f aca="false">(ABS(IF(AE42&lt;0,AE42*Early,AE42*Late))+ABS(IF(AF42&lt;0,AF42*Early,AF42*Late))+ABS(IF(AG42&lt;0,AG42*Early,AG42*Late)))/3</f>
        <v>2</v>
      </c>
      <c r="AO42" s="1" t="n">
        <f aca="false">(ABS(IF(AH42&lt;0,AH42*Early,AH42*Late))+ABS(IF(AI42&lt;0,AI42*Early,AI42*Late))+ABS(IF(AJ42&lt;0,AJ42*Early,AJ42*Late)))/3</f>
        <v>2</v>
      </c>
      <c r="AP42" s="1" t="n">
        <f aca="false">(ABS(IF(AK42&lt;0,AK42*Early,AK42*Late))+ABS(IF(AL42&lt;0,AL42*Early,AL42*Late))+ABS(IF(AM42&lt;0,AM42*Early,AM42*Late)))/3</f>
        <v>6</v>
      </c>
      <c r="AQ42" s="0" t="n">
        <f aca="false">Y42*Delay+AN42</f>
        <v>2.5</v>
      </c>
      <c r="AR42" s="0" t="n">
        <f aca="false">Z42*Delay+AO42</f>
        <v>2.5</v>
      </c>
      <c r="AS42" s="0" t="n">
        <f aca="false">AA42*Delay+AP42</f>
        <v>6</v>
      </c>
      <c r="AT42" s="0" t="n">
        <f aca="false">IF(AS42=MIN(AS42:AS45),1,0)</f>
        <v>0</v>
      </c>
      <c r="AX42" s="0" t="str">
        <f aca="false">B42&amp;C42&amp;D42</f>
        <v>OOV</v>
      </c>
      <c r="AY42" s="1" t="n">
        <f aca="false">AQ42+AR42+AS42</f>
        <v>11</v>
      </c>
      <c r="AZ42" s="1" t="str">
        <f aca="false">RIGHT(AX42,2)</f>
        <v>OV</v>
      </c>
      <c r="BA42" s="1" t="str">
        <f aca="false">LEFT(AX42,1)&amp;RIGHT(AX42,1)</f>
        <v>OV</v>
      </c>
      <c r="BB42" s="1" t="str">
        <f aca="false">LEFT(AX42,2)</f>
        <v>OO</v>
      </c>
      <c r="BC42" s="1" t="n">
        <f aca="false">VLOOKUP(AZ42,TwoPlayers!$AG$1:$AH$17,2,FALSE())</f>
        <v>6</v>
      </c>
      <c r="BD42" s="1" t="n">
        <f aca="false">VLOOKUP(BA42,TwoPlayers!$AG$1:$AH$17,2,FALSE())</f>
        <v>6</v>
      </c>
      <c r="BE42" s="1" t="n">
        <f aca="false">VLOOKUP(BB42,TwoPlayers!$AG$1:$AH$17,2,FALSE())</f>
        <v>5</v>
      </c>
      <c r="BF42" s="1" t="n">
        <f aca="false">$AY42-BC42</f>
        <v>5</v>
      </c>
      <c r="BG42" s="1" t="n">
        <f aca="false">$AY42-BD42</f>
        <v>5</v>
      </c>
      <c r="BH42" s="1" t="n">
        <f aca="false">$AY42-BE42</f>
        <v>6</v>
      </c>
      <c r="BJ42" s="0" t="n">
        <f aca="false">AQ42+BF42</f>
        <v>7.5</v>
      </c>
      <c r="BK42" s="0" t="n">
        <f aca="false">AR42+BG42</f>
        <v>7.5</v>
      </c>
      <c r="BL42" s="0" t="n">
        <f aca="false">AS42+BH42</f>
        <v>12</v>
      </c>
      <c r="BM42" s="0" t="n">
        <f aca="false">IF(BL42=MIN(BL42:BL46),1,0)</f>
        <v>0</v>
      </c>
    </row>
    <row r="43" customFormat="false" ht="13" hidden="false" customHeight="false" outlineLevel="0" collapsed="false">
      <c r="A43" s="0" t="n">
        <v>42</v>
      </c>
      <c r="B43" s="0" t="s">
        <v>3</v>
      </c>
      <c r="C43" s="0" t="s">
        <v>3</v>
      </c>
      <c r="D43" s="0" t="s">
        <v>2</v>
      </c>
      <c r="E43" s="0" t="n">
        <f aca="false">(IF($B43="V",1,0))+IF($C43="V",1,0)+IF($D43="V",1,0)</f>
        <v>0</v>
      </c>
      <c r="F43" s="0" t="n">
        <f aca="false">(IF($B43="E",1,0))+IF($C43="E",1,0)+IF($D43="E",1,0)</f>
        <v>1</v>
      </c>
      <c r="G43" s="0" t="n">
        <f aca="false">(IF($B43="O",1,0))+IF($C43="O",1,0)+IF($D43="O",1,0)</f>
        <v>2</v>
      </c>
      <c r="H43" s="0" t="n">
        <f aca="false">(IF($B43="L",1,0))+IF($C43="L",1,0)+IF($D43="L",1,0)</f>
        <v>0</v>
      </c>
      <c r="I43" s="0" t="n">
        <f aca="false">(IF(B43="V",1,0))</f>
        <v>0</v>
      </c>
      <c r="J43" s="0" t="n">
        <f aca="false">(IF(B43="E",1,0))</f>
        <v>0</v>
      </c>
      <c r="K43" s="0" t="n">
        <f aca="false">(IF(B43="O",1,0))</f>
        <v>1</v>
      </c>
      <c r="L43" s="0" t="n">
        <f aca="false">(IF(B43="L",1,0))</f>
        <v>0</v>
      </c>
      <c r="M43" s="0" t="n">
        <f aca="false">(IF(C43="V",1,0))</f>
        <v>0</v>
      </c>
      <c r="N43" s="0" t="n">
        <f aca="false">(IF(C43="E",1,0))</f>
        <v>0</v>
      </c>
      <c r="O43" s="0" t="n">
        <f aca="false">(IF(C43="O",1,0))</f>
        <v>1</v>
      </c>
      <c r="P43" s="0" t="n">
        <f aca="false">(IF(C43="L",1,0))</f>
        <v>0</v>
      </c>
      <c r="Q43" s="0" t="n">
        <f aca="false">(IF(D43="V",1,0))</f>
        <v>0</v>
      </c>
      <c r="R43" s="0" t="n">
        <f aca="false">(IF(D43="E",1,0))</f>
        <v>1</v>
      </c>
      <c r="S43" s="0" t="n">
        <f aca="false">(IF(D43="O",1,0))</f>
        <v>0</v>
      </c>
      <c r="T43" s="0" t="n">
        <f aca="false">(IF(D43="L",1,0))</f>
        <v>0</v>
      </c>
      <c r="U43" s="0" t="n">
        <f aca="false">MAX(E43-1,0)</f>
        <v>0</v>
      </c>
      <c r="V43" s="0" t="n">
        <f aca="false">MAX(U43-1+F43,0)</f>
        <v>0</v>
      </c>
      <c r="W43" s="0" t="n">
        <f aca="false">MAX(V43-1+G43,0)</f>
        <v>1</v>
      </c>
      <c r="X43" s="0" t="n">
        <f aca="false">MAX(W43-1+H43,0)</f>
        <v>0</v>
      </c>
      <c r="Y43" s="1" t="n">
        <f aca="false">0.5*(E43*I43+F43*J43+G43*K43+H43*L43-1)+(0+$U43*J43+$V43*K43+$W43*L43)</f>
        <v>0.5</v>
      </c>
      <c r="Z43" s="1" t="n">
        <f aca="false">0.5*(E43*M43+F43*N43+G43*O43+H43*P43-1)+(0+$U43*N43+$V43*O43+$W43*P43)</f>
        <v>0.5</v>
      </c>
      <c r="AA43" s="1" t="n">
        <f aca="false">0.5*(E43*Q43+F43*R43+G43*S43+H43*T43-1)+(0+$U43*R43+$V43*S43+$W43*T43)</f>
        <v>0</v>
      </c>
      <c r="AB43" s="0" t="n">
        <f aca="false">IF(B43="V",-2,0)+IF(B43="E",-1,0)+IF(B43="O",0,0)+IF(B43="L",1,0)+Y43</f>
        <v>0.5</v>
      </c>
      <c r="AC43" s="0" t="n">
        <f aca="false">IF(C43="V",-2,0)+IF(C43="E",-1,0)+IF(C43="O",0,0)+IF(C43="L",1,0)+Z43</f>
        <v>0.5</v>
      </c>
      <c r="AD43" s="0" t="n">
        <f aca="false">IF(D43="V",-2,0)+IF(D43="E",-1,0)+IF(D43="O",0,0)+IF(D43="L",1,0)+AA43</f>
        <v>-1</v>
      </c>
      <c r="AE43" s="1" t="n">
        <f aca="false">IF(B43="V",-2,0)+IF(B43="E",-1,0)+IF(B43="O",0,0)+IF(B43="L",1,0)</f>
        <v>0</v>
      </c>
      <c r="AF43" s="1" t="n">
        <f aca="false">IF(B43="V",-2,0)+IF(B43="E",-1,0)+IF(B43="O",0,0)+IF(B43="L",1,0)+Y43</f>
        <v>0.5</v>
      </c>
      <c r="AG43" s="1" t="n">
        <f aca="false">IF(B43="V",-2,0)+IF(B43="E",-1,0)+IF(B43="O",0,0)+IF(B43="L",1,0)+Y43*2</f>
        <v>1</v>
      </c>
      <c r="AH43" s="1" t="n">
        <f aca="false">IF(C43="V",-2,0)+IF(C43="E",-1,0)+IF(C43="O",0,0)+IF(C43="L",1,0)</f>
        <v>0</v>
      </c>
      <c r="AI43" s="1" t="n">
        <f aca="false">IF(C43="V",-2,0)+IF(C43="E",-1,0)+IF(C43="O",0,0)+IF(C43="L",1,0)+Z43</f>
        <v>0.5</v>
      </c>
      <c r="AJ43" s="1" t="n">
        <f aca="false">IF(C43="V",-2,0)+IF(C43="E",-1,0)+IF(C43="O",0,0)+IF(C43="L",1,0)+Z43*2</f>
        <v>1</v>
      </c>
      <c r="AK43" s="1" t="n">
        <f aca="false">IF(D43="V",-2,0)+IF(D43="E",-1,0)+IF(D43="O",0,0)+IF(D43="L",1,0)</f>
        <v>-1</v>
      </c>
      <c r="AL43" s="1" t="n">
        <f aca="false">IF(D43="V",-2,0)+IF(D43="E",-1,0)+IF(D43="O",0,0)+IF(D43="L",1,0)+AA43</f>
        <v>-1</v>
      </c>
      <c r="AM43" s="1" t="n">
        <f aca="false">IF(D43="V",-2,0)+IF(D43="E",-1,0)+IF(D43="O",0,0)+IF(D43="L",1,0)+AA43*2</f>
        <v>-1</v>
      </c>
      <c r="AN43" s="1" t="n">
        <f aca="false">(ABS(IF(AE43&lt;0,AE43*Early,AE43*Late))+ABS(IF(AF43&lt;0,AF43*Early,AF43*Late))+ABS(IF(AG43&lt;0,AG43*Early,AG43*Late)))/3</f>
        <v>2</v>
      </c>
      <c r="AO43" s="1" t="n">
        <f aca="false">(ABS(IF(AH43&lt;0,AH43*Early,AH43*Late))+ABS(IF(AI43&lt;0,AI43*Early,AI43*Late))+ABS(IF(AJ43&lt;0,AJ43*Early,AJ43*Late)))/3</f>
        <v>2</v>
      </c>
      <c r="AP43" s="1" t="n">
        <f aca="false">(ABS(IF(AK43&lt;0,AK43*Early,AK43*Late))+ABS(IF(AL43&lt;0,AL43*Early,AL43*Late))+ABS(IF(AM43&lt;0,AM43*Early,AM43*Late)))/3</f>
        <v>3</v>
      </c>
      <c r="AQ43" s="0" t="n">
        <f aca="false">Y43*Delay+AN43</f>
        <v>2.5</v>
      </c>
      <c r="AR43" s="0" t="n">
        <f aca="false">Z43*Delay+AO43</f>
        <v>2.5</v>
      </c>
      <c r="AS43" s="0" t="n">
        <f aca="false">AA43*Delay+AP43</f>
        <v>3</v>
      </c>
      <c r="AT43" s="0" t="n">
        <f aca="false">IF(AS43=MIN(AS42:AS45),1,0)</f>
        <v>1</v>
      </c>
      <c r="AX43" s="0" t="str">
        <f aca="false">B43&amp;C43&amp;D43</f>
        <v>OOE</v>
      </c>
      <c r="AY43" s="1" t="n">
        <f aca="false">AQ43+AR43+AS43</f>
        <v>8</v>
      </c>
      <c r="AZ43" s="1" t="str">
        <f aca="false">RIGHT(AX43,2)</f>
        <v>OE</v>
      </c>
      <c r="BA43" s="1" t="str">
        <f aca="false">LEFT(AX43,1)&amp;RIGHT(AX43,1)</f>
        <v>OE</v>
      </c>
      <c r="BB43" s="1" t="str">
        <f aca="false">LEFT(AX43,2)</f>
        <v>OO</v>
      </c>
      <c r="BC43" s="1" t="n">
        <f aca="false">VLOOKUP(AZ43,TwoPlayers!$AG$1:$AH$17,2,FALSE())</f>
        <v>3</v>
      </c>
      <c r="BD43" s="1" t="n">
        <f aca="false">VLOOKUP(BA43,TwoPlayers!$AG$1:$AH$17,2,FALSE())</f>
        <v>3</v>
      </c>
      <c r="BE43" s="1" t="n">
        <f aca="false">VLOOKUP(BB43,TwoPlayers!$AG$1:$AH$17,2,FALSE())</f>
        <v>5</v>
      </c>
      <c r="BF43" s="1" t="n">
        <f aca="false">$AY43-BC43</f>
        <v>5</v>
      </c>
      <c r="BG43" s="1" t="n">
        <f aca="false">$AY43-BD43</f>
        <v>5</v>
      </c>
      <c r="BH43" s="1" t="n">
        <f aca="false">$AY43-BE43</f>
        <v>3</v>
      </c>
      <c r="BJ43" s="0" t="n">
        <f aca="false">AQ43+BF43</f>
        <v>7.5</v>
      </c>
      <c r="BK43" s="0" t="n">
        <f aca="false">AR43+BG43</f>
        <v>7.5</v>
      </c>
      <c r="BL43" s="0" t="n">
        <f aca="false">AS43+BH43</f>
        <v>6</v>
      </c>
      <c r="BM43" s="0" t="n">
        <f aca="false">IF(BL43=MIN(BL42:BL46),1,0)</f>
        <v>1</v>
      </c>
    </row>
    <row r="44" customFormat="false" ht="13" hidden="false" customHeight="false" outlineLevel="0" collapsed="false">
      <c r="A44" s="0" t="n">
        <v>43</v>
      </c>
      <c r="B44" s="0" t="s">
        <v>3</v>
      </c>
      <c r="C44" s="0" t="s">
        <v>3</v>
      </c>
      <c r="D44" s="0" t="s">
        <v>3</v>
      </c>
      <c r="E44" s="0" t="n">
        <f aca="false">(IF($B44="V",1,0))+IF($C44="V",1,0)+IF($D44="V",1,0)</f>
        <v>0</v>
      </c>
      <c r="F44" s="0" t="n">
        <f aca="false">(IF($B44="E",1,0))+IF($C44="E",1,0)+IF($D44="E",1,0)</f>
        <v>0</v>
      </c>
      <c r="G44" s="0" t="n">
        <f aca="false">(IF($B44="O",1,0))+IF($C44="O",1,0)+IF($D44="O",1,0)</f>
        <v>3</v>
      </c>
      <c r="H44" s="0" t="n">
        <f aca="false">(IF($B44="L",1,0))+IF($C44="L",1,0)+IF($D44="L",1,0)</f>
        <v>0</v>
      </c>
      <c r="I44" s="0" t="n">
        <f aca="false">(IF(B44="V",1,0))</f>
        <v>0</v>
      </c>
      <c r="J44" s="0" t="n">
        <f aca="false">(IF(B44="E",1,0))</f>
        <v>0</v>
      </c>
      <c r="K44" s="0" t="n">
        <f aca="false">(IF(B44="O",1,0))</f>
        <v>1</v>
      </c>
      <c r="L44" s="0" t="n">
        <f aca="false">(IF(B44="L",1,0))</f>
        <v>0</v>
      </c>
      <c r="M44" s="0" t="n">
        <f aca="false">(IF(C44="V",1,0))</f>
        <v>0</v>
      </c>
      <c r="N44" s="0" t="n">
        <f aca="false">(IF(C44="E",1,0))</f>
        <v>0</v>
      </c>
      <c r="O44" s="0" t="n">
        <f aca="false">(IF(C44="O",1,0))</f>
        <v>1</v>
      </c>
      <c r="P44" s="0" t="n">
        <f aca="false">(IF(C44="L",1,0))</f>
        <v>0</v>
      </c>
      <c r="Q44" s="0" t="n">
        <f aca="false">(IF(D44="V",1,0))</f>
        <v>0</v>
      </c>
      <c r="R44" s="0" t="n">
        <f aca="false">(IF(D44="E",1,0))</f>
        <v>0</v>
      </c>
      <c r="S44" s="0" t="n">
        <f aca="false">(IF(D44="O",1,0))</f>
        <v>1</v>
      </c>
      <c r="T44" s="0" t="n">
        <f aca="false">(IF(D44="L",1,0))</f>
        <v>0</v>
      </c>
      <c r="U44" s="0" t="n">
        <f aca="false">MAX(E44-1,0)</f>
        <v>0</v>
      </c>
      <c r="V44" s="0" t="n">
        <f aca="false">MAX(U44-1+F44,0)</f>
        <v>0</v>
      </c>
      <c r="W44" s="0" t="n">
        <f aca="false">MAX(V44-1+G44,0)</f>
        <v>2</v>
      </c>
      <c r="X44" s="0" t="n">
        <f aca="false">MAX(W44-1+H44,0)</f>
        <v>1</v>
      </c>
      <c r="Y44" s="1" t="n">
        <f aca="false">0.5*(E44*I44+F44*J44+G44*K44+H44*L44-1)+(0+$U44*J44+$V44*K44+$W44*L44)</f>
        <v>1</v>
      </c>
      <c r="Z44" s="1" t="n">
        <f aca="false">0.5*(E44*M44+F44*N44+G44*O44+H44*P44-1)+(0+$U44*N44+$V44*O44+$W44*P44)</f>
        <v>1</v>
      </c>
      <c r="AA44" s="1" t="n">
        <f aca="false">0.5*(E44*Q44+F44*R44+G44*S44+H44*T44-1)+(0+$U44*R44+$V44*S44+$W44*T44)</f>
        <v>1</v>
      </c>
      <c r="AB44" s="0" t="n">
        <f aca="false">IF(B44="V",-2,0)+IF(B44="E",-1,0)+IF(B44="O",0,0)+IF(B44="L",1,0)+Y44</f>
        <v>1</v>
      </c>
      <c r="AC44" s="0" t="n">
        <f aca="false">IF(C44="V",-2,0)+IF(C44="E",-1,0)+IF(C44="O",0,0)+IF(C44="L",1,0)+Z44</f>
        <v>1</v>
      </c>
      <c r="AD44" s="0" t="n">
        <f aca="false">IF(D44="V",-2,0)+IF(D44="E",-1,0)+IF(D44="O",0,0)+IF(D44="L",1,0)+AA44</f>
        <v>1</v>
      </c>
      <c r="AE44" s="1" t="n">
        <f aca="false">IF(B44="V",-2,0)+IF(B44="E",-1,0)+IF(B44="O",0,0)+IF(B44="L",1,0)</f>
        <v>0</v>
      </c>
      <c r="AF44" s="1" t="n">
        <f aca="false">IF(B44="V",-2,0)+IF(B44="E",-1,0)+IF(B44="O",0,0)+IF(B44="L",1,0)+Y44</f>
        <v>1</v>
      </c>
      <c r="AG44" s="1" t="n">
        <f aca="false">IF(B44="V",-2,0)+IF(B44="E",-1,0)+IF(B44="O",0,0)+IF(B44="L",1,0)+Y44*2</f>
        <v>2</v>
      </c>
      <c r="AH44" s="1" t="n">
        <f aca="false">IF(C44="V",-2,0)+IF(C44="E",-1,0)+IF(C44="O",0,0)+IF(C44="L",1,0)</f>
        <v>0</v>
      </c>
      <c r="AI44" s="1" t="n">
        <f aca="false">IF(C44="V",-2,0)+IF(C44="E",-1,0)+IF(C44="O",0,0)+IF(C44="L",1,0)+Z44</f>
        <v>1</v>
      </c>
      <c r="AJ44" s="1" t="n">
        <f aca="false">IF(C44="V",-2,0)+IF(C44="E",-1,0)+IF(C44="O",0,0)+IF(C44="L",1,0)+Z44*2</f>
        <v>2</v>
      </c>
      <c r="AK44" s="1" t="n">
        <f aca="false">IF(D44="V",-2,0)+IF(D44="E",-1,0)+IF(D44="O",0,0)+IF(D44="L",1,0)</f>
        <v>0</v>
      </c>
      <c r="AL44" s="1" t="n">
        <f aca="false">IF(D44="V",-2,0)+IF(D44="E",-1,0)+IF(D44="O",0,0)+IF(D44="L",1,0)+AA44</f>
        <v>1</v>
      </c>
      <c r="AM44" s="1" t="n">
        <f aca="false">IF(D44="V",-2,0)+IF(D44="E",-1,0)+IF(D44="O",0,0)+IF(D44="L",1,0)+AA44*2</f>
        <v>2</v>
      </c>
      <c r="AN44" s="1" t="n">
        <f aca="false">(ABS(IF(AE44&lt;0,AE44*Early,AE44*Late))+ABS(IF(AF44&lt;0,AF44*Early,AF44*Late))+ABS(IF(AG44&lt;0,AG44*Early,AG44*Late)))/3</f>
        <v>4</v>
      </c>
      <c r="AO44" s="1" t="n">
        <f aca="false">(ABS(IF(AH44&lt;0,AH44*Early,AH44*Late))+ABS(IF(AI44&lt;0,AI44*Early,AI44*Late))+ABS(IF(AJ44&lt;0,AJ44*Early,AJ44*Late)))/3</f>
        <v>4</v>
      </c>
      <c r="AP44" s="1" t="n">
        <f aca="false">(ABS(IF(AK44&lt;0,AK44*Early,AK44*Late))+ABS(IF(AL44&lt;0,AL44*Early,AL44*Late))+ABS(IF(AM44&lt;0,AM44*Early,AM44*Late)))/3</f>
        <v>4</v>
      </c>
      <c r="AQ44" s="0" t="n">
        <f aca="false">Y44*Delay+AN44</f>
        <v>5</v>
      </c>
      <c r="AR44" s="0" t="n">
        <f aca="false">Z44*Delay+AO44</f>
        <v>5</v>
      </c>
      <c r="AS44" s="0" t="n">
        <f aca="false">AA44*Delay+AP44</f>
        <v>5</v>
      </c>
      <c r="AT44" s="0" t="n">
        <f aca="false">IF(AS44=MIN(AS42:AS45),1,0)</f>
        <v>0</v>
      </c>
      <c r="AX44" s="1" t="str">
        <f aca="false">B44&amp;C44&amp;D44</f>
        <v>OOO</v>
      </c>
      <c r="AY44" s="1" t="n">
        <f aca="false">AQ44+AR44+AS44</f>
        <v>15</v>
      </c>
      <c r="AZ44" s="1" t="str">
        <f aca="false">RIGHT(AX44,2)</f>
        <v>OO</v>
      </c>
      <c r="BA44" s="1" t="str">
        <f aca="false">LEFT(AX44,1)&amp;RIGHT(AX44,1)</f>
        <v>OO</v>
      </c>
      <c r="BB44" s="1" t="str">
        <f aca="false">LEFT(AX44,2)</f>
        <v>OO</v>
      </c>
      <c r="BC44" s="1" t="n">
        <f aca="false">VLOOKUP(AZ44,TwoPlayers!$AG$1:$AH$17,2,FALSE())</f>
        <v>5</v>
      </c>
      <c r="BD44" s="1" t="n">
        <f aca="false">VLOOKUP(BA44,TwoPlayers!$AG$1:$AH$17,2,FALSE())</f>
        <v>5</v>
      </c>
      <c r="BE44" s="1" t="n">
        <f aca="false">VLOOKUP(BB44,TwoPlayers!$AG$1:$AH$17,2,FALSE())</f>
        <v>5</v>
      </c>
      <c r="BF44" s="1" t="n">
        <f aca="false">$AY44-BC44</f>
        <v>10</v>
      </c>
      <c r="BG44" s="1" t="n">
        <f aca="false">$AY44-BD44</f>
        <v>10</v>
      </c>
      <c r="BH44" s="1" t="n">
        <f aca="false">$AY44-BE44</f>
        <v>10</v>
      </c>
      <c r="BJ44" s="0" t="n">
        <f aca="false">AQ44+BF44</f>
        <v>15</v>
      </c>
      <c r="BK44" s="0" t="n">
        <f aca="false">AR44+BG44</f>
        <v>15</v>
      </c>
      <c r="BL44" s="0" t="n">
        <f aca="false">AS44+BH44</f>
        <v>15</v>
      </c>
      <c r="BM44" s="0" t="n">
        <f aca="false">IF(BL44=MIN(BL42:BL46),1,0)</f>
        <v>0</v>
      </c>
    </row>
    <row r="45" customFormat="false" ht="13" hidden="false" customHeight="false" outlineLevel="0" collapsed="false">
      <c r="A45" s="0" t="n">
        <v>44</v>
      </c>
      <c r="B45" s="0" t="s">
        <v>3</v>
      </c>
      <c r="C45" s="0" t="s">
        <v>3</v>
      </c>
      <c r="D45" s="0" t="s">
        <v>4</v>
      </c>
      <c r="E45" s="0" t="n">
        <f aca="false">(IF($B45="V",1,0))+IF($C45="V",1,0)+IF($D45="V",1,0)</f>
        <v>0</v>
      </c>
      <c r="F45" s="0" t="n">
        <f aca="false">(IF($B45="E",1,0))+IF($C45="E",1,0)+IF($D45="E",1,0)</f>
        <v>0</v>
      </c>
      <c r="G45" s="0" t="n">
        <f aca="false">(IF($B45="O",1,0))+IF($C45="O",1,0)+IF($D45="O",1,0)</f>
        <v>2</v>
      </c>
      <c r="H45" s="0" t="n">
        <f aca="false">(IF($B45="L",1,0))+IF($C45="L",1,0)+IF($D45="L",1,0)</f>
        <v>1</v>
      </c>
      <c r="I45" s="0" t="n">
        <f aca="false">(IF(B45="V",1,0))</f>
        <v>0</v>
      </c>
      <c r="J45" s="0" t="n">
        <f aca="false">(IF(B45="E",1,0))</f>
        <v>0</v>
      </c>
      <c r="K45" s="0" t="n">
        <f aca="false">(IF(B45="O",1,0))</f>
        <v>1</v>
      </c>
      <c r="L45" s="0" t="n">
        <f aca="false">(IF(B45="L",1,0))</f>
        <v>0</v>
      </c>
      <c r="M45" s="0" t="n">
        <f aca="false">(IF(C45="V",1,0))</f>
        <v>0</v>
      </c>
      <c r="N45" s="0" t="n">
        <f aca="false">(IF(C45="E",1,0))</f>
        <v>0</v>
      </c>
      <c r="O45" s="0" t="n">
        <f aca="false">(IF(C45="O",1,0))</f>
        <v>1</v>
      </c>
      <c r="P45" s="0" t="n">
        <f aca="false">(IF(C45="L",1,0))</f>
        <v>0</v>
      </c>
      <c r="Q45" s="0" t="n">
        <f aca="false">(IF(D45="V",1,0))</f>
        <v>0</v>
      </c>
      <c r="R45" s="0" t="n">
        <f aca="false">(IF(D45="E",1,0))</f>
        <v>0</v>
      </c>
      <c r="S45" s="0" t="n">
        <f aca="false">(IF(D45="O",1,0))</f>
        <v>0</v>
      </c>
      <c r="T45" s="0" t="n">
        <f aca="false">(IF(D45="L",1,0))</f>
        <v>1</v>
      </c>
      <c r="U45" s="0" t="n">
        <f aca="false">MAX(E45-1,0)</f>
        <v>0</v>
      </c>
      <c r="V45" s="0" t="n">
        <f aca="false">MAX(U45-1+F45,0)</f>
        <v>0</v>
      </c>
      <c r="W45" s="0" t="n">
        <f aca="false">MAX(V45-1+G45,0)</f>
        <v>1</v>
      </c>
      <c r="X45" s="0" t="n">
        <f aca="false">MAX(W45-1+H45,0)</f>
        <v>1</v>
      </c>
      <c r="Y45" s="1" t="n">
        <f aca="false">0.5*(E45*I45+F45*J45+G45*K45+H45*L45-1)+(0+$U45*J45+$V45*K45+$W45*L45)</f>
        <v>0.5</v>
      </c>
      <c r="Z45" s="1" t="n">
        <f aca="false">0.5*(E45*M45+F45*N45+G45*O45+H45*P45-1)+(0+$U45*N45+$V45*O45+$W45*P45)</f>
        <v>0.5</v>
      </c>
      <c r="AA45" s="1" t="n">
        <f aca="false">0.5*(E45*Q45+F45*R45+G45*S45+H45*T45-1)+(0+$U45*R45+$V45*S45+$W45*T45)</f>
        <v>1</v>
      </c>
      <c r="AB45" s="0" t="n">
        <f aca="false">IF(B45="V",-2,0)+IF(B45="E",-1,0)+IF(B45="O",0,0)+IF(B45="L",1,0)+Y45</f>
        <v>0.5</v>
      </c>
      <c r="AC45" s="0" t="n">
        <f aca="false">IF(C45="V",-2,0)+IF(C45="E",-1,0)+IF(C45="O",0,0)+IF(C45="L",1,0)+Z45</f>
        <v>0.5</v>
      </c>
      <c r="AD45" s="0" t="n">
        <f aca="false">IF(D45="V",-2,0)+IF(D45="E",-1,0)+IF(D45="O",0,0)+IF(D45="L",1,0)+AA45</f>
        <v>2</v>
      </c>
      <c r="AE45" s="1" t="n">
        <f aca="false">IF(B45="V",-2,0)+IF(B45="E",-1,0)+IF(B45="O",0,0)+IF(B45="L",1,0)</f>
        <v>0</v>
      </c>
      <c r="AF45" s="1" t="n">
        <f aca="false">IF(B45="V",-2,0)+IF(B45="E",-1,0)+IF(B45="O",0,0)+IF(B45="L",1,0)+Y45</f>
        <v>0.5</v>
      </c>
      <c r="AG45" s="1" t="n">
        <f aca="false">IF(B45="V",-2,0)+IF(B45="E",-1,0)+IF(B45="O",0,0)+IF(B45="L",1,0)+Y45*2</f>
        <v>1</v>
      </c>
      <c r="AH45" s="1" t="n">
        <f aca="false">IF(C45="V",-2,0)+IF(C45="E",-1,0)+IF(C45="O",0,0)+IF(C45="L",1,0)</f>
        <v>0</v>
      </c>
      <c r="AI45" s="1" t="n">
        <f aca="false">IF(C45="V",-2,0)+IF(C45="E",-1,0)+IF(C45="O",0,0)+IF(C45="L",1,0)+Z45</f>
        <v>0.5</v>
      </c>
      <c r="AJ45" s="1" t="n">
        <f aca="false">IF(C45="V",-2,0)+IF(C45="E",-1,0)+IF(C45="O",0,0)+IF(C45="L",1,0)+Z45*2</f>
        <v>1</v>
      </c>
      <c r="AK45" s="1" t="n">
        <f aca="false">IF(D45="V",-2,0)+IF(D45="E",-1,0)+IF(D45="O",0,0)+IF(D45="L",1,0)</f>
        <v>1</v>
      </c>
      <c r="AL45" s="1" t="n">
        <f aca="false">IF(D45="V",-2,0)+IF(D45="E",-1,0)+IF(D45="O",0,0)+IF(D45="L",1,0)+AA45</f>
        <v>2</v>
      </c>
      <c r="AM45" s="1" t="n">
        <f aca="false">IF(D45="V",-2,0)+IF(D45="E",-1,0)+IF(D45="O",0,0)+IF(D45="L",1,0)+AA45*2</f>
        <v>3</v>
      </c>
      <c r="AN45" s="1" t="n">
        <f aca="false">(ABS(IF(AE45&lt;0,AE45*Early,AE45*Late))+ABS(IF(AF45&lt;0,AF45*Early,AF45*Late))+ABS(IF(AG45&lt;0,AG45*Early,AG45*Late)))/3</f>
        <v>2</v>
      </c>
      <c r="AO45" s="1" t="n">
        <f aca="false">(ABS(IF(AH45&lt;0,AH45*Early,AH45*Late))+ABS(IF(AI45&lt;0,AI45*Early,AI45*Late))+ABS(IF(AJ45&lt;0,AJ45*Early,AJ45*Late)))/3</f>
        <v>2</v>
      </c>
      <c r="AP45" s="1" t="n">
        <f aca="false">(ABS(IF(AK45&lt;0,AK45*Early,AK45*Late))+ABS(IF(AL45&lt;0,AL45*Early,AL45*Late))+ABS(IF(AM45&lt;0,AM45*Early,AM45*Late)))/3</f>
        <v>8</v>
      </c>
      <c r="AQ45" s="0" t="n">
        <f aca="false">Y45*Delay+AN45</f>
        <v>2.5</v>
      </c>
      <c r="AR45" s="0" t="n">
        <f aca="false">Z45*Delay+AO45</f>
        <v>2.5</v>
      </c>
      <c r="AS45" s="0" t="n">
        <f aca="false">AA45*Delay+AP45</f>
        <v>9</v>
      </c>
      <c r="AT45" s="0" t="n">
        <f aca="false">IF(AS45=MIN(AS42:AS45),1,0)</f>
        <v>0</v>
      </c>
      <c r="AX45" s="0" t="str">
        <f aca="false">B45&amp;C45&amp;D45</f>
        <v>OOL</v>
      </c>
      <c r="AY45" s="1" t="n">
        <f aca="false">AQ45+AR45+AS45</f>
        <v>14</v>
      </c>
      <c r="AZ45" s="1" t="str">
        <f aca="false">RIGHT(AX45,2)</f>
        <v>OL</v>
      </c>
      <c r="BA45" s="1" t="str">
        <f aca="false">LEFT(AX45,1)&amp;RIGHT(AX45,1)</f>
        <v>OL</v>
      </c>
      <c r="BB45" s="1" t="str">
        <f aca="false">LEFT(AX45,2)</f>
        <v>OO</v>
      </c>
      <c r="BC45" s="1" t="n">
        <f aca="false">VLOOKUP(AZ45,TwoPlayers!$AG$1:$AH$17,2,FALSE())</f>
        <v>4</v>
      </c>
      <c r="BD45" s="1" t="n">
        <f aca="false">VLOOKUP(BA45,TwoPlayers!$AG$1:$AH$17,2,FALSE())</f>
        <v>4</v>
      </c>
      <c r="BE45" s="1" t="n">
        <f aca="false">VLOOKUP(BB45,TwoPlayers!$AG$1:$AH$17,2,FALSE())</f>
        <v>5</v>
      </c>
      <c r="BF45" s="1" t="n">
        <f aca="false">$AY45-BC45</f>
        <v>10</v>
      </c>
      <c r="BG45" s="1" t="n">
        <f aca="false">$AY45-BD45</f>
        <v>10</v>
      </c>
      <c r="BH45" s="1" t="n">
        <f aca="false">$AY45-BE45</f>
        <v>9</v>
      </c>
      <c r="BJ45" s="0" t="n">
        <f aca="false">AQ45+BF45</f>
        <v>12.5</v>
      </c>
      <c r="BK45" s="0" t="n">
        <f aca="false">AR45+BG45</f>
        <v>12.5</v>
      </c>
      <c r="BL45" s="0" t="n">
        <f aca="false">AS45+BH45</f>
        <v>18</v>
      </c>
      <c r="BM45" s="0" t="n">
        <f aca="false">IF(BL45=MIN(BL42:BL46),1,0)</f>
        <v>0</v>
      </c>
    </row>
    <row r="46" customFormat="false" ht="13" hidden="false" customHeight="false" outlineLevel="0" collapsed="false">
      <c r="A46" s="0" t="n">
        <v>45</v>
      </c>
      <c r="B46" s="0" t="s">
        <v>3</v>
      </c>
      <c r="C46" s="0" t="s">
        <v>4</v>
      </c>
      <c r="D46" s="0" t="s">
        <v>1</v>
      </c>
      <c r="E46" s="0" t="n">
        <f aca="false">(IF($B46="V",1,0))+IF($C46="V",1,0)+IF($D46="V",1,0)</f>
        <v>1</v>
      </c>
      <c r="F46" s="0" t="n">
        <f aca="false">(IF($B46="E",1,0))+IF($C46="E",1,0)+IF($D46="E",1,0)</f>
        <v>0</v>
      </c>
      <c r="G46" s="0" t="n">
        <f aca="false">(IF($B46="O",1,0))+IF($C46="O",1,0)+IF($D46="O",1,0)</f>
        <v>1</v>
      </c>
      <c r="H46" s="0" t="n">
        <f aca="false">(IF($B46="L",1,0))+IF($C46="L",1,0)+IF($D46="L",1,0)</f>
        <v>1</v>
      </c>
      <c r="I46" s="0" t="n">
        <f aca="false">(IF(B46="V",1,0))</f>
        <v>0</v>
      </c>
      <c r="J46" s="0" t="n">
        <f aca="false">(IF(B46="E",1,0))</f>
        <v>0</v>
      </c>
      <c r="K46" s="0" t="n">
        <f aca="false">(IF(B46="O",1,0))</f>
        <v>1</v>
      </c>
      <c r="L46" s="0" t="n">
        <f aca="false">(IF(B46="L",1,0))</f>
        <v>0</v>
      </c>
      <c r="M46" s="0" t="n">
        <f aca="false">(IF(C46="V",1,0))</f>
        <v>0</v>
      </c>
      <c r="N46" s="0" t="n">
        <f aca="false">(IF(C46="E",1,0))</f>
        <v>0</v>
      </c>
      <c r="O46" s="0" t="n">
        <f aca="false">(IF(C46="O",1,0))</f>
        <v>0</v>
      </c>
      <c r="P46" s="0" t="n">
        <f aca="false">(IF(C46="L",1,0))</f>
        <v>1</v>
      </c>
      <c r="Q46" s="0" t="n">
        <f aca="false">(IF(D46="V",1,0))</f>
        <v>1</v>
      </c>
      <c r="R46" s="0" t="n">
        <f aca="false">(IF(D46="E",1,0))</f>
        <v>0</v>
      </c>
      <c r="S46" s="0" t="n">
        <f aca="false">(IF(D46="O",1,0))</f>
        <v>0</v>
      </c>
      <c r="T46" s="0" t="n">
        <f aca="false">(IF(D46="L",1,0))</f>
        <v>0</v>
      </c>
      <c r="U46" s="0" t="n">
        <f aca="false">MAX(E46-1,0)</f>
        <v>0</v>
      </c>
      <c r="V46" s="0" t="n">
        <f aca="false">MAX(U46-1+F46,0)</f>
        <v>0</v>
      </c>
      <c r="W46" s="0" t="n">
        <f aca="false">MAX(V46-1+G46,0)</f>
        <v>0</v>
      </c>
      <c r="X46" s="0" t="n">
        <f aca="false">MAX(W46-1+H46,0)</f>
        <v>0</v>
      </c>
      <c r="Y46" s="1" t="n">
        <f aca="false">0.5*(E46*I46+F46*J46+G46*K46+H46*L46-1)+(0+$U46*J46+$V46*K46+$W46*L46)</f>
        <v>0</v>
      </c>
      <c r="Z46" s="1" t="n">
        <f aca="false">0.5*(E46*M46+F46*N46+G46*O46+H46*P46-1)+(0+$U46*N46+$V46*O46+$W46*P46)</f>
        <v>0</v>
      </c>
      <c r="AA46" s="1" t="n">
        <f aca="false">0.5*(E46*Q46+F46*R46+G46*S46+H46*T46-1)+(0+$U46*R46+$V46*S46+$W46*T46)</f>
        <v>0</v>
      </c>
      <c r="AB46" s="0" t="n">
        <f aca="false">IF(B46="V",-2,0)+IF(B46="E",-1,0)+IF(B46="O",0,0)+IF(B46="L",1,0)+Y46</f>
        <v>0</v>
      </c>
      <c r="AC46" s="0" t="n">
        <f aca="false">IF(C46="V",-2,0)+IF(C46="E",-1,0)+IF(C46="O",0,0)+IF(C46="L",1,0)+Z46</f>
        <v>1</v>
      </c>
      <c r="AD46" s="0" t="n">
        <f aca="false">IF(D46="V",-2,0)+IF(D46="E",-1,0)+IF(D46="O",0,0)+IF(D46="L",1,0)+AA46</f>
        <v>-2</v>
      </c>
      <c r="AE46" s="1" t="n">
        <f aca="false">IF(B46="V",-2,0)+IF(B46="E",-1,0)+IF(B46="O",0,0)+IF(B46="L",1,0)</f>
        <v>0</v>
      </c>
      <c r="AF46" s="1" t="n">
        <f aca="false">IF(B46="V",-2,0)+IF(B46="E",-1,0)+IF(B46="O",0,0)+IF(B46="L",1,0)+Y46</f>
        <v>0</v>
      </c>
      <c r="AG46" s="1" t="n">
        <f aca="false">IF(B46="V",-2,0)+IF(B46="E",-1,0)+IF(B46="O",0,0)+IF(B46="L",1,0)+Y46*2</f>
        <v>0</v>
      </c>
      <c r="AH46" s="1" t="n">
        <f aca="false">IF(C46="V",-2,0)+IF(C46="E",-1,0)+IF(C46="O",0,0)+IF(C46="L",1,0)</f>
        <v>1</v>
      </c>
      <c r="AI46" s="1" t="n">
        <f aca="false">IF(C46="V",-2,0)+IF(C46="E",-1,0)+IF(C46="O",0,0)+IF(C46="L",1,0)+Z46</f>
        <v>1</v>
      </c>
      <c r="AJ46" s="1" t="n">
        <f aca="false">IF(C46="V",-2,0)+IF(C46="E",-1,0)+IF(C46="O",0,0)+IF(C46="L",1,0)+Z46*2</f>
        <v>1</v>
      </c>
      <c r="AK46" s="1" t="n">
        <f aca="false">IF(D46="V",-2,0)+IF(D46="E",-1,0)+IF(D46="O",0,0)+IF(D46="L",1,0)</f>
        <v>-2</v>
      </c>
      <c r="AL46" s="1" t="n">
        <f aca="false">IF(D46="V",-2,0)+IF(D46="E",-1,0)+IF(D46="O",0,0)+IF(D46="L",1,0)+AA46</f>
        <v>-2</v>
      </c>
      <c r="AM46" s="1" t="n">
        <f aca="false">IF(D46="V",-2,0)+IF(D46="E",-1,0)+IF(D46="O",0,0)+IF(D46="L",1,0)+AA46*2</f>
        <v>-2</v>
      </c>
      <c r="AN46" s="1" t="n">
        <f aca="false">(ABS(IF(AE46&lt;0,AE46*Early,AE46*Late))+ABS(IF(AF46&lt;0,AF46*Early,AF46*Late))+ABS(IF(AG46&lt;0,AG46*Early,AG46*Late)))/3</f>
        <v>0</v>
      </c>
      <c r="AO46" s="1" t="n">
        <f aca="false">(ABS(IF(AH46&lt;0,AH46*Early,AH46*Late))+ABS(IF(AI46&lt;0,AI46*Early,AI46*Late))+ABS(IF(AJ46&lt;0,AJ46*Early,AJ46*Late)))/3</f>
        <v>4</v>
      </c>
      <c r="AP46" s="1" t="n">
        <f aca="false">(ABS(IF(AK46&lt;0,AK46*Early,AK46*Late))+ABS(IF(AL46&lt;0,AL46*Early,AL46*Late))+ABS(IF(AM46&lt;0,AM46*Early,AM46*Late)))/3</f>
        <v>6</v>
      </c>
      <c r="AQ46" s="0" t="n">
        <f aca="false">Y46*Delay+AN46</f>
        <v>0</v>
      </c>
      <c r="AR46" s="0" t="n">
        <f aca="false">Z46*Delay+AO46</f>
        <v>4</v>
      </c>
      <c r="AS46" s="0" t="n">
        <f aca="false">AA46*Delay+AP46</f>
        <v>6</v>
      </c>
      <c r="AT46" s="0" t="n">
        <f aca="false">IF(AS46=MIN(AS46:AS49),1,0)</f>
        <v>0</v>
      </c>
      <c r="AX46" s="0" t="str">
        <f aca="false">B46&amp;C46&amp;D46</f>
        <v>OLV</v>
      </c>
      <c r="AY46" s="1" t="n">
        <f aca="false">AQ46+AR46+AS46</f>
        <v>10</v>
      </c>
      <c r="AZ46" s="1" t="str">
        <f aca="false">RIGHT(AX46,2)</f>
        <v>LV</v>
      </c>
      <c r="BA46" s="1" t="str">
        <f aca="false">LEFT(AX46,1)&amp;RIGHT(AX46,1)</f>
        <v>OV</v>
      </c>
      <c r="BB46" s="1" t="str">
        <f aca="false">LEFT(AX46,2)</f>
        <v>OL</v>
      </c>
      <c r="BC46" s="1" t="n">
        <f aca="false">VLOOKUP(AZ46,TwoPlayers!$AG$1:$AH$17,2,FALSE())</f>
        <v>10</v>
      </c>
      <c r="BD46" s="1" t="n">
        <f aca="false">VLOOKUP(BA46,TwoPlayers!$AG$1:$AH$17,2,FALSE())</f>
        <v>6</v>
      </c>
      <c r="BE46" s="1" t="n">
        <f aca="false">VLOOKUP(BB46,TwoPlayers!$AG$1:$AH$17,2,FALSE())</f>
        <v>4</v>
      </c>
      <c r="BF46" s="1" t="n">
        <f aca="false">$AY46-BC46</f>
        <v>0</v>
      </c>
      <c r="BG46" s="1" t="n">
        <f aca="false">$AY46-BD46</f>
        <v>4</v>
      </c>
      <c r="BH46" s="1" t="n">
        <f aca="false">$AY46-BE46</f>
        <v>6</v>
      </c>
      <c r="BJ46" s="0" t="n">
        <f aca="false">AQ46+BF46</f>
        <v>0</v>
      </c>
      <c r="BK46" s="0" t="n">
        <f aca="false">AR46+BG46</f>
        <v>8</v>
      </c>
      <c r="BL46" s="0" t="n">
        <f aca="false">AS46+BH46</f>
        <v>12</v>
      </c>
      <c r="BM46" s="0" t="n">
        <f aca="false">IF(BL46=MIN(BL46:BL50),1,0)</f>
        <v>0</v>
      </c>
    </row>
    <row r="47" customFormat="false" ht="13" hidden="false" customHeight="false" outlineLevel="0" collapsed="false">
      <c r="A47" s="0" t="n">
        <v>46</v>
      </c>
      <c r="B47" s="0" t="s">
        <v>3</v>
      </c>
      <c r="C47" s="0" t="s">
        <v>4</v>
      </c>
      <c r="D47" s="0" t="s">
        <v>2</v>
      </c>
      <c r="E47" s="0" t="n">
        <f aca="false">(IF($B47="V",1,0))+IF($C47="V",1,0)+IF($D47="V",1,0)</f>
        <v>0</v>
      </c>
      <c r="F47" s="0" t="n">
        <f aca="false">(IF($B47="E",1,0))+IF($C47="E",1,0)+IF($D47="E",1,0)</f>
        <v>1</v>
      </c>
      <c r="G47" s="0" t="n">
        <f aca="false">(IF($B47="O",1,0))+IF($C47="O",1,0)+IF($D47="O",1,0)</f>
        <v>1</v>
      </c>
      <c r="H47" s="0" t="n">
        <f aca="false">(IF($B47="L",1,0))+IF($C47="L",1,0)+IF($D47="L",1,0)</f>
        <v>1</v>
      </c>
      <c r="I47" s="0" t="n">
        <f aca="false">(IF(B47="V",1,0))</f>
        <v>0</v>
      </c>
      <c r="J47" s="0" t="n">
        <f aca="false">(IF(B47="E",1,0))</f>
        <v>0</v>
      </c>
      <c r="K47" s="0" t="n">
        <f aca="false">(IF(B47="O",1,0))</f>
        <v>1</v>
      </c>
      <c r="L47" s="0" t="n">
        <f aca="false">(IF(B47="L",1,0))</f>
        <v>0</v>
      </c>
      <c r="M47" s="0" t="n">
        <f aca="false">(IF(C47="V",1,0))</f>
        <v>0</v>
      </c>
      <c r="N47" s="0" t="n">
        <f aca="false">(IF(C47="E",1,0))</f>
        <v>0</v>
      </c>
      <c r="O47" s="0" t="n">
        <f aca="false">(IF(C47="O",1,0))</f>
        <v>0</v>
      </c>
      <c r="P47" s="0" t="n">
        <f aca="false">(IF(C47="L",1,0))</f>
        <v>1</v>
      </c>
      <c r="Q47" s="0" t="n">
        <f aca="false">(IF(D47="V",1,0))</f>
        <v>0</v>
      </c>
      <c r="R47" s="0" t="n">
        <f aca="false">(IF(D47="E",1,0))</f>
        <v>1</v>
      </c>
      <c r="S47" s="0" t="n">
        <f aca="false">(IF(D47="O",1,0))</f>
        <v>0</v>
      </c>
      <c r="T47" s="0" t="n">
        <f aca="false">(IF(D47="L",1,0))</f>
        <v>0</v>
      </c>
      <c r="U47" s="0" t="n">
        <f aca="false">MAX(E47-1,0)</f>
        <v>0</v>
      </c>
      <c r="V47" s="0" t="n">
        <f aca="false">MAX(U47-1+F47,0)</f>
        <v>0</v>
      </c>
      <c r="W47" s="0" t="n">
        <f aca="false">MAX(V47-1+G47,0)</f>
        <v>0</v>
      </c>
      <c r="X47" s="0" t="n">
        <f aca="false">MAX(W47-1+H47,0)</f>
        <v>0</v>
      </c>
      <c r="Y47" s="1" t="n">
        <f aca="false">0.5*(E47*I47+F47*J47+G47*K47+H47*L47-1)+(0+$U47*J47+$V47*K47+$W47*L47)</f>
        <v>0</v>
      </c>
      <c r="Z47" s="1" t="n">
        <f aca="false">0.5*(E47*M47+F47*N47+G47*O47+H47*P47-1)+(0+$U47*N47+$V47*O47+$W47*P47)</f>
        <v>0</v>
      </c>
      <c r="AA47" s="1" t="n">
        <f aca="false">0.5*(E47*Q47+F47*R47+G47*S47+H47*T47-1)+(0+$U47*R47+$V47*S47+$W47*T47)</f>
        <v>0</v>
      </c>
      <c r="AB47" s="0" t="n">
        <f aca="false">IF(B47="V",-2,0)+IF(B47="E",-1,0)+IF(B47="O",0,0)+IF(B47="L",1,0)+Y47</f>
        <v>0</v>
      </c>
      <c r="AC47" s="0" t="n">
        <f aca="false">IF(C47="V",-2,0)+IF(C47="E",-1,0)+IF(C47="O",0,0)+IF(C47="L",1,0)+Z47</f>
        <v>1</v>
      </c>
      <c r="AD47" s="0" t="n">
        <f aca="false">IF(D47="V",-2,0)+IF(D47="E",-1,0)+IF(D47="O",0,0)+IF(D47="L",1,0)+AA47</f>
        <v>-1</v>
      </c>
      <c r="AE47" s="1" t="n">
        <f aca="false">IF(B47="V",-2,0)+IF(B47="E",-1,0)+IF(B47="O",0,0)+IF(B47="L",1,0)</f>
        <v>0</v>
      </c>
      <c r="AF47" s="1" t="n">
        <f aca="false">IF(B47="V",-2,0)+IF(B47="E",-1,0)+IF(B47="O",0,0)+IF(B47="L",1,0)+Y47</f>
        <v>0</v>
      </c>
      <c r="AG47" s="1" t="n">
        <f aca="false">IF(B47="V",-2,0)+IF(B47="E",-1,0)+IF(B47="O",0,0)+IF(B47="L",1,0)+Y47*2</f>
        <v>0</v>
      </c>
      <c r="AH47" s="1" t="n">
        <f aca="false">IF(C47="V",-2,0)+IF(C47="E",-1,0)+IF(C47="O",0,0)+IF(C47="L",1,0)</f>
        <v>1</v>
      </c>
      <c r="AI47" s="1" t="n">
        <f aca="false">IF(C47="V",-2,0)+IF(C47="E",-1,0)+IF(C47="O",0,0)+IF(C47="L",1,0)+Z47</f>
        <v>1</v>
      </c>
      <c r="AJ47" s="1" t="n">
        <f aca="false">IF(C47="V",-2,0)+IF(C47="E",-1,0)+IF(C47="O",0,0)+IF(C47="L",1,0)+Z47*2</f>
        <v>1</v>
      </c>
      <c r="AK47" s="1" t="n">
        <f aca="false">IF(D47="V",-2,0)+IF(D47="E",-1,0)+IF(D47="O",0,0)+IF(D47="L",1,0)</f>
        <v>-1</v>
      </c>
      <c r="AL47" s="1" t="n">
        <f aca="false">IF(D47="V",-2,0)+IF(D47="E",-1,0)+IF(D47="O",0,0)+IF(D47="L",1,0)+AA47</f>
        <v>-1</v>
      </c>
      <c r="AM47" s="1" t="n">
        <f aca="false">IF(D47="V",-2,0)+IF(D47="E",-1,0)+IF(D47="O",0,0)+IF(D47="L",1,0)+AA47*2</f>
        <v>-1</v>
      </c>
      <c r="AN47" s="1" t="n">
        <f aca="false">(ABS(IF(AE47&lt;0,AE47*Early,AE47*Late))+ABS(IF(AF47&lt;0,AF47*Early,AF47*Late))+ABS(IF(AG47&lt;0,AG47*Early,AG47*Late)))/3</f>
        <v>0</v>
      </c>
      <c r="AO47" s="1" t="n">
        <f aca="false">(ABS(IF(AH47&lt;0,AH47*Early,AH47*Late))+ABS(IF(AI47&lt;0,AI47*Early,AI47*Late))+ABS(IF(AJ47&lt;0,AJ47*Early,AJ47*Late)))/3</f>
        <v>4</v>
      </c>
      <c r="AP47" s="1" t="n">
        <f aca="false">(ABS(IF(AK47&lt;0,AK47*Early,AK47*Late))+ABS(IF(AL47&lt;0,AL47*Early,AL47*Late))+ABS(IF(AM47&lt;0,AM47*Early,AM47*Late)))/3</f>
        <v>3</v>
      </c>
      <c r="AQ47" s="0" t="n">
        <f aca="false">Y47*Delay+AN47</f>
        <v>0</v>
      </c>
      <c r="AR47" s="0" t="n">
        <f aca="false">Z47*Delay+AO47</f>
        <v>4</v>
      </c>
      <c r="AS47" s="0" t="n">
        <f aca="false">AA47*Delay+AP47</f>
        <v>3</v>
      </c>
      <c r="AT47" s="0" t="n">
        <f aca="false">IF(AS47=MIN(AS46:AS49),1,0)</f>
        <v>0</v>
      </c>
      <c r="AX47" s="0" t="str">
        <f aca="false">B47&amp;C47&amp;D47</f>
        <v>OLE</v>
      </c>
      <c r="AY47" s="1" t="n">
        <f aca="false">AQ47+AR47+AS47</f>
        <v>7</v>
      </c>
      <c r="AZ47" s="1" t="str">
        <f aca="false">RIGHT(AX47,2)</f>
        <v>LE</v>
      </c>
      <c r="BA47" s="1" t="str">
        <f aca="false">LEFT(AX47,1)&amp;RIGHT(AX47,1)</f>
        <v>OE</v>
      </c>
      <c r="BB47" s="1" t="str">
        <f aca="false">LEFT(AX47,2)</f>
        <v>OL</v>
      </c>
      <c r="BC47" s="1" t="n">
        <f aca="false">VLOOKUP(AZ47,TwoPlayers!$AG$1:$AH$17,2,FALSE())</f>
        <v>7</v>
      </c>
      <c r="BD47" s="1" t="n">
        <f aca="false">VLOOKUP(BA47,TwoPlayers!$AG$1:$AH$17,2,FALSE())</f>
        <v>3</v>
      </c>
      <c r="BE47" s="1" t="n">
        <f aca="false">VLOOKUP(BB47,TwoPlayers!$AG$1:$AH$17,2,FALSE())</f>
        <v>4</v>
      </c>
      <c r="BF47" s="1" t="n">
        <f aca="false">$AY47-BC47</f>
        <v>0</v>
      </c>
      <c r="BG47" s="1" t="n">
        <f aca="false">$AY47-BD47</f>
        <v>4</v>
      </c>
      <c r="BH47" s="1" t="n">
        <f aca="false">$AY47-BE47</f>
        <v>3</v>
      </c>
      <c r="BJ47" s="0" t="n">
        <f aca="false">AQ47+BF47</f>
        <v>0</v>
      </c>
      <c r="BK47" s="0" t="n">
        <f aca="false">AR47+BG47</f>
        <v>8</v>
      </c>
      <c r="BL47" s="0" t="n">
        <f aca="false">AS47+BH47</f>
        <v>6</v>
      </c>
      <c r="BM47" s="0" t="n">
        <f aca="false">IF(BL47=MIN(BL46:BL50),1,0)</f>
        <v>1</v>
      </c>
    </row>
    <row r="48" customFormat="false" ht="13" hidden="false" customHeight="false" outlineLevel="0" collapsed="false">
      <c r="A48" s="0" t="n">
        <v>47</v>
      </c>
      <c r="B48" s="0" t="s">
        <v>3</v>
      </c>
      <c r="C48" s="0" t="s">
        <v>4</v>
      </c>
      <c r="D48" s="0" t="s">
        <v>3</v>
      </c>
      <c r="E48" s="0" t="n">
        <f aca="false">(IF($B48="V",1,0))+IF($C48="V",1,0)+IF($D48="V",1,0)</f>
        <v>0</v>
      </c>
      <c r="F48" s="0" t="n">
        <f aca="false">(IF($B48="E",1,0))+IF($C48="E",1,0)+IF($D48="E",1,0)</f>
        <v>0</v>
      </c>
      <c r="G48" s="0" t="n">
        <f aca="false">(IF($B48="O",1,0))+IF($C48="O",1,0)+IF($D48="O",1,0)</f>
        <v>2</v>
      </c>
      <c r="H48" s="0" t="n">
        <f aca="false">(IF($B48="L",1,0))+IF($C48="L",1,0)+IF($D48="L",1,0)</f>
        <v>1</v>
      </c>
      <c r="I48" s="0" t="n">
        <f aca="false">(IF(B48="V",1,0))</f>
        <v>0</v>
      </c>
      <c r="J48" s="0" t="n">
        <f aca="false">(IF(B48="E",1,0))</f>
        <v>0</v>
      </c>
      <c r="K48" s="0" t="n">
        <f aca="false">(IF(B48="O",1,0))</f>
        <v>1</v>
      </c>
      <c r="L48" s="0" t="n">
        <f aca="false">(IF(B48="L",1,0))</f>
        <v>0</v>
      </c>
      <c r="M48" s="0" t="n">
        <f aca="false">(IF(C48="V",1,0))</f>
        <v>0</v>
      </c>
      <c r="N48" s="0" t="n">
        <f aca="false">(IF(C48="E",1,0))</f>
        <v>0</v>
      </c>
      <c r="O48" s="0" t="n">
        <f aca="false">(IF(C48="O",1,0))</f>
        <v>0</v>
      </c>
      <c r="P48" s="0" t="n">
        <f aca="false">(IF(C48="L",1,0))</f>
        <v>1</v>
      </c>
      <c r="Q48" s="0" t="n">
        <f aca="false">(IF(D48="V",1,0))</f>
        <v>0</v>
      </c>
      <c r="R48" s="0" t="n">
        <f aca="false">(IF(D48="E",1,0))</f>
        <v>0</v>
      </c>
      <c r="S48" s="0" t="n">
        <f aca="false">(IF(D48="O",1,0))</f>
        <v>1</v>
      </c>
      <c r="T48" s="0" t="n">
        <f aca="false">(IF(D48="L",1,0))</f>
        <v>0</v>
      </c>
      <c r="U48" s="0" t="n">
        <f aca="false">MAX(E48-1,0)</f>
        <v>0</v>
      </c>
      <c r="V48" s="0" t="n">
        <f aca="false">MAX(U48-1+F48,0)</f>
        <v>0</v>
      </c>
      <c r="W48" s="0" t="n">
        <f aca="false">MAX(V48-1+G48,0)</f>
        <v>1</v>
      </c>
      <c r="X48" s="0" t="n">
        <f aca="false">MAX(W48-1+H48,0)</f>
        <v>1</v>
      </c>
      <c r="Y48" s="1" t="n">
        <f aca="false">0.5*(E48*I48+F48*J48+G48*K48+H48*L48-1)+(0+$U48*J48+$V48*K48+$W48*L48)</f>
        <v>0.5</v>
      </c>
      <c r="Z48" s="1" t="n">
        <f aca="false">0.5*(E48*M48+F48*N48+G48*O48+H48*P48-1)+(0+$U48*N48+$V48*O48+$W48*P48)</f>
        <v>1</v>
      </c>
      <c r="AA48" s="1" t="n">
        <f aca="false">0.5*(E48*Q48+F48*R48+G48*S48+H48*T48-1)+(0+$U48*R48+$V48*S48+$W48*T48)</f>
        <v>0.5</v>
      </c>
      <c r="AB48" s="0" t="n">
        <f aca="false">IF(B48="V",-2,0)+IF(B48="E",-1,0)+IF(B48="O",0,0)+IF(B48="L",1,0)+Y48</f>
        <v>0.5</v>
      </c>
      <c r="AC48" s="0" t="n">
        <f aca="false">IF(C48="V",-2,0)+IF(C48="E",-1,0)+IF(C48="O",0,0)+IF(C48="L",1,0)+Z48</f>
        <v>2</v>
      </c>
      <c r="AD48" s="0" t="n">
        <f aca="false">IF(D48="V",-2,0)+IF(D48="E",-1,0)+IF(D48="O",0,0)+IF(D48="L",1,0)+AA48</f>
        <v>0.5</v>
      </c>
      <c r="AE48" s="1" t="n">
        <f aca="false">IF(B48="V",-2,0)+IF(B48="E",-1,0)+IF(B48="O",0,0)+IF(B48="L",1,0)</f>
        <v>0</v>
      </c>
      <c r="AF48" s="1" t="n">
        <f aca="false">IF(B48="V",-2,0)+IF(B48="E",-1,0)+IF(B48="O",0,0)+IF(B48="L",1,0)+Y48</f>
        <v>0.5</v>
      </c>
      <c r="AG48" s="1" t="n">
        <f aca="false">IF(B48="V",-2,0)+IF(B48="E",-1,0)+IF(B48="O",0,0)+IF(B48="L",1,0)+Y48*2</f>
        <v>1</v>
      </c>
      <c r="AH48" s="1" t="n">
        <f aca="false">IF(C48="V",-2,0)+IF(C48="E",-1,0)+IF(C48="O",0,0)+IF(C48="L",1,0)</f>
        <v>1</v>
      </c>
      <c r="AI48" s="1" t="n">
        <f aca="false">IF(C48="V",-2,0)+IF(C48="E",-1,0)+IF(C48="O",0,0)+IF(C48="L",1,0)+Z48</f>
        <v>2</v>
      </c>
      <c r="AJ48" s="1" t="n">
        <f aca="false">IF(C48="V",-2,0)+IF(C48="E",-1,0)+IF(C48="O",0,0)+IF(C48="L",1,0)+Z48*2</f>
        <v>3</v>
      </c>
      <c r="AK48" s="1" t="n">
        <f aca="false">IF(D48="V",-2,0)+IF(D48="E",-1,0)+IF(D48="O",0,0)+IF(D48="L",1,0)</f>
        <v>0</v>
      </c>
      <c r="AL48" s="1" t="n">
        <f aca="false">IF(D48="V",-2,0)+IF(D48="E",-1,0)+IF(D48="O",0,0)+IF(D48="L",1,0)+AA48</f>
        <v>0.5</v>
      </c>
      <c r="AM48" s="1" t="n">
        <f aca="false">IF(D48="V",-2,0)+IF(D48="E",-1,0)+IF(D48="O",0,0)+IF(D48="L",1,0)+AA48*2</f>
        <v>1</v>
      </c>
      <c r="AN48" s="1" t="n">
        <f aca="false">(ABS(IF(AE48&lt;0,AE48*Early,AE48*Late))+ABS(IF(AF48&lt;0,AF48*Early,AF48*Late))+ABS(IF(AG48&lt;0,AG48*Early,AG48*Late)))/3</f>
        <v>2</v>
      </c>
      <c r="AO48" s="1" t="n">
        <f aca="false">(ABS(IF(AH48&lt;0,AH48*Early,AH48*Late))+ABS(IF(AI48&lt;0,AI48*Early,AI48*Late))+ABS(IF(AJ48&lt;0,AJ48*Early,AJ48*Late)))/3</f>
        <v>8</v>
      </c>
      <c r="AP48" s="1" t="n">
        <f aca="false">(ABS(IF(AK48&lt;0,AK48*Early,AK48*Late))+ABS(IF(AL48&lt;0,AL48*Early,AL48*Late))+ABS(IF(AM48&lt;0,AM48*Early,AM48*Late)))/3</f>
        <v>2</v>
      </c>
      <c r="AQ48" s="0" t="n">
        <f aca="false">Y48*Delay+AN48</f>
        <v>2.5</v>
      </c>
      <c r="AR48" s="0" t="n">
        <f aca="false">Z48*Delay+AO48</f>
        <v>9</v>
      </c>
      <c r="AS48" s="0" t="n">
        <f aca="false">AA48*Delay+AP48</f>
        <v>2.5</v>
      </c>
      <c r="AT48" s="0" t="n">
        <f aca="false">IF(AS48=MIN(AS46:AS49),1,0)</f>
        <v>1</v>
      </c>
      <c r="AX48" s="0" t="str">
        <f aca="false">B48&amp;C48&amp;D48</f>
        <v>OLO</v>
      </c>
      <c r="AY48" s="1" t="n">
        <f aca="false">AQ48+AR48+AS48</f>
        <v>14</v>
      </c>
      <c r="AZ48" s="1" t="str">
        <f aca="false">RIGHT(AX48,2)</f>
        <v>LO</v>
      </c>
      <c r="BA48" s="1" t="str">
        <f aca="false">LEFT(AX48,1)&amp;RIGHT(AX48,1)</f>
        <v>OO</v>
      </c>
      <c r="BB48" s="1" t="str">
        <f aca="false">LEFT(AX48,2)</f>
        <v>OL</v>
      </c>
      <c r="BC48" s="1" t="n">
        <f aca="false">VLOOKUP(AZ48,TwoPlayers!$AG$1:$AH$17,2,FALSE())</f>
        <v>4</v>
      </c>
      <c r="BD48" s="1" t="n">
        <f aca="false">VLOOKUP(BA48,TwoPlayers!$AG$1:$AH$17,2,FALSE())</f>
        <v>5</v>
      </c>
      <c r="BE48" s="1" t="n">
        <f aca="false">VLOOKUP(BB48,TwoPlayers!$AG$1:$AH$17,2,FALSE())</f>
        <v>4</v>
      </c>
      <c r="BF48" s="1" t="n">
        <f aca="false">$AY48-BC48</f>
        <v>10</v>
      </c>
      <c r="BG48" s="1" t="n">
        <f aca="false">$AY48-BD48</f>
        <v>9</v>
      </c>
      <c r="BH48" s="1" t="n">
        <f aca="false">$AY48-BE48</f>
        <v>10</v>
      </c>
      <c r="BJ48" s="0" t="n">
        <f aca="false">AQ48+BF48</f>
        <v>12.5</v>
      </c>
      <c r="BK48" s="0" t="n">
        <f aca="false">AR48+BG48</f>
        <v>18</v>
      </c>
      <c r="BL48" s="0" t="n">
        <f aca="false">AS48+BH48</f>
        <v>12.5</v>
      </c>
      <c r="BM48" s="0" t="n">
        <f aca="false">IF(BL48=MIN(BL46:BL50),1,0)</f>
        <v>0</v>
      </c>
    </row>
    <row r="49" customFormat="false" ht="13" hidden="false" customHeight="false" outlineLevel="0" collapsed="false">
      <c r="A49" s="0" t="n">
        <v>48</v>
      </c>
      <c r="B49" s="0" t="s">
        <v>3</v>
      </c>
      <c r="C49" s="0" t="s">
        <v>4</v>
      </c>
      <c r="D49" s="0" t="s">
        <v>4</v>
      </c>
      <c r="E49" s="0" t="n">
        <f aca="false">(IF($B49="V",1,0))+IF($C49="V",1,0)+IF($D49="V",1,0)</f>
        <v>0</v>
      </c>
      <c r="F49" s="0" t="n">
        <f aca="false">(IF($B49="E",1,0))+IF($C49="E",1,0)+IF($D49="E",1,0)</f>
        <v>0</v>
      </c>
      <c r="G49" s="0" t="n">
        <f aca="false">(IF($B49="O",1,0))+IF($C49="O",1,0)+IF($D49="O",1,0)</f>
        <v>1</v>
      </c>
      <c r="H49" s="0" t="n">
        <f aca="false">(IF($B49="L",1,0))+IF($C49="L",1,0)+IF($D49="L",1,0)</f>
        <v>2</v>
      </c>
      <c r="I49" s="0" t="n">
        <f aca="false">(IF(B49="V",1,0))</f>
        <v>0</v>
      </c>
      <c r="J49" s="0" t="n">
        <f aca="false">(IF(B49="E",1,0))</f>
        <v>0</v>
      </c>
      <c r="K49" s="0" t="n">
        <f aca="false">(IF(B49="O",1,0))</f>
        <v>1</v>
      </c>
      <c r="L49" s="0" t="n">
        <f aca="false">(IF(B49="L",1,0))</f>
        <v>0</v>
      </c>
      <c r="M49" s="0" t="n">
        <f aca="false">(IF(C49="V",1,0))</f>
        <v>0</v>
      </c>
      <c r="N49" s="0" t="n">
        <f aca="false">(IF(C49="E",1,0))</f>
        <v>0</v>
      </c>
      <c r="O49" s="0" t="n">
        <f aca="false">(IF(C49="O",1,0))</f>
        <v>0</v>
      </c>
      <c r="P49" s="0" t="n">
        <f aca="false">(IF(C49="L",1,0))</f>
        <v>1</v>
      </c>
      <c r="Q49" s="0" t="n">
        <f aca="false">(IF(D49="V",1,0))</f>
        <v>0</v>
      </c>
      <c r="R49" s="0" t="n">
        <f aca="false">(IF(D49="E",1,0))</f>
        <v>0</v>
      </c>
      <c r="S49" s="0" t="n">
        <f aca="false">(IF(D49="O",1,0))</f>
        <v>0</v>
      </c>
      <c r="T49" s="0" t="n">
        <f aca="false">(IF(D49="L",1,0))</f>
        <v>1</v>
      </c>
      <c r="U49" s="0" t="n">
        <f aca="false">MAX(E49-1,0)</f>
        <v>0</v>
      </c>
      <c r="V49" s="0" t="n">
        <f aca="false">MAX(U49-1+F49,0)</f>
        <v>0</v>
      </c>
      <c r="W49" s="0" t="n">
        <f aca="false">MAX(V49-1+G49,0)</f>
        <v>0</v>
      </c>
      <c r="X49" s="0" t="n">
        <f aca="false">MAX(W49-1+H49,0)</f>
        <v>1</v>
      </c>
      <c r="Y49" s="1" t="n">
        <f aca="false">0.5*(E49*I49+F49*J49+G49*K49+H49*L49-1)+(0+$U49*J49+$V49*K49+$W49*L49)</f>
        <v>0</v>
      </c>
      <c r="Z49" s="1" t="n">
        <f aca="false">0.5*(E49*M49+F49*N49+G49*O49+H49*P49-1)+(0+$U49*N49+$V49*O49+$W49*P49)</f>
        <v>0.5</v>
      </c>
      <c r="AA49" s="1" t="n">
        <f aca="false">0.5*(E49*Q49+F49*R49+G49*S49+H49*T49-1)+(0+$U49*R49+$V49*S49+$W49*T49)</f>
        <v>0.5</v>
      </c>
      <c r="AB49" s="0" t="n">
        <f aca="false">IF(B49="V",-2,0)+IF(B49="E",-1,0)+IF(B49="O",0,0)+IF(B49="L",1,0)+Y49</f>
        <v>0</v>
      </c>
      <c r="AC49" s="0" t="n">
        <f aca="false">IF(C49="V",-2,0)+IF(C49="E",-1,0)+IF(C49="O",0,0)+IF(C49="L",1,0)+Z49</f>
        <v>1.5</v>
      </c>
      <c r="AD49" s="0" t="n">
        <f aca="false">IF(D49="V",-2,0)+IF(D49="E",-1,0)+IF(D49="O",0,0)+IF(D49="L",1,0)+AA49</f>
        <v>1.5</v>
      </c>
      <c r="AE49" s="1" t="n">
        <f aca="false">IF(B49="V",-2,0)+IF(B49="E",-1,0)+IF(B49="O",0,0)+IF(B49="L",1,0)</f>
        <v>0</v>
      </c>
      <c r="AF49" s="1" t="n">
        <f aca="false">IF(B49="V",-2,0)+IF(B49="E",-1,0)+IF(B49="O",0,0)+IF(B49="L",1,0)+Y49</f>
        <v>0</v>
      </c>
      <c r="AG49" s="1" t="n">
        <f aca="false">IF(B49="V",-2,0)+IF(B49="E",-1,0)+IF(B49="O",0,0)+IF(B49="L",1,0)+Y49*2</f>
        <v>0</v>
      </c>
      <c r="AH49" s="1" t="n">
        <f aca="false">IF(C49="V",-2,0)+IF(C49="E",-1,0)+IF(C49="O",0,0)+IF(C49="L",1,0)</f>
        <v>1</v>
      </c>
      <c r="AI49" s="1" t="n">
        <f aca="false">IF(C49="V",-2,0)+IF(C49="E",-1,0)+IF(C49="O",0,0)+IF(C49="L",1,0)+Z49</f>
        <v>1.5</v>
      </c>
      <c r="AJ49" s="1" t="n">
        <f aca="false">IF(C49="V",-2,0)+IF(C49="E",-1,0)+IF(C49="O",0,0)+IF(C49="L",1,0)+Z49*2</f>
        <v>2</v>
      </c>
      <c r="AK49" s="1" t="n">
        <f aca="false">IF(D49="V",-2,0)+IF(D49="E",-1,0)+IF(D49="O",0,0)+IF(D49="L",1,0)</f>
        <v>1</v>
      </c>
      <c r="AL49" s="1" t="n">
        <f aca="false">IF(D49="V",-2,0)+IF(D49="E",-1,0)+IF(D49="O",0,0)+IF(D49="L",1,0)+AA49</f>
        <v>1.5</v>
      </c>
      <c r="AM49" s="1" t="n">
        <f aca="false">IF(D49="V",-2,0)+IF(D49="E",-1,0)+IF(D49="O",0,0)+IF(D49="L",1,0)+AA49*2</f>
        <v>2</v>
      </c>
      <c r="AN49" s="1" t="n">
        <f aca="false">(ABS(IF(AE49&lt;0,AE49*Early,AE49*Late))+ABS(IF(AF49&lt;0,AF49*Early,AF49*Late))+ABS(IF(AG49&lt;0,AG49*Early,AG49*Late)))/3</f>
        <v>0</v>
      </c>
      <c r="AO49" s="1" t="n">
        <f aca="false">(ABS(IF(AH49&lt;0,AH49*Early,AH49*Late))+ABS(IF(AI49&lt;0,AI49*Early,AI49*Late))+ABS(IF(AJ49&lt;0,AJ49*Early,AJ49*Late)))/3</f>
        <v>6</v>
      </c>
      <c r="AP49" s="1" t="n">
        <f aca="false">(ABS(IF(AK49&lt;0,AK49*Early,AK49*Late))+ABS(IF(AL49&lt;0,AL49*Early,AL49*Late))+ABS(IF(AM49&lt;0,AM49*Early,AM49*Late)))/3</f>
        <v>6</v>
      </c>
      <c r="AQ49" s="0" t="n">
        <f aca="false">Y49*Delay+AN49</f>
        <v>0</v>
      </c>
      <c r="AR49" s="0" t="n">
        <f aca="false">Z49*Delay+AO49</f>
        <v>6.5</v>
      </c>
      <c r="AS49" s="0" t="n">
        <f aca="false">AA49*Delay+AP49</f>
        <v>6.5</v>
      </c>
      <c r="AT49" s="0" t="n">
        <f aca="false">IF(AS49=MIN(AS46:AS49),1,0)</f>
        <v>0</v>
      </c>
      <c r="AX49" s="0" t="str">
        <f aca="false">B49&amp;C49&amp;D49</f>
        <v>OLL</v>
      </c>
      <c r="AY49" s="1" t="n">
        <f aca="false">AQ49+AR49+AS49</f>
        <v>13</v>
      </c>
      <c r="AZ49" s="1" t="str">
        <f aca="false">RIGHT(AX49,2)</f>
        <v>LL</v>
      </c>
      <c r="BA49" s="1" t="str">
        <f aca="false">LEFT(AX49,1)&amp;RIGHT(AX49,1)</f>
        <v>OL</v>
      </c>
      <c r="BB49" s="1" t="str">
        <f aca="false">LEFT(AX49,2)</f>
        <v>OL</v>
      </c>
      <c r="BC49" s="1" t="n">
        <f aca="false">VLOOKUP(AZ49,TwoPlayers!$AG$1:$AH$17,2,FALSE())</f>
        <v>13</v>
      </c>
      <c r="BD49" s="1" t="n">
        <f aca="false">VLOOKUP(BA49,TwoPlayers!$AG$1:$AH$17,2,FALSE())</f>
        <v>4</v>
      </c>
      <c r="BE49" s="1" t="n">
        <f aca="false">VLOOKUP(BB49,TwoPlayers!$AG$1:$AH$17,2,FALSE())</f>
        <v>4</v>
      </c>
      <c r="BF49" s="1" t="n">
        <f aca="false">$AY49-BC49</f>
        <v>0</v>
      </c>
      <c r="BG49" s="1" t="n">
        <f aca="false">$AY49-BD49</f>
        <v>9</v>
      </c>
      <c r="BH49" s="1" t="n">
        <f aca="false">$AY49-BE49</f>
        <v>9</v>
      </c>
      <c r="BJ49" s="0" t="n">
        <f aca="false">AQ49+BF49</f>
        <v>0</v>
      </c>
      <c r="BK49" s="0" t="n">
        <f aca="false">AR49+BG49</f>
        <v>15.5</v>
      </c>
      <c r="BL49" s="0" t="n">
        <f aca="false">AS49+BH49</f>
        <v>15.5</v>
      </c>
      <c r="BM49" s="0" t="n">
        <f aca="false">IF(BL49=MIN(BL46:BL50),1,0)</f>
        <v>0</v>
      </c>
    </row>
    <row r="50" customFormat="false" ht="13" hidden="false" customHeight="false" outlineLevel="0" collapsed="false">
      <c r="A50" s="0" t="n">
        <v>49</v>
      </c>
      <c r="B50" s="0" t="s">
        <v>4</v>
      </c>
      <c r="C50" s="0" t="s">
        <v>1</v>
      </c>
      <c r="D50" s="0" t="s">
        <v>1</v>
      </c>
      <c r="E50" s="0" t="n">
        <f aca="false">(IF($B50="V",1,0))+IF($C50="V",1,0)+IF($D50="V",1,0)</f>
        <v>2</v>
      </c>
      <c r="F50" s="0" t="n">
        <f aca="false">(IF($B50="E",1,0))+IF($C50="E",1,0)+IF($D50="E",1,0)</f>
        <v>0</v>
      </c>
      <c r="G50" s="0" t="n">
        <f aca="false">(IF($B50="O",1,0))+IF($C50="O",1,0)+IF($D50="O",1,0)</f>
        <v>0</v>
      </c>
      <c r="H50" s="0" t="n">
        <f aca="false">(IF($B50="L",1,0))+IF($C50="L",1,0)+IF($D50="L",1,0)</f>
        <v>1</v>
      </c>
      <c r="I50" s="0" t="n">
        <f aca="false">(IF(B50="V",1,0))</f>
        <v>0</v>
      </c>
      <c r="J50" s="0" t="n">
        <f aca="false">(IF(B50="E",1,0))</f>
        <v>0</v>
      </c>
      <c r="K50" s="0" t="n">
        <f aca="false">(IF(B50="O",1,0))</f>
        <v>0</v>
      </c>
      <c r="L50" s="0" t="n">
        <f aca="false">(IF(B50="L",1,0))</f>
        <v>1</v>
      </c>
      <c r="M50" s="0" t="n">
        <f aca="false">(IF(C50="V",1,0))</f>
        <v>1</v>
      </c>
      <c r="N50" s="0" t="n">
        <f aca="false">(IF(C50="E",1,0))</f>
        <v>0</v>
      </c>
      <c r="O50" s="0" t="n">
        <f aca="false">(IF(C50="O",1,0))</f>
        <v>0</v>
      </c>
      <c r="P50" s="0" t="n">
        <f aca="false">(IF(C50="L",1,0))</f>
        <v>0</v>
      </c>
      <c r="Q50" s="0" t="n">
        <f aca="false">(IF(D50="V",1,0))</f>
        <v>1</v>
      </c>
      <c r="R50" s="0" t="n">
        <f aca="false">(IF(D50="E",1,0))</f>
        <v>0</v>
      </c>
      <c r="S50" s="0" t="n">
        <f aca="false">(IF(D50="O",1,0))</f>
        <v>0</v>
      </c>
      <c r="T50" s="0" t="n">
        <f aca="false">(IF(D50="L",1,0))</f>
        <v>0</v>
      </c>
      <c r="U50" s="0" t="n">
        <f aca="false">MAX(E50-1,0)</f>
        <v>1</v>
      </c>
      <c r="V50" s="0" t="n">
        <f aca="false">MAX(U50-1+F50,0)</f>
        <v>0</v>
      </c>
      <c r="W50" s="0" t="n">
        <f aca="false">MAX(V50-1+G50,0)</f>
        <v>0</v>
      </c>
      <c r="X50" s="0" t="n">
        <f aca="false">MAX(W50-1+H50,0)</f>
        <v>0</v>
      </c>
      <c r="Y50" s="1" t="n">
        <f aca="false">0.5*(E50*I50+F50*J50+G50*K50+H50*L50-1)+(0+$U50*J50+$V50*K50+$W50*L50)</f>
        <v>0</v>
      </c>
      <c r="Z50" s="1" t="n">
        <f aca="false">0.5*(E50*M50+F50*N50+G50*O50+H50*P50-1)+(0+$U50*N50+$V50*O50+$W50*P50)</f>
        <v>0.5</v>
      </c>
      <c r="AA50" s="1" t="n">
        <f aca="false">0.5*(E50*Q50+F50*R50+G50*S50+H50*T50-1)+(0+$U50*R50+$V50*S50+$W50*T50)</f>
        <v>0.5</v>
      </c>
      <c r="AB50" s="0" t="n">
        <f aca="false">IF(B50="V",-2,0)+IF(B50="E",-1,0)+IF(B50="O",0,0)+IF(B50="L",1,0)+Y50</f>
        <v>1</v>
      </c>
      <c r="AC50" s="0" t="n">
        <f aca="false">IF(C50="V",-2,0)+IF(C50="E",-1,0)+IF(C50="O",0,0)+IF(C50="L",1,0)+Z50</f>
        <v>-1.5</v>
      </c>
      <c r="AD50" s="0" t="n">
        <f aca="false">IF(D50="V",-2,0)+IF(D50="E",-1,0)+IF(D50="O",0,0)+IF(D50="L",1,0)+AA50</f>
        <v>-1.5</v>
      </c>
      <c r="AE50" s="1" t="n">
        <f aca="false">IF(B50="V",-2,0)+IF(B50="E",-1,0)+IF(B50="O",0,0)+IF(B50="L",1,0)</f>
        <v>1</v>
      </c>
      <c r="AF50" s="1" t="n">
        <f aca="false">IF(B50="V",-2,0)+IF(B50="E",-1,0)+IF(B50="O",0,0)+IF(B50="L",1,0)+Y50</f>
        <v>1</v>
      </c>
      <c r="AG50" s="1" t="n">
        <f aca="false">IF(B50="V",-2,0)+IF(B50="E",-1,0)+IF(B50="O",0,0)+IF(B50="L",1,0)+Y50*2</f>
        <v>1</v>
      </c>
      <c r="AH50" s="1" t="n">
        <f aca="false">IF(C50="V",-2,0)+IF(C50="E",-1,0)+IF(C50="O",0,0)+IF(C50="L",1,0)</f>
        <v>-2</v>
      </c>
      <c r="AI50" s="1" t="n">
        <f aca="false">IF(C50="V",-2,0)+IF(C50="E",-1,0)+IF(C50="O",0,0)+IF(C50="L",1,0)+Z50</f>
        <v>-1.5</v>
      </c>
      <c r="AJ50" s="1" t="n">
        <f aca="false">IF(C50="V",-2,0)+IF(C50="E",-1,0)+IF(C50="O",0,0)+IF(C50="L",1,0)+Z50*2</f>
        <v>-1</v>
      </c>
      <c r="AK50" s="1" t="n">
        <f aca="false">IF(D50="V",-2,0)+IF(D50="E",-1,0)+IF(D50="O",0,0)+IF(D50="L",1,0)</f>
        <v>-2</v>
      </c>
      <c r="AL50" s="1" t="n">
        <f aca="false">IF(D50="V",-2,0)+IF(D50="E",-1,0)+IF(D50="O",0,0)+IF(D50="L",1,0)+AA50</f>
        <v>-1.5</v>
      </c>
      <c r="AM50" s="1" t="n">
        <f aca="false">IF(D50="V",-2,0)+IF(D50="E",-1,0)+IF(D50="O",0,0)+IF(D50="L",1,0)+AA50*2</f>
        <v>-1</v>
      </c>
      <c r="AN50" s="1" t="n">
        <f aca="false">(ABS(IF(AE50&lt;0,AE50*Early,AE50*Late))+ABS(IF(AF50&lt;0,AF50*Early,AF50*Late))+ABS(IF(AG50&lt;0,AG50*Early,AG50*Late)))/3</f>
        <v>4</v>
      </c>
      <c r="AO50" s="1" t="n">
        <f aca="false">(ABS(IF(AH50&lt;0,AH50*Early,AH50*Late))+ABS(IF(AI50&lt;0,AI50*Early,AI50*Late))+ABS(IF(AJ50&lt;0,AJ50*Early,AJ50*Late)))/3</f>
        <v>4.5</v>
      </c>
      <c r="AP50" s="1" t="n">
        <f aca="false">(ABS(IF(AK50&lt;0,AK50*Early,AK50*Late))+ABS(IF(AL50&lt;0,AL50*Early,AL50*Late))+ABS(IF(AM50&lt;0,AM50*Early,AM50*Late)))/3</f>
        <v>4.5</v>
      </c>
      <c r="AQ50" s="0" t="n">
        <f aca="false">Y50*Delay+AN50</f>
        <v>4</v>
      </c>
      <c r="AR50" s="0" t="n">
        <f aca="false">Z50*Delay+AO50</f>
        <v>5</v>
      </c>
      <c r="AS50" s="0" t="n">
        <f aca="false">AA50*Delay+AP50</f>
        <v>5</v>
      </c>
      <c r="AT50" s="0" t="n">
        <f aca="false">IF(AS50=MIN(AS50:AS53),1,0)</f>
        <v>0</v>
      </c>
      <c r="AX50" s="0" t="str">
        <f aca="false">B50&amp;C50&amp;D50</f>
        <v>LVV</v>
      </c>
      <c r="AY50" s="1" t="n">
        <f aca="false">AQ50+AR50+AS50</f>
        <v>14</v>
      </c>
      <c r="AZ50" s="1" t="str">
        <f aca="false">RIGHT(AX50,2)</f>
        <v>VV</v>
      </c>
      <c r="BA50" s="1" t="str">
        <f aca="false">LEFT(AX50,1)&amp;RIGHT(AX50,1)</f>
        <v>LV</v>
      </c>
      <c r="BB50" s="1" t="str">
        <f aca="false">LEFT(AX50,2)</f>
        <v>LV</v>
      </c>
      <c r="BC50" s="1" t="n">
        <f aca="false">VLOOKUP(AZ50,TwoPlayers!$AG$1:$AH$17,2,FALSE())</f>
        <v>10</v>
      </c>
      <c r="BD50" s="1" t="n">
        <f aca="false">VLOOKUP(BA50,TwoPlayers!$AG$1:$AH$17,2,FALSE())</f>
        <v>10</v>
      </c>
      <c r="BE50" s="1" t="n">
        <f aca="false">VLOOKUP(BB50,TwoPlayers!$AG$1:$AH$17,2,FALSE())</f>
        <v>10</v>
      </c>
      <c r="BF50" s="1" t="n">
        <f aca="false">$AY50-BC50</f>
        <v>4</v>
      </c>
      <c r="BG50" s="1" t="n">
        <f aca="false">$AY50-BD50</f>
        <v>4</v>
      </c>
      <c r="BH50" s="1" t="n">
        <f aca="false">$AY50-BE50</f>
        <v>4</v>
      </c>
      <c r="BJ50" s="0" t="n">
        <f aca="false">AQ50+BF50</f>
        <v>8</v>
      </c>
      <c r="BK50" s="0" t="n">
        <f aca="false">AR50+BG50</f>
        <v>9</v>
      </c>
      <c r="BL50" s="0" t="n">
        <f aca="false">AS50+BH50</f>
        <v>9</v>
      </c>
      <c r="BM50" s="0" t="n">
        <f aca="false">IF(BL50=MIN(BL50:BL54),1,0)</f>
        <v>0</v>
      </c>
    </row>
    <row r="51" customFormat="false" ht="13" hidden="false" customHeight="false" outlineLevel="0" collapsed="false">
      <c r="A51" s="0" t="n">
        <v>50</v>
      </c>
      <c r="B51" s="0" t="s">
        <v>4</v>
      </c>
      <c r="C51" s="0" t="s">
        <v>1</v>
      </c>
      <c r="D51" s="0" t="s">
        <v>2</v>
      </c>
      <c r="E51" s="0" t="n">
        <f aca="false">(IF($B51="V",1,0))+IF($C51="V",1,0)+IF($D51="V",1,0)</f>
        <v>1</v>
      </c>
      <c r="F51" s="0" t="n">
        <f aca="false">(IF($B51="E",1,0))+IF($C51="E",1,0)+IF($D51="E",1,0)</f>
        <v>1</v>
      </c>
      <c r="G51" s="0" t="n">
        <f aca="false">(IF($B51="O",1,0))+IF($C51="O",1,0)+IF($D51="O",1,0)</f>
        <v>0</v>
      </c>
      <c r="H51" s="0" t="n">
        <f aca="false">(IF($B51="L",1,0))+IF($C51="L",1,0)+IF($D51="L",1,0)</f>
        <v>1</v>
      </c>
      <c r="I51" s="0" t="n">
        <f aca="false">(IF(B51="V",1,0))</f>
        <v>0</v>
      </c>
      <c r="J51" s="0" t="n">
        <f aca="false">(IF(B51="E",1,0))</f>
        <v>0</v>
      </c>
      <c r="K51" s="0" t="n">
        <f aca="false">(IF(B51="O",1,0))</f>
        <v>0</v>
      </c>
      <c r="L51" s="0" t="n">
        <f aca="false">(IF(B51="L",1,0))</f>
        <v>1</v>
      </c>
      <c r="M51" s="0" t="n">
        <f aca="false">(IF(C51="V",1,0))</f>
        <v>1</v>
      </c>
      <c r="N51" s="0" t="n">
        <f aca="false">(IF(C51="E",1,0))</f>
        <v>0</v>
      </c>
      <c r="O51" s="0" t="n">
        <f aca="false">(IF(C51="O",1,0))</f>
        <v>0</v>
      </c>
      <c r="P51" s="0" t="n">
        <f aca="false">(IF(C51="L",1,0))</f>
        <v>0</v>
      </c>
      <c r="Q51" s="0" t="n">
        <f aca="false">(IF(D51="V",1,0))</f>
        <v>0</v>
      </c>
      <c r="R51" s="0" t="n">
        <f aca="false">(IF(D51="E",1,0))</f>
        <v>1</v>
      </c>
      <c r="S51" s="0" t="n">
        <f aca="false">(IF(D51="O",1,0))</f>
        <v>0</v>
      </c>
      <c r="T51" s="0" t="n">
        <f aca="false">(IF(D51="L",1,0))</f>
        <v>0</v>
      </c>
      <c r="U51" s="0" t="n">
        <f aca="false">MAX(E51-1,0)</f>
        <v>0</v>
      </c>
      <c r="V51" s="0" t="n">
        <f aca="false">MAX(U51-1+F51,0)</f>
        <v>0</v>
      </c>
      <c r="W51" s="0" t="n">
        <f aca="false">MAX(V51-1+G51,0)</f>
        <v>0</v>
      </c>
      <c r="X51" s="0" t="n">
        <f aca="false">MAX(W51-1+H51,0)</f>
        <v>0</v>
      </c>
      <c r="Y51" s="1" t="n">
        <f aca="false">0.5*(E51*I51+F51*J51+G51*K51+H51*L51-1)+(0+$U51*J51+$V51*K51+$W51*L51)</f>
        <v>0</v>
      </c>
      <c r="Z51" s="1" t="n">
        <f aca="false">0.5*(E51*M51+F51*N51+G51*O51+H51*P51-1)+(0+$U51*N51+$V51*O51+$W51*P51)</f>
        <v>0</v>
      </c>
      <c r="AA51" s="1" t="n">
        <f aca="false">0.5*(E51*Q51+F51*R51+G51*S51+H51*T51-1)+(0+$U51*R51+$V51*S51+$W51*T51)</f>
        <v>0</v>
      </c>
      <c r="AB51" s="0" t="n">
        <f aca="false">IF(B51="V",-2,0)+IF(B51="E",-1,0)+IF(B51="O",0,0)+IF(B51="L",1,0)+Y51</f>
        <v>1</v>
      </c>
      <c r="AC51" s="0" t="n">
        <f aca="false">IF(C51="V",-2,0)+IF(C51="E",-1,0)+IF(C51="O",0,0)+IF(C51="L",1,0)+Z51</f>
        <v>-2</v>
      </c>
      <c r="AD51" s="0" t="n">
        <f aca="false">IF(D51="V",-2,0)+IF(D51="E",-1,0)+IF(D51="O",0,0)+IF(D51="L",1,0)+AA51</f>
        <v>-1</v>
      </c>
      <c r="AE51" s="1" t="n">
        <f aca="false">IF(B51="V",-2,0)+IF(B51="E",-1,0)+IF(B51="O",0,0)+IF(B51="L",1,0)</f>
        <v>1</v>
      </c>
      <c r="AF51" s="1" t="n">
        <f aca="false">IF(B51="V",-2,0)+IF(B51="E",-1,0)+IF(B51="O",0,0)+IF(B51="L",1,0)+Y51</f>
        <v>1</v>
      </c>
      <c r="AG51" s="1" t="n">
        <f aca="false">IF(B51="V",-2,0)+IF(B51="E",-1,0)+IF(B51="O",0,0)+IF(B51="L",1,0)+Y51*2</f>
        <v>1</v>
      </c>
      <c r="AH51" s="1" t="n">
        <f aca="false">IF(C51="V",-2,0)+IF(C51="E",-1,0)+IF(C51="O",0,0)+IF(C51="L",1,0)</f>
        <v>-2</v>
      </c>
      <c r="AI51" s="1" t="n">
        <f aca="false">IF(C51="V",-2,0)+IF(C51="E",-1,0)+IF(C51="O",0,0)+IF(C51="L",1,0)+Z51</f>
        <v>-2</v>
      </c>
      <c r="AJ51" s="1" t="n">
        <f aca="false">IF(C51="V",-2,0)+IF(C51="E",-1,0)+IF(C51="O",0,0)+IF(C51="L",1,0)+Z51*2</f>
        <v>-2</v>
      </c>
      <c r="AK51" s="1" t="n">
        <f aca="false">IF(D51="V",-2,0)+IF(D51="E",-1,0)+IF(D51="O",0,0)+IF(D51="L",1,0)</f>
        <v>-1</v>
      </c>
      <c r="AL51" s="1" t="n">
        <f aca="false">IF(D51="V",-2,0)+IF(D51="E",-1,0)+IF(D51="O",0,0)+IF(D51="L",1,0)+AA51</f>
        <v>-1</v>
      </c>
      <c r="AM51" s="1" t="n">
        <f aca="false">IF(D51="V",-2,0)+IF(D51="E",-1,0)+IF(D51="O",0,0)+IF(D51="L",1,0)+AA51*2</f>
        <v>-1</v>
      </c>
      <c r="AN51" s="1" t="n">
        <f aca="false">(ABS(IF(AE51&lt;0,AE51*Early,AE51*Late))+ABS(IF(AF51&lt;0,AF51*Early,AF51*Late))+ABS(IF(AG51&lt;0,AG51*Early,AG51*Late)))/3</f>
        <v>4</v>
      </c>
      <c r="AO51" s="1" t="n">
        <f aca="false">(ABS(IF(AH51&lt;0,AH51*Early,AH51*Late))+ABS(IF(AI51&lt;0,AI51*Early,AI51*Late))+ABS(IF(AJ51&lt;0,AJ51*Early,AJ51*Late)))/3</f>
        <v>6</v>
      </c>
      <c r="AP51" s="1" t="n">
        <f aca="false">(ABS(IF(AK51&lt;0,AK51*Early,AK51*Late))+ABS(IF(AL51&lt;0,AL51*Early,AL51*Late))+ABS(IF(AM51&lt;0,AM51*Early,AM51*Late)))/3</f>
        <v>3</v>
      </c>
      <c r="AQ51" s="0" t="n">
        <f aca="false">Y51*Delay+AN51</f>
        <v>4</v>
      </c>
      <c r="AR51" s="0" t="n">
        <f aca="false">Z51*Delay+AO51</f>
        <v>6</v>
      </c>
      <c r="AS51" s="0" t="n">
        <f aca="false">AA51*Delay+AP51</f>
        <v>3</v>
      </c>
      <c r="AT51" s="0" t="n">
        <f aca="false">IF(AS51=MIN(AS50:AS53),1,0)</f>
        <v>0</v>
      </c>
      <c r="AX51" s="0" t="str">
        <f aca="false">B51&amp;C51&amp;D51</f>
        <v>LVE</v>
      </c>
      <c r="AY51" s="1" t="n">
        <f aca="false">AQ51+AR51+AS51</f>
        <v>13</v>
      </c>
      <c r="AZ51" s="1" t="str">
        <f aca="false">RIGHT(AX51,2)</f>
        <v>VE</v>
      </c>
      <c r="BA51" s="1" t="str">
        <f aca="false">LEFT(AX51,1)&amp;RIGHT(AX51,1)</f>
        <v>LE</v>
      </c>
      <c r="BB51" s="1" t="str">
        <f aca="false">LEFT(AX51,2)</f>
        <v>LV</v>
      </c>
      <c r="BC51" s="1" t="n">
        <f aca="false">VLOOKUP(AZ51,TwoPlayers!$AG$1:$AH$17,2,FALSE())</f>
        <v>9</v>
      </c>
      <c r="BD51" s="1" t="n">
        <f aca="false">VLOOKUP(BA51,TwoPlayers!$AG$1:$AH$17,2,FALSE())</f>
        <v>7</v>
      </c>
      <c r="BE51" s="1" t="n">
        <f aca="false">VLOOKUP(BB51,TwoPlayers!$AG$1:$AH$17,2,FALSE())</f>
        <v>10</v>
      </c>
      <c r="BF51" s="1" t="n">
        <f aca="false">$AY51-BC51</f>
        <v>4</v>
      </c>
      <c r="BG51" s="1" t="n">
        <f aca="false">$AY51-BD51</f>
        <v>6</v>
      </c>
      <c r="BH51" s="1" t="n">
        <f aca="false">$AY51-BE51</f>
        <v>3</v>
      </c>
      <c r="BJ51" s="0" t="n">
        <f aca="false">AQ51+BF51</f>
        <v>8</v>
      </c>
      <c r="BK51" s="0" t="n">
        <f aca="false">AR51+BG51</f>
        <v>12</v>
      </c>
      <c r="BL51" s="0" t="n">
        <f aca="false">AS51+BH51</f>
        <v>6</v>
      </c>
      <c r="BM51" s="0" t="n">
        <f aca="false">IF(BL51=MIN(BL50:BL54),1,0)</f>
        <v>0</v>
      </c>
    </row>
    <row r="52" customFormat="false" ht="13" hidden="false" customHeight="false" outlineLevel="0" collapsed="false">
      <c r="A52" s="0" t="n">
        <v>51</v>
      </c>
      <c r="B52" s="0" t="s">
        <v>4</v>
      </c>
      <c r="C52" s="0" t="s">
        <v>1</v>
      </c>
      <c r="D52" s="0" t="s">
        <v>3</v>
      </c>
      <c r="E52" s="0" t="n">
        <f aca="false">(IF($B52="V",1,0))+IF($C52="V",1,0)+IF($D52="V",1,0)</f>
        <v>1</v>
      </c>
      <c r="F52" s="0" t="n">
        <f aca="false">(IF($B52="E",1,0))+IF($C52="E",1,0)+IF($D52="E",1,0)</f>
        <v>0</v>
      </c>
      <c r="G52" s="0" t="n">
        <f aca="false">(IF($B52="O",1,0))+IF($C52="O",1,0)+IF($D52="O",1,0)</f>
        <v>1</v>
      </c>
      <c r="H52" s="0" t="n">
        <f aca="false">(IF($B52="L",1,0))+IF($C52="L",1,0)+IF($D52="L",1,0)</f>
        <v>1</v>
      </c>
      <c r="I52" s="0" t="n">
        <f aca="false">(IF(B52="V",1,0))</f>
        <v>0</v>
      </c>
      <c r="J52" s="0" t="n">
        <f aca="false">(IF(B52="E",1,0))</f>
        <v>0</v>
      </c>
      <c r="K52" s="0" t="n">
        <f aca="false">(IF(B52="O",1,0))</f>
        <v>0</v>
      </c>
      <c r="L52" s="0" t="n">
        <f aca="false">(IF(B52="L",1,0))</f>
        <v>1</v>
      </c>
      <c r="M52" s="0" t="n">
        <f aca="false">(IF(C52="V",1,0))</f>
        <v>1</v>
      </c>
      <c r="N52" s="0" t="n">
        <f aca="false">(IF(C52="E",1,0))</f>
        <v>0</v>
      </c>
      <c r="O52" s="0" t="n">
        <f aca="false">(IF(C52="O",1,0))</f>
        <v>0</v>
      </c>
      <c r="P52" s="0" t="n">
        <f aca="false">(IF(C52="L",1,0))</f>
        <v>0</v>
      </c>
      <c r="Q52" s="0" t="n">
        <f aca="false">(IF(D52="V",1,0))</f>
        <v>0</v>
      </c>
      <c r="R52" s="0" t="n">
        <f aca="false">(IF(D52="E",1,0))</f>
        <v>0</v>
      </c>
      <c r="S52" s="0" t="n">
        <f aca="false">(IF(D52="O",1,0))</f>
        <v>1</v>
      </c>
      <c r="T52" s="0" t="n">
        <f aca="false">(IF(D52="L",1,0))</f>
        <v>0</v>
      </c>
      <c r="U52" s="0" t="n">
        <f aca="false">MAX(E52-1,0)</f>
        <v>0</v>
      </c>
      <c r="V52" s="0" t="n">
        <f aca="false">MAX(U52-1+F52,0)</f>
        <v>0</v>
      </c>
      <c r="W52" s="0" t="n">
        <f aca="false">MAX(V52-1+G52,0)</f>
        <v>0</v>
      </c>
      <c r="X52" s="0" t="n">
        <f aca="false">MAX(W52-1+H52,0)</f>
        <v>0</v>
      </c>
      <c r="Y52" s="1" t="n">
        <f aca="false">0.5*(E52*I52+F52*J52+G52*K52+H52*L52-1)+(0+$U52*J52+$V52*K52+$W52*L52)</f>
        <v>0</v>
      </c>
      <c r="Z52" s="1" t="n">
        <f aca="false">0.5*(E52*M52+F52*N52+G52*O52+H52*P52-1)+(0+$U52*N52+$V52*O52+$W52*P52)</f>
        <v>0</v>
      </c>
      <c r="AA52" s="1" t="n">
        <f aca="false">0.5*(E52*Q52+F52*R52+G52*S52+H52*T52-1)+(0+$U52*R52+$V52*S52+$W52*T52)</f>
        <v>0</v>
      </c>
      <c r="AB52" s="0" t="n">
        <f aca="false">IF(B52="V",-2,0)+IF(B52="E",-1,0)+IF(B52="O",0,0)+IF(B52="L",1,0)+Y52</f>
        <v>1</v>
      </c>
      <c r="AC52" s="0" t="n">
        <f aca="false">IF(C52="V",-2,0)+IF(C52="E",-1,0)+IF(C52="O",0,0)+IF(C52="L",1,0)+Z52</f>
        <v>-2</v>
      </c>
      <c r="AD52" s="0" t="n">
        <f aca="false">IF(D52="V",-2,0)+IF(D52="E",-1,0)+IF(D52="O",0,0)+IF(D52="L",1,0)+AA52</f>
        <v>0</v>
      </c>
      <c r="AE52" s="1" t="n">
        <f aca="false">IF(B52="V",-2,0)+IF(B52="E",-1,0)+IF(B52="O",0,0)+IF(B52="L",1,0)</f>
        <v>1</v>
      </c>
      <c r="AF52" s="1" t="n">
        <f aca="false">IF(B52="V",-2,0)+IF(B52="E",-1,0)+IF(B52="O",0,0)+IF(B52="L",1,0)+Y52</f>
        <v>1</v>
      </c>
      <c r="AG52" s="1" t="n">
        <f aca="false">IF(B52="V",-2,0)+IF(B52="E",-1,0)+IF(B52="O",0,0)+IF(B52="L",1,0)+Y52*2</f>
        <v>1</v>
      </c>
      <c r="AH52" s="1" t="n">
        <f aca="false">IF(C52="V",-2,0)+IF(C52="E",-1,0)+IF(C52="O",0,0)+IF(C52="L",1,0)</f>
        <v>-2</v>
      </c>
      <c r="AI52" s="1" t="n">
        <f aca="false">IF(C52="V",-2,0)+IF(C52="E",-1,0)+IF(C52="O",0,0)+IF(C52="L",1,0)+Z52</f>
        <v>-2</v>
      </c>
      <c r="AJ52" s="1" t="n">
        <f aca="false">IF(C52="V",-2,0)+IF(C52="E",-1,0)+IF(C52="O",0,0)+IF(C52="L",1,0)+Z52*2</f>
        <v>-2</v>
      </c>
      <c r="AK52" s="1" t="n">
        <f aca="false">IF(D52="V",-2,0)+IF(D52="E",-1,0)+IF(D52="O",0,0)+IF(D52="L",1,0)</f>
        <v>0</v>
      </c>
      <c r="AL52" s="1" t="n">
        <f aca="false">IF(D52="V",-2,0)+IF(D52="E",-1,0)+IF(D52="O",0,0)+IF(D52="L",1,0)+AA52</f>
        <v>0</v>
      </c>
      <c r="AM52" s="1" t="n">
        <f aca="false">IF(D52="V",-2,0)+IF(D52="E",-1,0)+IF(D52="O",0,0)+IF(D52="L",1,0)+AA52*2</f>
        <v>0</v>
      </c>
      <c r="AN52" s="1" t="n">
        <f aca="false">(ABS(IF(AE52&lt;0,AE52*Early,AE52*Late))+ABS(IF(AF52&lt;0,AF52*Early,AF52*Late))+ABS(IF(AG52&lt;0,AG52*Early,AG52*Late)))/3</f>
        <v>4</v>
      </c>
      <c r="AO52" s="1" t="n">
        <f aca="false">(ABS(IF(AH52&lt;0,AH52*Early,AH52*Late))+ABS(IF(AI52&lt;0,AI52*Early,AI52*Late))+ABS(IF(AJ52&lt;0,AJ52*Early,AJ52*Late)))/3</f>
        <v>6</v>
      </c>
      <c r="AP52" s="1" t="n">
        <f aca="false">(ABS(IF(AK52&lt;0,AK52*Early,AK52*Late))+ABS(IF(AL52&lt;0,AL52*Early,AL52*Late))+ABS(IF(AM52&lt;0,AM52*Early,AM52*Late)))/3</f>
        <v>0</v>
      </c>
      <c r="AQ52" s="0" t="n">
        <f aca="false">Y52*Delay+AN52</f>
        <v>4</v>
      </c>
      <c r="AR52" s="0" t="n">
        <f aca="false">Z52*Delay+AO52</f>
        <v>6</v>
      </c>
      <c r="AS52" s="0" t="n">
        <f aca="false">AA52*Delay+AP52</f>
        <v>0</v>
      </c>
      <c r="AT52" s="0" t="n">
        <f aca="false">IF(AS52=MIN(AS50:AS53),1,0)</f>
        <v>1</v>
      </c>
      <c r="AX52" s="0" t="str">
        <f aca="false">B52&amp;C52&amp;D52</f>
        <v>LVO</v>
      </c>
      <c r="AY52" s="1" t="n">
        <f aca="false">AQ52+AR52+AS52</f>
        <v>10</v>
      </c>
      <c r="AZ52" s="1" t="str">
        <f aca="false">RIGHT(AX52,2)</f>
        <v>VO</v>
      </c>
      <c r="BA52" s="1" t="str">
        <f aca="false">LEFT(AX52,1)&amp;RIGHT(AX52,1)</f>
        <v>LO</v>
      </c>
      <c r="BB52" s="1" t="str">
        <f aca="false">LEFT(AX52,2)</f>
        <v>LV</v>
      </c>
      <c r="BC52" s="1" t="n">
        <f aca="false">VLOOKUP(AZ52,TwoPlayers!$AG$1:$AH$17,2,FALSE())</f>
        <v>6</v>
      </c>
      <c r="BD52" s="1" t="n">
        <f aca="false">VLOOKUP(BA52,TwoPlayers!$AG$1:$AH$17,2,FALSE())</f>
        <v>4</v>
      </c>
      <c r="BE52" s="1" t="n">
        <f aca="false">VLOOKUP(BB52,TwoPlayers!$AG$1:$AH$17,2,FALSE())</f>
        <v>10</v>
      </c>
      <c r="BF52" s="1" t="n">
        <f aca="false">$AY52-BC52</f>
        <v>4</v>
      </c>
      <c r="BG52" s="1" t="n">
        <f aca="false">$AY52-BD52</f>
        <v>6</v>
      </c>
      <c r="BH52" s="1" t="n">
        <f aca="false">$AY52-BE52</f>
        <v>0</v>
      </c>
      <c r="BJ52" s="0" t="n">
        <f aca="false">AQ52+BF52</f>
        <v>8</v>
      </c>
      <c r="BK52" s="0" t="n">
        <f aca="false">AR52+BG52</f>
        <v>12</v>
      </c>
      <c r="BL52" s="0" t="n">
        <f aca="false">AS52+BH52</f>
        <v>0</v>
      </c>
      <c r="BM52" s="0" t="n">
        <f aca="false">IF(BL52=MIN(BL50:BL54),1,0)</f>
        <v>1</v>
      </c>
    </row>
    <row r="53" customFormat="false" ht="13" hidden="false" customHeight="false" outlineLevel="0" collapsed="false">
      <c r="A53" s="0" t="n">
        <v>52</v>
      </c>
      <c r="B53" s="0" t="s">
        <v>4</v>
      </c>
      <c r="C53" s="0" t="s">
        <v>1</v>
      </c>
      <c r="D53" s="0" t="s">
        <v>4</v>
      </c>
      <c r="E53" s="0" t="n">
        <f aca="false">(IF($B53="V",1,0))+IF($C53="V",1,0)+IF($D53="V",1,0)</f>
        <v>1</v>
      </c>
      <c r="F53" s="0" t="n">
        <f aca="false">(IF($B53="E",1,0))+IF($C53="E",1,0)+IF($D53="E",1,0)</f>
        <v>0</v>
      </c>
      <c r="G53" s="0" t="n">
        <f aca="false">(IF($B53="O",1,0))+IF($C53="O",1,0)+IF($D53="O",1,0)</f>
        <v>0</v>
      </c>
      <c r="H53" s="0" t="n">
        <f aca="false">(IF($B53="L",1,0))+IF($C53="L",1,0)+IF($D53="L",1,0)</f>
        <v>2</v>
      </c>
      <c r="I53" s="0" t="n">
        <f aca="false">(IF(B53="V",1,0))</f>
        <v>0</v>
      </c>
      <c r="J53" s="0" t="n">
        <f aca="false">(IF(B53="E",1,0))</f>
        <v>0</v>
      </c>
      <c r="K53" s="0" t="n">
        <f aca="false">(IF(B53="O",1,0))</f>
        <v>0</v>
      </c>
      <c r="L53" s="0" t="n">
        <f aca="false">(IF(B53="L",1,0))</f>
        <v>1</v>
      </c>
      <c r="M53" s="0" t="n">
        <f aca="false">(IF(C53="V",1,0))</f>
        <v>1</v>
      </c>
      <c r="N53" s="0" t="n">
        <f aca="false">(IF(C53="E",1,0))</f>
        <v>0</v>
      </c>
      <c r="O53" s="0" t="n">
        <f aca="false">(IF(C53="O",1,0))</f>
        <v>0</v>
      </c>
      <c r="P53" s="0" t="n">
        <f aca="false">(IF(C53="L",1,0))</f>
        <v>0</v>
      </c>
      <c r="Q53" s="0" t="n">
        <f aca="false">(IF(D53="V",1,0))</f>
        <v>0</v>
      </c>
      <c r="R53" s="0" t="n">
        <f aca="false">(IF(D53="E",1,0))</f>
        <v>0</v>
      </c>
      <c r="S53" s="0" t="n">
        <f aca="false">(IF(D53="O",1,0))</f>
        <v>0</v>
      </c>
      <c r="T53" s="0" t="n">
        <f aca="false">(IF(D53="L",1,0))</f>
        <v>1</v>
      </c>
      <c r="U53" s="0" t="n">
        <f aca="false">MAX(E53-1,0)</f>
        <v>0</v>
      </c>
      <c r="V53" s="0" t="n">
        <f aca="false">MAX(U53-1+F53,0)</f>
        <v>0</v>
      </c>
      <c r="W53" s="0" t="n">
        <f aca="false">MAX(V53-1+G53,0)</f>
        <v>0</v>
      </c>
      <c r="X53" s="0" t="n">
        <f aca="false">MAX(W53-1+H53,0)</f>
        <v>1</v>
      </c>
      <c r="Y53" s="1" t="n">
        <f aca="false">0.5*(E53*I53+F53*J53+G53*K53+H53*L53-1)+(0+$U53*J53+$V53*K53+$W53*L53)</f>
        <v>0.5</v>
      </c>
      <c r="Z53" s="1" t="n">
        <f aca="false">0.5*(E53*M53+F53*N53+G53*O53+H53*P53-1)+(0+$U53*N53+$V53*O53+$W53*P53)</f>
        <v>0</v>
      </c>
      <c r="AA53" s="1" t="n">
        <f aca="false">0.5*(E53*Q53+F53*R53+G53*S53+H53*T53-1)+(0+$U53*R53+$V53*S53+$W53*T53)</f>
        <v>0.5</v>
      </c>
      <c r="AB53" s="0" t="n">
        <f aca="false">IF(B53="V",-2,0)+IF(B53="E",-1,0)+IF(B53="O",0,0)+IF(B53="L",1,0)+Y53</f>
        <v>1.5</v>
      </c>
      <c r="AC53" s="0" t="n">
        <f aca="false">IF(C53="V",-2,0)+IF(C53="E",-1,0)+IF(C53="O",0,0)+IF(C53="L",1,0)+Z53</f>
        <v>-2</v>
      </c>
      <c r="AD53" s="0" t="n">
        <f aca="false">IF(D53="V",-2,0)+IF(D53="E",-1,0)+IF(D53="O",0,0)+IF(D53="L",1,0)+AA53</f>
        <v>1.5</v>
      </c>
      <c r="AE53" s="1" t="n">
        <f aca="false">IF(B53="V",-2,0)+IF(B53="E",-1,0)+IF(B53="O",0,0)+IF(B53="L",1,0)</f>
        <v>1</v>
      </c>
      <c r="AF53" s="1" t="n">
        <f aca="false">IF(B53="V",-2,0)+IF(B53="E",-1,0)+IF(B53="O",0,0)+IF(B53="L",1,0)+Y53</f>
        <v>1.5</v>
      </c>
      <c r="AG53" s="1" t="n">
        <f aca="false">IF(B53="V",-2,0)+IF(B53="E",-1,0)+IF(B53="O",0,0)+IF(B53="L",1,0)+Y53*2</f>
        <v>2</v>
      </c>
      <c r="AH53" s="1" t="n">
        <f aca="false">IF(C53="V",-2,0)+IF(C53="E",-1,0)+IF(C53="O",0,0)+IF(C53="L",1,0)</f>
        <v>-2</v>
      </c>
      <c r="AI53" s="1" t="n">
        <f aca="false">IF(C53="V",-2,0)+IF(C53="E",-1,0)+IF(C53="O",0,0)+IF(C53="L",1,0)+Z53</f>
        <v>-2</v>
      </c>
      <c r="AJ53" s="1" t="n">
        <f aca="false">IF(C53="V",-2,0)+IF(C53="E",-1,0)+IF(C53="O",0,0)+IF(C53="L",1,0)+Z53*2</f>
        <v>-2</v>
      </c>
      <c r="AK53" s="1" t="n">
        <f aca="false">IF(D53="V",-2,0)+IF(D53="E",-1,0)+IF(D53="O",0,0)+IF(D53="L",1,0)</f>
        <v>1</v>
      </c>
      <c r="AL53" s="1" t="n">
        <f aca="false">IF(D53="V",-2,0)+IF(D53="E",-1,0)+IF(D53="O",0,0)+IF(D53="L",1,0)+AA53</f>
        <v>1.5</v>
      </c>
      <c r="AM53" s="1" t="n">
        <f aca="false">IF(D53="V",-2,0)+IF(D53="E",-1,0)+IF(D53="O",0,0)+IF(D53="L",1,0)+AA53*2</f>
        <v>2</v>
      </c>
      <c r="AN53" s="1" t="n">
        <f aca="false">(ABS(IF(AE53&lt;0,AE53*Early,AE53*Late))+ABS(IF(AF53&lt;0,AF53*Early,AF53*Late))+ABS(IF(AG53&lt;0,AG53*Early,AG53*Late)))/3</f>
        <v>6</v>
      </c>
      <c r="AO53" s="1" t="n">
        <f aca="false">(ABS(IF(AH53&lt;0,AH53*Early,AH53*Late))+ABS(IF(AI53&lt;0,AI53*Early,AI53*Late))+ABS(IF(AJ53&lt;0,AJ53*Early,AJ53*Late)))/3</f>
        <v>6</v>
      </c>
      <c r="AP53" s="1" t="n">
        <f aca="false">(ABS(IF(AK53&lt;0,AK53*Early,AK53*Late))+ABS(IF(AL53&lt;0,AL53*Early,AL53*Late))+ABS(IF(AM53&lt;0,AM53*Early,AM53*Late)))/3</f>
        <v>6</v>
      </c>
      <c r="AQ53" s="0" t="n">
        <f aca="false">Y53*Delay+AN53</f>
        <v>6.5</v>
      </c>
      <c r="AR53" s="0" t="n">
        <f aca="false">Z53*Delay+AO53</f>
        <v>6</v>
      </c>
      <c r="AS53" s="0" t="n">
        <f aca="false">AA53*Delay+AP53</f>
        <v>6.5</v>
      </c>
      <c r="AT53" s="0" t="n">
        <f aca="false">IF(AS53=MIN(AS50:AS53),1,0)</f>
        <v>0</v>
      </c>
      <c r="AX53" s="0" t="str">
        <f aca="false">B53&amp;C53&amp;D53</f>
        <v>LVL</v>
      </c>
      <c r="AY53" s="1" t="n">
        <f aca="false">AQ53+AR53+AS53</f>
        <v>19</v>
      </c>
      <c r="AZ53" s="1" t="str">
        <f aca="false">RIGHT(AX53,2)</f>
        <v>VL</v>
      </c>
      <c r="BA53" s="1" t="str">
        <f aca="false">LEFT(AX53,1)&amp;RIGHT(AX53,1)</f>
        <v>LL</v>
      </c>
      <c r="BB53" s="1" t="str">
        <f aca="false">LEFT(AX53,2)</f>
        <v>LV</v>
      </c>
      <c r="BC53" s="1" t="n">
        <f aca="false">VLOOKUP(AZ53,TwoPlayers!$AG$1:$AH$17,2,FALSE())</f>
        <v>10</v>
      </c>
      <c r="BD53" s="1" t="n">
        <f aca="false">VLOOKUP(BA53,TwoPlayers!$AG$1:$AH$17,2,FALSE())</f>
        <v>13</v>
      </c>
      <c r="BE53" s="1" t="n">
        <f aca="false">VLOOKUP(BB53,TwoPlayers!$AG$1:$AH$17,2,FALSE())</f>
        <v>10</v>
      </c>
      <c r="BF53" s="1" t="n">
        <f aca="false">$AY53-BC53</f>
        <v>9</v>
      </c>
      <c r="BG53" s="1" t="n">
        <f aca="false">$AY53-BD53</f>
        <v>6</v>
      </c>
      <c r="BH53" s="1" t="n">
        <f aca="false">$AY53-BE53</f>
        <v>9</v>
      </c>
      <c r="BJ53" s="0" t="n">
        <f aca="false">AQ53+BF53</f>
        <v>15.5</v>
      </c>
      <c r="BK53" s="0" t="n">
        <f aca="false">AR53+BG53</f>
        <v>12</v>
      </c>
      <c r="BL53" s="0" t="n">
        <f aca="false">AS53+BH53</f>
        <v>15.5</v>
      </c>
      <c r="BM53" s="0" t="n">
        <f aca="false">IF(BL53=MIN(BL50:BL54),1,0)</f>
        <v>0</v>
      </c>
    </row>
    <row r="54" customFormat="false" ht="13" hidden="false" customHeight="false" outlineLevel="0" collapsed="false">
      <c r="A54" s="0" t="n">
        <v>53</v>
      </c>
      <c r="B54" s="0" t="s">
        <v>4</v>
      </c>
      <c r="C54" s="0" t="s">
        <v>2</v>
      </c>
      <c r="D54" s="0" t="s">
        <v>1</v>
      </c>
      <c r="E54" s="0" t="n">
        <f aca="false">(IF($B54="V",1,0))+IF($C54="V",1,0)+IF($D54="V",1,0)</f>
        <v>1</v>
      </c>
      <c r="F54" s="0" t="n">
        <f aca="false">(IF($B54="E",1,0))+IF($C54="E",1,0)+IF($D54="E",1,0)</f>
        <v>1</v>
      </c>
      <c r="G54" s="0" t="n">
        <f aca="false">(IF($B54="O",1,0))+IF($C54="O",1,0)+IF($D54="O",1,0)</f>
        <v>0</v>
      </c>
      <c r="H54" s="0" t="n">
        <f aca="false">(IF($B54="L",1,0))+IF($C54="L",1,0)+IF($D54="L",1,0)</f>
        <v>1</v>
      </c>
      <c r="I54" s="0" t="n">
        <f aca="false">(IF(B54="V",1,0))</f>
        <v>0</v>
      </c>
      <c r="J54" s="0" t="n">
        <f aca="false">(IF(B54="E",1,0))</f>
        <v>0</v>
      </c>
      <c r="K54" s="0" t="n">
        <f aca="false">(IF(B54="O",1,0))</f>
        <v>0</v>
      </c>
      <c r="L54" s="0" t="n">
        <f aca="false">(IF(B54="L",1,0))</f>
        <v>1</v>
      </c>
      <c r="M54" s="0" t="n">
        <f aca="false">(IF(C54="V",1,0))</f>
        <v>0</v>
      </c>
      <c r="N54" s="0" t="n">
        <f aca="false">(IF(C54="E",1,0))</f>
        <v>1</v>
      </c>
      <c r="O54" s="0" t="n">
        <f aca="false">(IF(C54="O",1,0))</f>
        <v>0</v>
      </c>
      <c r="P54" s="0" t="n">
        <f aca="false">(IF(C54="L",1,0))</f>
        <v>0</v>
      </c>
      <c r="Q54" s="0" t="n">
        <f aca="false">(IF(D54="V",1,0))</f>
        <v>1</v>
      </c>
      <c r="R54" s="0" t="n">
        <f aca="false">(IF(D54="E",1,0))</f>
        <v>0</v>
      </c>
      <c r="S54" s="0" t="n">
        <f aca="false">(IF(D54="O",1,0))</f>
        <v>0</v>
      </c>
      <c r="T54" s="0" t="n">
        <f aca="false">(IF(D54="L",1,0))</f>
        <v>0</v>
      </c>
      <c r="U54" s="0" t="n">
        <f aca="false">MAX(E54-1,0)</f>
        <v>0</v>
      </c>
      <c r="V54" s="0" t="n">
        <f aca="false">MAX(U54-1+F54,0)</f>
        <v>0</v>
      </c>
      <c r="W54" s="0" t="n">
        <f aca="false">MAX(V54-1+G54,0)</f>
        <v>0</v>
      </c>
      <c r="X54" s="0" t="n">
        <f aca="false">MAX(W54-1+H54,0)</f>
        <v>0</v>
      </c>
      <c r="Y54" s="1" t="n">
        <f aca="false">0.5*(E54*I54+F54*J54+G54*K54+H54*L54-1)+(0+$U54*J54+$V54*K54+$W54*L54)</f>
        <v>0</v>
      </c>
      <c r="Z54" s="1" t="n">
        <f aca="false">0.5*(E54*M54+F54*N54+G54*O54+H54*P54-1)+(0+$U54*N54+$V54*O54+$W54*P54)</f>
        <v>0</v>
      </c>
      <c r="AA54" s="1" t="n">
        <f aca="false">0.5*(E54*Q54+F54*R54+G54*S54+H54*T54-1)+(0+$U54*R54+$V54*S54+$W54*T54)</f>
        <v>0</v>
      </c>
      <c r="AB54" s="0" t="n">
        <f aca="false">IF(B54="V",-2,0)+IF(B54="E",-1,0)+IF(B54="O",0,0)+IF(B54="L",1,0)+Y54</f>
        <v>1</v>
      </c>
      <c r="AC54" s="0" t="n">
        <f aca="false">IF(C54="V",-2,0)+IF(C54="E",-1,0)+IF(C54="O",0,0)+IF(C54="L",1,0)+Z54</f>
        <v>-1</v>
      </c>
      <c r="AD54" s="0" t="n">
        <f aca="false">IF(D54="V",-2,0)+IF(D54="E",-1,0)+IF(D54="O",0,0)+IF(D54="L",1,0)+AA54</f>
        <v>-2</v>
      </c>
      <c r="AE54" s="1" t="n">
        <f aca="false">IF(B54="V",-2,0)+IF(B54="E",-1,0)+IF(B54="O",0,0)+IF(B54="L",1,0)</f>
        <v>1</v>
      </c>
      <c r="AF54" s="1" t="n">
        <f aca="false">IF(B54="V",-2,0)+IF(B54="E",-1,0)+IF(B54="O",0,0)+IF(B54="L",1,0)+Y54</f>
        <v>1</v>
      </c>
      <c r="AG54" s="1" t="n">
        <f aca="false">IF(B54="V",-2,0)+IF(B54="E",-1,0)+IF(B54="O",0,0)+IF(B54="L",1,0)+Y54*2</f>
        <v>1</v>
      </c>
      <c r="AH54" s="1" t="n">
        <f aca="false">IF(C54="V",-2,0)+IF(C54="E",-1,0)+IF(C54="O",0,0)+IF(C54="L",1,0)</f>
        <v>-1</v>
      </c>
      <c r="AI54" s="1" t="n">
        <f aca="false">IF(C54="V",-2,0)+IF(C54="E",-1,0)+IF(C54="O",0,0)+IF(C54="L",1,0)+Z54</f>
        <v>-1</v>
      </c>
      <c r="AJ54" s="1" t="n">
        <f aca="false">IF(C54="V",-2,0)+IF(C54="E",-1,0)+IF(C54="O",0,0)+IF(C54="L",1,0)+Z54*2</f>
        <v>-1</v>
      </c>
      <c r="AK54" s="1" t="n">
        <f aca="false">IF(D54="V",-2,0)+IF(D54="E",-1,0)+IF(D54="O",0,0)+IF(D54="L",1,0)</f>
        <v>-2</v>
      </c>
      <c r="AL54" s="1" t="n">
        <f aca="false">IF(D54="V",-2,0)+IF(D54="E",-1,0)+IF(D54="O",0,0)+IF(D54="L",1,0)+AA54</f>
        <v>-2</v>
      </c>
      <c r="AM54" s="1" t="n">
        <f aca="false">IF(D54="V",-2,0)+IF(D54="E",-1,0)+IF(D54="O",0,0)+IF(D54="L",1,0)+AA54*2</f>
        <v>-2</v>
      </c>
      <c r="AN54" s="1" t="n">
        <f aca="false">(ABS(IF(AE54&lt;0,AE54*Early,AE54*Late))+ABS(IF(AF54&lt;0,AF54*Early,AF54*Late))+ABS(IF(AG54&lt;0,AG54*Early,AG54*Late)))/3</f>
        <v>4</v>
      </c>
      <c r="AO54" s="1" t="n">
        <f aca="false">(ABS(IF(AH54&lt;0,AH54*Early,AH54*Late))+ABS(IF(AI54&lt;0,AI54*Early,AI54*Late))+ABS(IF(AJ54&lt;0,AJ54*Early,AJ54*Late)))/3</f>
        <v>3</v>
      </c>
      <c r="AP54" s="1" t="n">
        <f aca="false">(ABS(IF(AK54&lt;0,AK54*Early,AK54*Late))+ABS(IF(AL54&lt;0,AL54*Early,AL54*Late))+ABS(IF(AM54&lt;0,AM54*Early,AM54*Late)))/3</f>
        <v>6</v>
      </c>
      <c r="AQ54" s="0" t="n">
        <f aca="false">Y54*Delay+AN54</f>
        <v>4</v>
      </c>
      <c r="AR54" s="0" t="n">
        <f aca="false">Z54*Delay+AO54</f>
        <v>3</v>
      </c>
      <c r="AS54" s="0" t="n">
        <f aca="false">AA54*Delay+AP54</f>
        <v>6</v>
      </c>
      <c r="AT54" s="0" t="n">
        <f aca="false">IF(AS54=MIN(AS54:AS57),1,0)</f>
        <v>0</v>
      </c>
      <c r="AX54" s="0" t="str">
        <f aca="false">B54&amp;C54&amp;D54</f>
        <v>LEV</v>
      </c>
      <c r="AY54" s="1" t="n">
        <f aca="false">AQ54+AR54+AS54</f>
        <v>13</v>
      </c>
      <c r="AZ54" s="1" t="str">
        <f aca="false">RIGHT(AX54,2)</f>
        <v>EV</v>
      </c>
      <c r="BA54" s="1" t="str">
        <f aca="false">LEFT(AX54,1)&amp;RIGHT(AX54,1)</f>
        <v>LV</v>
      </c>
      <c r="BB54" s="1" t="str">
        <f aca="false">LEFT(AX54,2)</f>
        <v>LE</v>
      </c>
      <c r="BC54" s="1" t="n">
        <f aca="false">VLOOKUP(AZ54,TwoPlayers!$AG$1:$AH$17,2,FALSE())</f>
        <v>9</v>
      </c>
      <c r="BD54" s="1" t="n">
        <f aca="false">VLOOKUP(BA54,TwoPlayers!$AG$1:$AH$17,2,FALSE())</f>
        <v>10</v>
      </c>
      <c r="BE54" s="1" t="n">
        <f aca="false">VLOOKUP(BB54,TwoPlayers!$AG$1:$AH$17,2,FALSE())</f>
        <v>7</v>
      </c>
      <c r="BF54" s="1" t="n">
        <f aca="false">$AY54-BC54</f>
        <v>4</v>
      </c>
      <c r="BG54" s="1" t="n">
        <f aca="false">$AY54-BD54</f>
        <v>3</v>
      </c>
      <c r="BH54" s="1" t="n">
        <f aca="false">$AY54-BE54</f>
        <v>6</v>
      </c>
      <c r="BJ54" s="0" t="n">
        <f aca="false">AQ54+BF54</f>
        <v>8</v>
      </c>
      <c r="BK54" s="0" t="n">
        <f aca="false">AR54+BG54</f>
        <v>6</v>
      </c>
      <c r="BL54" s="0" t="n">
        <f aca="false">AS54+BH54</f>
        <v>12</v>
      </c>
      <c r="BM54" s="0" t="n">
        <f aca="false">IF(BL54=MIN(BL54:BL58),1,0)</f>
        <v>0</v>
      </c>
    </row>
    <row r="55" customFormat="false" ht="13" hidden="false" customHeight="false" outlineLevel="0" collapsed="false">
      <c r="A55" s="0" t="n">
        <v>54</v>
      </c>
      <c r="B55" s="0" t="s">
        <v>4</v>
      </c>
      <c r="C55" s="0" t="s">
        <v>2</v>
      </c>
      <c r="D55" s="0" t="s">
        <v>2</v>
      </c>
      <c r="E55" s="0" t="n">
        <f aca="false">(IF($B55="V",1,0))+IF($C55="V",1,0)+IF($D55="V",1,0)</f>
        <v>0</v>
      </c>
      <c r="F55" s="0" t="n">
        <f aca="false">(IF($B55="E",1,0))+IF($C55="E",1,0)+IF($D55="E",1,0)</f>
        <v>2</v>
      </c>
      <c r="G55" s="0" t="n">
        <f aca="false">(IF($B55="O",1,0))+IF($C55="O",1,0)+IF($D55="O",1,0)</f>
        <v>0</v>
      </c>
      <c r="H55" s="0" t="n">
        <f aca="false">(IF($B55="L",1,0))+IF($C55="L",1,0)+IF($D55="L",1,0)</f>
        <v>1</v>
      </c>
      <c r="I55" s="0" t="n">
        <f aca="false">(IF(B55="V",1,0))</f>
        <v>0</v>
      </c>
      <c r="J55" s="0" t="n">
        <f aca="false">(IF(B55="E",1,0))</f>
        <v>0</v>
      </c>
      <c r="K55" s="0" t="n">
        <f aca="false">(IF(B55="O",1,0))</f>
        <v>0</v>
      </c>
      <c r="L55" s="0" t="n">
        <f aca="false">(IF(B55="L",1,0))</f>
        <v>1</v>
      </c>
      <c r="M55" s="0" t="n">
        <f aca="false">(IF(C55="V",1,0))</f>
        <v>0</v>
      </c>
      <c r="N55" s="0" t="n">
        <f aca="false">(IF(C55="E",1,0))</f>
        <v>1</v>
      </c>
      <c r="O55" s="0" t="n">
        <f aca="false">(IF(C55="O",1,0))</f>
        <v>0</v>
      </c>
      <c r="P55" s="0" t="n">
        <f aca="false">(IF(C55="L",1,0))</f>
        <v>0</v>
      </c>
      <c r="Q55" s="0" t="n">
        <f aca="false">(IF(D55="V",1,0))</f>
        <v>0</v>
      </c>
      <c r="R55" s="0" t="n">
        <f aca="false">(IF(D55="E",1,0))</f>
        <v>1</v>
      </c>
      <c r="S55" s="0" t="n">
        <f aca="false">(IF(D55="O",1,0))</f>
        <v>0</v>
      </c>
      <c r="T55" s="0" t="n">
        <f aca="false">(IF(D55="L",1,0))</f>
        <v>0</v>
      </c>
      <c r="U55" s="0" t="n">
        <f aca="false">MAX(E55-1,0)</f>
        <v>0</v>
      </c>
      <c r="V55" s="0" t="n">
        <f aca="false">MAX(U55-1+F55,0)</f>
        <v>1</v>
      </c>
      <c r="W55" s="0" t="n">
        <f aca="false">MAX(V55-1+G55,0)</f>
        <v>0</v>
      </c>
      <c r="X55" s="0" t="n">
        <f aca="false">MAX(W55-1+H55,0)</f>
        <v>0</v>
      </c>
      <c r="Y55" s="1" t="n">
        <f aca="false">0.5*(E55*I55+F55*J55+G55*K55+H55*L55-1)+(0+$U55*J55+$V55*K55+$W55*L55)</f>
        <v>0</v>
      </c>
      <c r="Z55" s="1" t="n">
        <f aca="false">0.5*(E55*M55+F55*N55+G55*O55+H55*P55-1)+(0+$U55*N55+$V55*O55+$W55*P55)</f>
        <v>0.5</v>
      </c>
      <c r="AA55" s="1" t="n">
        <f aca="false">0.5*(E55*Q55+F55*R55+G55*S55+H55*T55-1)+(0+$U55*R55+$V55*S55+$W55*T55)</f>
        <v>0.5</v>
      </c>
      <c r="AB55" s="0" t="n">
        <f aca="false">IF(B55="V",-2,0)+IF(B55="E",-1,0)+IF(B55="O",0,0)+IF(B55="L",1,0)+Y55</f>
        <v>1</v>
      </c>
      <c r="AC55" s="0" t="n">
        <f aca="false">IF(C55="V",-2,0)+IF(C55="E",-1,0)+IF(C55="O",0,0)+IF(C55="L",1,0)+Z55</f>
        <v>-0.5</v>
      </c>
      <c r="AD55" s="0" t="n">
        <f aca="false">IF(D55="V",-2,0)+IF(D55="E",-1,0)+IF(D55="O",0,0)+IF(D55="L",1,0)+AA55</f>
        <v>-0.5</v>
      </c>
      <c r="AE55" s="1" t="n">
        <f aca="false">IF(B55="V",-2,0)+IF(B55="E",-1,0)+IF(B55="O",0,0)+IF(B55="L",1,0)</f>
        <v>1</v>
      </c>
      <c r="AF55" s="1" t="n">
        <f aca="false">IF(B55="V",-2,0)+IF(B55="E",-1,0)+IF(B55="O",0,0)+IF(B55="L",1,0)+Y55</f>
        <v>1</v>
      </c>
      <c r="AG55" s="1" t="n">
        <f aca="false">IF(B55="V",-2,0)+IF(B55="E",-1,0)+IF(B55="O",0,0)+IF(B55="L",1,0)+Y55*2</f>
        <v>1</v>
      </c>
      <c r="AH55" s="1" t="n">
        <f aca="false">IF(C55="V",-2,0)+IF(C55="E",-1,0)+IF(C55="O",0,0)+IF(C55="L",1,0)</f>
        <v>-1</v>
      </c>
      <c r="AI55" s="1" t="n">
        <f aca="false">IF(C55="V",-2,0)+IF(C55="E",-1,0)+IF(C55="O",0,0)+IF(C55="L",1,0)+Z55</f>
        <v>-0.5</v>
      </c>
      <c r="AJ55" s="1" t="n">
        <f aca="false">IF(C55="V",-2,0)+IF(C55="E",-1,0)+IF(C55="O",0,0)+IF(C55="L",1,0)+Z55*2</f>
        <v>0</v>
      </c>
      <c r="AK55" s="1" t="n">
        <f aca="false">IF(D55="V",-2,0)+IF(D55="E",-1,0)+IF(D55="O",0,0)+IF(D55="L",1,0)</f>
        <v>-1</v>
      </c>
      <c r="AL55" s="1" t="n">
        <f aca="false">IF(D55="V",-2,0)+IF(D55="E",-1,0)+IF(D55="O",0,0)+IF(D55="L",1,0)+AA55</f>
        <v>-0.5</v>
      </c>
      <c r="AM55" s="1" t="n">
        <f aca="false">IF(D55="V",-2,0)+IF(D55="E",-1,0)+IF(D55="O",0,0)+IF(D55="L",1,0)+AA55*2</f>
        <v>0</v>
      </c>
      <c r="AN55" s="1" t="n">
        <f aca="false">(ABS(IF(AE55&lt;0,AE55*Early,AE55*Late))+ABS(IF(AF55&lt;0,AF55*Early,AF55*Late))+ABS(IF(AG55&lt;0,AG55*Early,AG55*Late)))/3</f>
        <v>4</v>
      </c>
      <c r="AO55" s="1" t="n">
        <f aca="false">(ABS(IF(AH55&lt;0,AH55*Early,AH55*Late))+ABS(IF(AI55&lt;0,AI55*Early,AI55*Late))+ABS(IF(AJ55&lt;0,AJ55*Early,AJ55*Late)))/3</f>
        <v>1.5</v>
      </c>
      <c r="AP55" s="1" t="n">
        <f aca="false">(ABS(IF(AK55&lt;0,AK55*Early,AK55*Late))+ABS(IF(AL55&lt;0,AL55*Early,AL55*Late))+ABS(IF(AM55&lt;0,AM55*Early,AM55*Late)))/3</f>
        <v>1.5</v>
      </c>
      <c r="AQ55" s="0" t="n">
        <f aca="false">Y55*Delay+AN55</f>
        <v>4</v>
      </c>
      <c r="AR55" s="0" t="n">
        <f aca="false">Z55*Delay+AO55</f>
        <v>2</v>
      </c>
      <c r="AS55" s="0" t="n">
        <f aca="false">AA55*Delay+AP55</f>
        <v>2</v>
      </c>
      <c r="AT55" s="0" t="n">
        <f aca="false">IF(AS55=MIN(AS54:AS57),1,0)</f>
        <v>0</v>
      </c>
      <c r="AX55" s="0" t="str">
        <f aca="false">B55&amp;C55&amp;D55</f>
        <v>LEE</v>
      </c>
      <c r="AY55" s="1" t="n">
        <f aca="false">AQ55+AR55+AS55</f>
        <v>8</v>
      </c>
      <c r="AZ55" s="1" t="str">
        <f aca="false">RIGHT(AX55,2)</f>
        <v>EE</v>
      </c>
      <c r="BA55" s="1" t="str">
        <f aca="false">LEFT(AX55,1)&amp;RIGHT(AX55,1)</f>
        <v>LE</v>
      </c>
      <c r="BB55" s="1" t="str">
        <f aca="false">LEFT(AX55,2)</f>
        <v>LE</v>
      </c>
      <c r="BC55" s="1" t="n">
        <f aca="false">VLOOKUP(AZ55,TwoPlayers!$AG$1:$AH$17,2,FALSE())</f>
        <v>4</v>
      </c>
      <c r="BD55" s="1" t="n">
        <f aca="false">VLOOKUP(BA55,TwoPlayers!$AG$1:$AH$17,2,FALSE())</f>
        <v>7</v>
      </c>
      <c r="BE55" s="1" t="n">
        <f aca="false">VLOOKUP(BB55,TwoPlayers!$AG$1:$AH$17,2,FALSE())</f>
        <v>7</v>
      </c>
      <c r="BF55" s="1" t="n">
        <f aca="false">$AY55-BC55</f>
        <v>4</v>
      </c>
      <c r="BG55" s="1" t="n">
        <f aca="false">$AY55-BD55</f>
        <v>1</v>
      </c>
      <c r="BH55" s="1" t="n">
        <f aca="false">$AY55-BE55</f>
        <v>1</v>
      </c>
      <c r="BJ55" s="0" t="n">
        <f aca="false">AQ55+BF55</f>
        <v>8</v>
      </c>
      <c r="BK55" s="0" t="n">
        <f aca="false">AR55+BG55</f>
        <v>3</v>
      </c>
      <c r="BL55" s="0" t="n">
        <f aca="false">AS55+BH55</f>
        <v>3</v>
      </c>
      <c r="BM55" s="0" t="n">
        <f aca="false">IF(BL55=MIN(BL54:BL58),1,0)</f>
        <v>0</v>
      </c>
    </row>
    <row r="56" customFormat="false" ht="13" hidden="false" customHeight="false" outlineLevel="0" collapsed="false">
      <c r="A56" s="0" t="n">
        <v>55</v>
      </c>
      <c r="B56" s="0" t="s">
        <v>4</v>
      </c>
      <c r="C56" s="0" t="s">
        <v>2</v>
      </c>
      <c r="D56" s="0" t="s">
        <v>3</v>
      </c>
      <c r="E56" s="0" t="n">
        <f aca="false">(IF($B56="V",1,0))+IF($C56="V",1,0)+IF($D56="V",1,0)</f>
        <v>0</v>
      </c>
      <c r="F56" s="0" t="n">
        <f aca="false">(IF($B56="E",1,0))+IF($C56="E",1,0)+IF($D56="E",1,0)</f>
        <v>1</v>
      </c>
      <c r="G56" s="0" t="n">
        <f aca="false">(IF($B56="O",1,0))+IF($C56="O",1,0)+IF($D56="O",1,0)</f>
        <v>1</v>
      </c>
      <c r="H56" s="0" t="n">
        <f aca="false">(IF($B56="L",1,0))+IF($C56="L",1,0)+IF($D56="L",1,0)</f>
        <v>1</v>
      </c>
      <c r="I56" s="0" t="n">
        <f aca="false">(IF(B56="V",1,0))</f>
        <v>0</v>
      </c>
      <c r="J56" s="0" t="n">
        <f aca="false">(IF(B56="E",1,0))</f>
        <v>0</v>
      </c>
      <c r="K56" s="0" t="n">
        <f aca="false">(IF(B56="O",1,0))</f>
        <v>0</v>
      </c>
      <c r="L56" s="0" t="n">
        <f aca="false">(IF(B56="L",1,0))</f>
        <v>1</v>
      </c>
      <c r="M56" s="0" t="n">
        <f aca="false">(IF(C56="V",1,0))</f>
        <v>0</v>
      </c>
      <c r="N56" s="0" t="n">
        <f aca="false">(IF(C56="E",1,0))</f>
        <v>1</v>
      </c>
      <c r="O56" s="0" t="n">
        <f aca="false">(IF(C56="O",1,0))</f>
        <v>0</v>
      </c>
      <c r="P56" s="0" t="n">
        <f aca="false">(IF(C56="L",1,0))</f>
        <v>0</v>
      </c>
      <c r="Q56" s="0" t="n">
        <f aca="false">(IF(D56="V",1,0))</f>
        <v>0</v>
      </c>
      <c r="R56" s="0" t="n">
        <f aca="false">(IF(D56="E",1,0))</f>
        <v>0</v>
      </c>
      <c r="S56" s="0" t="n">
        <f aca="false">(IF(D56="O",1,0))</f>
        <v>1</v>
      </c>
      <c r="T56" s="0" t="n">
        <f aca="false">(IF(D56="L",1,0))</f>
        <v>0</v>
      </c>
      <c r="U56" s="0" t="n">
        <f aca="false">MAX(E56-1,0)</f>
        <v>0</v>
      </c>
      <c r="V56" s="0" t="n">
        <f aca="false">MAX(U56-1+F56,0)</f>
        <v>0</v>
      </c>
      <c r="W56" s="0" t="n">
        <f aca="false">MAX(V56-1+G56,0)</f>
        <v>0</v>
      </c>
      <c r="X56" s="0" t="n">
        <f aca="false">MAX(W56-1+H56,0)</f>
        <v>0</v>
      </c>
      <c r="Y56" s="1" t="n">
        <f aca="false">0.5*(E56*I56+F56*J56+G56*K56+H56*L56-1)+(0+$U56*J56+$V56*K56+$W56*L56)</f>
        <v>0</v>
      </c>
      <c r="Z56" s="1" t="n">
        <f aca="false">0.5*(E56*M56+F56*N56+G56*O56+H56*P56-1)+(0+$U56*N56+$V56*O56+$W56*P56)</f>
        <v>0</v>
      </c>
      <c r="AA56" s="1" t="n">
        <f aca="false">0.5*(E56*Q56+F56*R56+G56*S56+H56*T56-1)+(0+$U56*R56+$V56*S56+$W56*T56)</f>
        <v>0</v>
      </c>
      <c r="AB56" s="0" t="n">
        <f aca="false">IF(B56="V",-2,0)+IF(B56="E",-1,0)+IF(B56="O",0,0)+IF(B56="L",1,0)+Y56</f>
        <v>1</v>
      </c>
      <c r="AC56" s="0" t="n">
        <f aca="false">IF(C56="V",-2,0)+IF(C56="E",-1,0)+IF(C56="O",0,0)+IF(C56="L",1,0)+Z56</f>
        <v>-1</v>
      </c>
      <c r="AD56" s="0" t="n">
        <f aca="false">IF(D56="V",-2,0)+IF(D56="E",-1,0)+IF(D56="O",0,0)+IF(D56="L",1,0)+AA56</f>
        <v>0</v>
      </c>
      <c r="AE56" s="1" t="n">
        <f aca="false">IF(B56="V",-2,0)+IF(B56="E",-1,0)+IF(B56="O",0,0)+IF(B56="L",1,0)</f>
        <v>1</v>
      </c>
      <c r="AF56" s="1" t="n">
        <f aca="false">IF(B56="V",-2,0)+IF(B56="E",-1,0)+IF(B56="O",0,0)+IF(B56="L",1,0)+Y56</f>
        <v>1</v>
      </c>
      <c r="AG56" s="1" t="n">
        <f aca="false">IF(B56="V",-2,0)+IF(B56="E",-1,0)+IF(B56="O",0,0)+IF(B56="L",1,0)+Y56*2</f>
        <v>1</v>
      </c>
      <c r="AH56" s="1" t="n">
        <f aca="false">IF(C56="V",-2,0)+IF(C56="E",-1,0)+IF(C56="O",0,0)+IF(C56="L",1,0)</f>
        <v>-1</v>
      </c>
      <c r="AI56" s="1" t="n">
        <f aca="false">IF(C56="V",-2,0)+IF(C56="E",-1,0)+IF(C56="O",0,0)+IF(C56="L",1,0)+Z56</f>
        <v>-1</v>
      </c>
      <c r="AJ56" s="1" t="n">
        <f aca="false">IF(C56="V",-2,0)+IF(C56="E",-1,0)+IF(C56="O",0,0)+IF(C56="L",1,0)+Z56*2</f>
        <v>-1</v>
      </c>
      <c r="AK56" s="1" t="n">
        <f aca="false">IF(D56="V",-2,0)+IF(D56="E",-1,0)+IF(D56="O",0,0)+IF(D56="L",1,0)</f>
        <v>0</v>
      </c>
      <c r="AL56" s="1" t="n">
        <f aca="false">IF(D56="V",-2,0)+IF(D56="E",-1,0)+IF(D56="O",0,0)+IF(D56="L",1,0)+AA56</f>
        <v>0</v>
      </c>
      <c r="AM56" s="1" t="n">
        <f aca="false">IF(D56="V",-2,0)+IF(D56="E",-1,0)+IF(D56="O",0,0)+IF(D56="L",1,0)+AA56*2</f>
        <v>0</v>
      </c>
      <c r="AN56" s="1" t="n">
        <f aca="false">(ABS(IF(AE56&lt;0,AE56*Early,AE56*Late))+ABS(IF(AF56&lt;0,AF56*Early,AF56*Late))+ABS(IF(AG56&lt;0,AG56*Early,AG56*Late)))/3</f>
        <v>4</v>
      </c>
      <c r="AO56" s="1" t="n">
        <f aca="false">(ABS(IF(AH56&lt;0,AH56*Early,AH56*Late))+ABS(IF(AI56&lt;0,AI56*Early,AI56*Late))+ABS(IF(AJ56&lt;0,AJ56*Early,AJ56*Late)))/3</f>
        <v>3</v>
      </c>
      <c r="AP56" s="1" t="n">
        <f aca="false">(ABS(IF(AK56&lt;0,AK56*Early,AK56*Late))+ABS(IF(AL56&lt;0,AL56*Early,AL56*Late))+ABS(IF(AM56&lt;0,AM56*Early,AM56*Late)))/3</f>
        <v>0</v>
      </c>
      <c r="AQ56" s="0" t="n">
        <f aca="false">Y56*Delay+AN56</f>
        <v>4</v>
      </c>
      <c r="AR56" s="0" t="n">
        <f aca="false">Z56*Delay+AO56</f>
        <v>3</v>
      </c>
      <c r="AS56" s="0" t="n">
        <f aca="false">AA56*Delay+AP56</f>
        <v>0</v>
      </c>
      <c r="AT56" s="0" t="n">
        <f aca="false">IF(AS56=MIN(AS54:AS57),1,0)</f>
        <v>1</v>
      </c>
      <c r="AX56" s="0" t="str">
        <f aca="false">B56&amp;C56&amp;D56</f>
        <v>LEO</v>
      </c>
      <c r="AY56" s="1" t="n">
        <f aca="false">AQ56+AR56+AS56</f>
        <v>7</v>
      </c>
      <c r="AZ56" s="1" t="str">
        <f aca="false">RIGHT(AX56,2)</f>
        <v>EO</v>
      </c>
      <c r="BA56" s="1" t="str">
        <f aca="false">LEFT(AX56,1)&amp;RIGHT(AX56,1)</f>
        <v>LO</v>
      </c>
      <c r="BB56" s="1" t="str">
        <f aca="false">LEFT(AX56,2)</f>
        <v>LE</v>
      </c>
      <c r="BC56" s="1" t="n">
        <f aca="false">VLOOKUP(AZ56,TwoPlayers!$AG$1:$AH$17,2,FALSE())</f>
        <v>3</v>
      </c>
      <c r="BD56" s="1" t="n">
        <f aca="false">VLOOKUP(BA56,TwoPlayers!$AG$1:$AH$17,2,FALSE())</f>
        <v>4</v>
      </c>
      <c r="BE56" s="1" t="n">
        <f aca="false">VLOOKUP(BB56,TwoPlayers!$AG$1:$AH$17,2,FALSE())</f>
        <v>7</v>
      </c>
      <c r="BF56" s="1" t="n">
        <f aca="false">$AY56-BC56</f>
        <v>4</v>
      </c>
      <c r="BG56" s="1" t="n">
        <f aca="false">$AY56-BD56</f>
        <v>3</v>
      </c>
      <c r="BH56" s="1" t="n">
        <f aca="false">$AY56-BE56</f>
        <v>0</v>
      </c>
      <c r="BJ56" s="0" t="n">
        <f aca="false">AQ56+BF56</f>
        <v>8</v>
      </c>
      <c r="BK56" s="0" t="n">
        <f aca="false">AR56+BG56</f>
        <v>6</v>
      </c>
      <c r="BL56" s="0" t="n">
        <f aca="false">AS56+BH56</f>
        <v>0</v>
      </c>
      <c r="BM56" s="0" t="n">
        <f aca="false">IF(BL56=MIN(BL54:BL58),1,0)</f>
        <v>1</v>
      </c>
    </row>
    <row r="57" customFormat="false" ht="13" hidden="false" customHeight="false" outlineLevel="0" collapsed="false">
      <c r="A57" s="0" t="n">
        <v>56</v>
      </c>
      <c r="B57" s="0" t="s">
        <v>4</v>
      </c>
      <c r="C57" s="0" t="s">
        <v>2</v>
      </c>
      <c r="D57" s="0" t="s">
        <v>4</v>
      </c>
      <c r="E57" s="0" t="n">
        <f aca="false">(IF($B57="V",1,0))+IF($C57="V",1,0)+IF($D57="V",1,0)</f>
        <v>0</v>
      </c>
      <c r="F57" s="0" t="n">
        <f aca="false">(IF($B57="E",1,0))+IF($C57="E",1,0)+IF($D57="E",1,0)</f>
        <v>1</v>
      </c>
      <c r="G57" s="0" t="n">
        <f aca="false">(IF($B57="O",1,0))+IF($C57="O",1,0)+IF($D57="O",1,0)</f>
        <v>0</v>
      </c>
      <c r="H57" s="0" t="n">
        <f aca="false">(IF($B57="L",1,0))+IF($C57="L",1,0)+IF($D57="L",1,0)</f>
        <v>2</v>
      </c>
      <c r="I57" s="0" t="n">
        <f aca="false">(IF(B57="V",1,0))</f>
        <v>0</v>
      </c>
      <c r="J57" s="0" t="n">
        <f aca="false">(IF(B57="E",1,0))</f>
        <v>0</v>
      </c>
      <c r="K57" s="0" t="n">
        <f aca="false">(IF(B57="O",1,0))</f>
        <v>0</v>
      </c>
      <c r="L57" s="0" t="n">
        <f aca="false">(IF(B57="L",1,0))</f>
        <v>1</v>
      </c>
      <c r="M57" s="0" t="n">
        <f aca="false">(IF(C57="V",1,0))</f>
        <v>0</v>
      </c>
      <c r="N57" s="0" t="n">
        <f aca="false">(IF(C57="E",1,0))</f>
        <v>1</v>
      </c>
      <c r="O57" s="0" t="n">
        <f aca="false">(IF(C57="O",1,0))</f>
        <v>0</v>
      </c>
      <c r="P57" s="0" t="n">
        <f aca="false">(IF(C57="L",1,0))</f>
        <v>0</v>
      </c>
      <c r="Q57" s="0" t="n">
        <f aca="false">(IF(D57="V",1,0))</f>
        <v>0</v>
      </c>
      <c r="R57" s="0" t="n">
        <f aca="false">(IF(D57="E",1,0))</f>
        <v>0</v>
      </c>
      <c r="S57" s="0" t="n">
        <f aca="false">(IF(D57="O",1,0))</f>
        <v>0</v>
      </c>
      <c r="T57" s="0" t="n">
        <f aca="false">(IF(D57="L",1,0))</f>
        <v>1</v>
      </c>
      <c r="U57" s="0" t="n">
        <f aca="false">MAX(E57-1,0)</f>
        <v>0</v>
      </c>
      <c r="V57" s="0" t="n">
        <f aca="false">MAX(U57-1+F57,0)</f>
        <v>0</v>
      </c>
      <c r="W57" s="0" t="n">
        <f aca="false">MAX(V57-1+G57,0)</f>
        <v>0</v>
      </c>
      <c r="X57" s="0" t="n">
        <f aca="false">MAX(W57-1+H57,0)</f>
        <v>1</v>
      </c>
      <c r="Y57" s="1" t="n">
        <f aca="false">0.5*(E57*I57+F57*J57+G57*K57+H57*L57-1)+(0+$U57*J57+$V57*K57+$W57*L57)</f>
        <v>0.5</v>
      </c>
      <c r="Z57" s="1" t="n">
        <f aca="false">0.5*(E57*M57+F57*N57+G57*O57+H57*P57-1)+(0+$U57*N57+$V57*O57+$W57*P57)</f>
        <v>0</v>
      </c>
      <c r="AA57" s="1" t="n">
        <f aca="false">0.5*(E57*Q57+F57*R57+G57*S57+H57*T57-1)+(0+$U57*R57+$V57*S57+$W57*T57)</f>
        <v>0.5</v>
      </c>
      <c r="AB57" s="0" t="n">
        <f aca="false">IF(B57="V",-2,0)+IF(B57="E",-1,0)+IF(B57="O",0,0)+IF(B57="L",1,0)+Y57</f>
        <v>1.5</v>
      </c>
      <c r="AC57" s="0" t="n">
        <f aca="false">IF(C57="V",-2,0)+IF(C57="E",-1,0)+IF(C57="O",0,0)+IF(C57="L",1,0)+Z57</f>
        <v>-1</v>
      </c>
      <c r="AD57" s="0" t="n">
        <f aca="false">IF(D57="V",-2,0)+IF(D57="E",-1,0)+IF(D57="O",0,0)+IF(D57="L",1,0)+AA57</f>
        <v>1.5</v>
      </c>
      <c r="AE57" s="1" t="n">
        <f aca="false">IF(B57="V",-2,0)+IF(B57="E",-1,0)+IF(B57="O",0,0)+IF(B57="L",1,0)</f>
        <v>1</v>
      </c>
      <c r="AF57" s="1" t="n">
        <f aca="false">IF(B57="V",-2,0)+IF(B57="E",-1,0)+IF(B57="O",0,0)+IF(B57="L",1,0)+Y57</f>
        <v>1.5</v>
      </c>
      <c r="AG57" s="1" t="n">
        <f aca="false">IF(B57="V",-2,0)+IF(B57="E",-1,0)+IF(B57="O",0,0)+IF(B57="L",1,0)+Y57*2</f>
        <v>2</v>
      </c>
      <c r="AH57" s="1" t="n">
        <f aca="false">IF(C57="V",-2,0)+IF(C57="E",-1,0)+IF(C57="O",0,0)+IF(C57="L",1,0)</f>
        <v>-1</v>
      </c>
      <c r="AI57" s="1" t="n">
        <f aca="false">IF(C57="V",-2,0)+IF(C57="E",-1,0)+IF(C57="O",0,0)+IF(C57="L",1,0)+Z57</f>
        <v>-1</v>
      </c>
      <c r="AJ57" s="1" t="n">
        <f aca="false">IF(C57="V",-2,0)+IF(C57="E",-1,0)+IF(C57="O",0,0)+IF(C57="L",1,0)+Z57*2</f>
        <v>-1</v>
      </c>
      <c r="AK57" s="1" t="n">
        <f aca="false">IF(D57="V",-2,0)+IF(D57="E",-1,0)+IF(D57="O",0,0)+IF(D57="L",1,0)</f>
        <v>1</v>
      </c>
      <c r="AL57" s="1" t="n">
        <f aca="false">IF(D57="V",-2,0)+IF(D57="E",-1,0)+IF(D57="O",0,0)+IF(D57="L",1,0)+AA57</f>
        <v>1.5</v>
      </c>
      <c r="AM57" s="1" t="n">
        <f aca="false">IF(D57="V",-2,0)+IF(D57="E",-1,0)+IF(D57="O",0,0)+IF(D57="L",1,0)+AA57*2</f>
        <v>2</v>
      </c>
      <c r="AN57" s="1" t="n">
        <f aca="false">(ABS(IF(AE57&lt;0,AE57*Early,AE57*Late))+ABS(IF(AF57&lt;0,AF57*Early,AF57*Late))+ABS(IF(AG57&lt;0,AG57*Early,AG57*Late)))/3</f>
        <v>6</v>
      </c>
      <c r="AO57" s="1" t="n">
        <f aca="false">(ABS(IF(AH57&lt;0,AH57*Early,AH57*Late))+ABS(IF(AI57&lt;0,AI57*Early,AI57*Late))+ABS(IF(AJ57&lt;0,AJ57*Early,AJ57*Late)))/3</f>
        <v>3</v>
      </c>
      <c r="AP57" s="1" t="n">
        <f aca="false">(ABS(IF(AK57&lt;0,AK57*Early,AK57*Late))+ABS(IF(AL57&lt;0,AL57*Early,AL57*Late))+ABS(IF(AM57&lt;0,AM57*Early,AM57*Late)))/3</f>
        <v>6</v>
      </c>
      <c r="AQ57" s="0" t="n">
        <f aca="false">Y57*Delay+AN57</f>
        <v>6.5</v>
      </c>
      <c r="AR57" s="0" t="n">
        <f aca="false">Z57*Delay+AO57</f>
        <v>3</v>
      </c>
      <c r="AS57" s="0" t="n">
        <f aca="false">AA57*Delay+AP57</f>
        <v>6.5</v>
      </c>
      <c r="AT57" s="0" t="n">
        <f aca="false">IF(AS57=MIN(AS54:AS57),1,0)</f>
        <v>0</v>
      </c>
      <c r="AX57" s="0" t="str">
        <f aca="false">B57&amp;C57&amp;D57</f>
        <v>LEL</v>
      </c>
      <c r="AY57" s="1" t="n">
        <f aca="false">AQ57+AR57+AS57</f>
        <v>16</v>
      </c>
      <c r="AZ57" s="1" t="str">
        <f aca="false">RIGHT(AX57,2)</f>
        <v>EL</v>
      </c>
      <c r="BA57" s="1" t="str">
        <f aca="false">LEFT(AX57,1)&amp;RIGHT(AX57,1)</f>
        <v>LL</v>
      </c>
      <c r="BB57" s="1" t="str">
        <f aca="false">LEFT(AX57,2)</f>
        <v>LE</v>
      </c>
      <c r="BC57" s="1" t="n">
        <f aca="false">VLOOKUP(AZ57,TwoPlayers!$AG$1:$AH$17,2,FALSE())</f>
        <v>7</v>
      </c>
      <c r="BD57" s="1" t="n">
        <f aca="false">VLOOKUP(BA57,TwoPlayers!$AG$1:$AH$17,2,FALSE())</f>
        <v>13</v>
      </c>
      <c r="BE57" s="1" t="n">
        <f aca="false">VLOOKUP(BB57,TwoPlayers!$AG$1:$AH$17,2,FALSE())</f>
        <v>7</v>
      </c>
      <c r="BF57" s="1" t="n">
        <f aca="false">$AY57-BC57</f>
        <v>9</v>
      </c>
      <c r="BG57" s="1" t="n">
        <f aca="false">$AY57-BD57</f>
        <v>3</v>
      </c>
      <c r="BH57" s="1" t="n">
        <f aca="false">$AY57-BE57</f>
        <v>9</v>
      </c>
      <c r="BJ57" s="0" t="n">
        <f aca="false">AQ57+BF57</f>
        <v>15.5</v>
      </c>
      <c r="BK57" s="0" t="n">
        <f aca="false">AR57+BG57</f>
        <v>6</v>
      </c>
      <c r="BL57" s="0" t="n">
        <f aca="false">AS57+BH57</f>
        <v>15.5</v>
      </c>
      <c r="BM57" s="0" t="n">
        <f aca="false">IF(BL57=MIN(BL54:BL58),1,0)</f>
        <v>0</v>
      </c>
    </row>
    <row r="58" customFormat="false" ht="13" hidden="false" customHeight="false" outlineLevel="0" collapsed="false">
      <c r="A58" s="0" t="n">
        <v>57</v>
      </c>
      <c r="B58" s="0" t="s">
        <v>4</v>
      </c>
      <c r="C58" s="0" t="s">
        <v>3</v>
      </c>
      <c r="D58" s="0" t="s">
        <v>1</v>
      </c>
      <c r="E58" s="0" t="n">
        <f aca="false">(IF($B58="V",1,0))+IF($C58="V",1,0)+IF($D58="V",1,0)</f>
        <v>1</v>
      </c>
      <c r="F58" s="0" t="n">
        <f aca="false">(IF($B58="E",1,0))+IF($C58="E",1,0)+IF($D58="E",1,0)</f>
        <v>0</v>
      </c>
      <c r="G58" s="0" t="n">
        <f aca="false">(IF($B58="O",1,0))+IF($C58="O",1,0)+IF($D58="O",1,0)</f>
        <v>1</v>
      </c>
      <c r="H58" s="0" t="n">
        <f aca="false">(IF($B58="L",1,0))+IF($C58="L",1,0)+IF($D58="L",1,0)</f>
        <v>1</v>
      </c>
      <c r="I58" s="0" t="n">
        <f aca="false">(IF(B58="V",1,0))</f>
        <v>0</v>
      </c>
      <c r="J58" s="0" t="n">
        <f aca="false">(IF(B58="E",1,0))</f>
        <v>0</v>
      </c>
      <c r="K58" s="0" t="n">
        <f aca="false">(IF(B58="O",1,0))</f>
        <v>0</v>
      </c>
      <c r="L58" s="0" t="n">
        <f aca="false">(IF(B58="L",1,0))</f>
        <v>1</v>
      </c>
      <c r="M58" s="0" t="n">
        <f aca="false">(IF(C58="V",1,0))</f>
        <v>0</v>
      </c>
      <c r="N58" s="0" t="n">
        <f aca="false">(IF(C58="E",1,0))</f>
        <v>0</v>
      </c>
      <c r="O58" s="0" t="n">
        <f aca="false">(IF(C58="O",1,0))</f>
        <v>1</v>
      </c>
      <c r="P58" s="0" t="n">
        <f aca="false">(IF(C58="L",1,0))</f>
        <v>0</v>
      </c>
      <c r="Q58" s="0" t="n">
        <f aca="false">(IF(D58="V",1,0))</f>
        <v>1</v>
      </c>
      <c r="R58" s="0" t="n">
        <f aca="false">(IF(D58="E",1,0))</f>
        <v>0</v>
      </c>
      <c r="S58" s="0" t="n">
        <f aca="false">(IF(D58="O",1,0))</f>
        <v>0</v>
      </c>
      <c r="T58" s="0" t="n">
        <f aca="false">(IF(D58="L",1,0))</f>
        <v>0</v>
      </c>
      <c r="U58" s="0" t="n">
        <f aca="false">MAX(E58-1,0)</f>
        <v>0</v>
      </c>
      <c r="V58" s="0" t="n">
        <f aca="false">MAX(U58-1+F58,0)</f>
        <v>0</v>
      </c>
      <c r="W58" s="0" t="n">
        <f aca="false">MAX(V58-1+G58,0)</f>
        <v>0</v>
      </c>
      <c r="X58" s="0" t="n">
        <f aca="false">MAX(W58-1+H58,0)</f>
        <v>0</v>
      </c>
      <c r="Y58" s="1" t="n">
        <f aca="false">0.5*(E58*I58+F58*J58+G58*K58+H58*L58-1)+(0+$U58*J58+$V58*K58+$W58*L58)</f>
        <v>0</v>
      </c>
      <c r="Z58" s="1" t="n">
        <f aca="false">0.5*(E58*M58+F58*N58+G58*O58+H58*P58-1)+(0+$U58*N58+$V58*O58+$W58*P58)</f>
        <v>0</v>
      </c>
      <c r="AA58" s="1" t="n">
        <f aca="false">0.5*(E58*Q58+F58*R58+G58*S58+H58*T58-1)+(0+$U58*R58+$V58*S58+$W58*T58)</f>
        <v>0</v>
      </c>
      <c r="AB58" s="0" t="n">
        <f aca="false">IF(B58="V",-2,0)+IF(B58="E",-1,0)+IF(B58="O",0,0)+IF(B58="L",1,0)+Y58</f>
        <v>1</v>
      </c>
      <c r="AC58" s="0" t="n">
        <f aca="false">IF(C58="V",-2,0)+IF(C58="E",-1,0)+IF(C58="O",0,0)+IF(C58="L",1,0)+Z58</f>
        <v>0</v>
      </c>
      <c r="AD58" s="0" t="n">
        <f aca="false">IF(D58="V",-2,0)+IF(D58="E",-1,0)+IF(D58="O",0,0)+IF(D58="L",1,0)+AA58</f>
        <v>-2</v>
      </c>
      <c r="AE58" s="1" t="n">
        <f aca="false">IF(B58="V",-2,0)+IF(B58="E",-1,0)+IF(B58="O",0,0)+IF(B58="L",1,0)</f>
        <v>1</v>
      </c>
      <c r="AF58" s="1" t="n">
        <f aca="false">IF(B58="V",-2,0)+IF(B58="E",-1,0)+IF(B58="O",0,0)+IF(B58="L",1,0)+Y58</f>
        <v>1</v>
      </c>
      <c r="AG58" s="1" t="n">
        <f aca="false">IF(B58="V",-2,0)+IF(B58="E",-1,0)+IF(B58="O",0,0)+IF(B58="L",1,0)+Y58*2</f>
        <v>1</v>
      </c>
      <c r="AH58" s="1" t="n">
        <f aca="false">IF(C58="V",-2,0)+IF(C58="E",-1,0)+IF(C58="O",0,0)+IF(C58="L",1,0)</f>
        <v>0</v>
      </c>
      <c r="AI58" s="1" t="n">
        <f aca="false">IF(C58="V",-2,0)+IF(C58="E",-1,0)+IF(C58="O",0,0)+IF(C58="L",1,0)+Z58</f>
        <v>0</v>
      </c>
      <c r="AJ58" s="1" t="n">
        <f aca="false">IF(C58="V",-2,0)+IF(C58="E",-1,0)+IF(C58="O",0,0)+IF(C58="L",1,0)+Z58*2</f>
        <v>0</v>
      </c>
      <c r="AK58" s="1" t="n">
        <f aca="false">IF(D58="V",-2,0)+IF(D58="E",-1,0)+IF(D58="O",0,0)+IF(D58="L",1,0)</f>
        <v>-2</v>
      </c>
      <c r="AL58" s="1" t="n">
        <f aca="false">IF(D58="V",-2,0)+IF(D58="E",-1,0)+IF(D58="O",0,0)+IF(D58="L",1,0)+AA58</f>
        <v>-2</v>
      </c>
      <c r="AM58" s="1" t="n">
        <f aca="false">IF(D58="V",-2,0)+IF(D58="E",-1,0)+IF(D58="O",0,0)+IF(D58="L",1,0)+AA58*2</f>
        <v>-2</v>
      </c>
      <c r="AN58" s="1" t="n">
        <f aca="false">(ABS(IF(AE58&lt;0,AE58*Early,AE58*Late))+ABS(IF(AF58&lt;0,AF58*Early,AF58*Late))+ABS(IF(AG58&lt;0,AG58*Early,AG58*Late)))/3</f>
        <v>4</v>
      </c>
      <c r="AO58" s="1" t="n">
        <f aca="false">(ABS(IF(AH58&lt;0,AH58*Early,AH58*Late))+ABS(IF(AI58&lt;0,AI58*Early,AI58*Late))+ABS(IF(AJ58&lt;0,AJ58*Early,AJ58*Late)))/3</f>
        <v>0</v>
      </c>
      <c r="AP58" s="1" t="n">
        <f aca="false">(ABS(IF(AK58&lt;0,AK58*Early,AK58*Late))+ABS(IF(AL58&lt;0,AL58*Early,AL58*Late))+ABS(IF(AM58&lt;0,AM58*Early,AM58*Late)))/3</f>
        <v>6</v>
      </c>
      <c r="AQ58" s="0" t="n">
        <f aca="false">Y58*Delay+AN58</f>
        <v>4</v>
      </c>
      <c r="AR58" s="0" t="n">
        <f aca="false">Z58*Delay+AO58</f>
        <v>0</v>
      </c>
      <c r="AS58" s="0" t="n">
        <f aca="false">AA58*Delay+AP58</f>
        <v>6</v>
      </c>
      <c r="AT58" s="0" t="n">
        <f aca="false">IF(AS58=MIN(AS58:AS61),1,0)</f>
        <v>0</v>
      </c>
      <c r="AX58" s="0" t="str">
        <f aca="false">B58&amp;C58&amp;D58</f>
        <v>LOV</v>
      </c>
      <c r="AY58" s="1" t="n">
        <f aca="false">AQ58+AR58+AS58</f>
        <v>10</v>
      </c>
      <c r="AZ58" s="1" t="str">
        <f aca="false">RIGHT(AX58,2)</f>
        <v>OV</v>
      </c>
      <c r="BA58" s="1" t="str">
        <f aca="false">LEFT(AX58,1)&amp;RIGHT(AX58,1)</f>
        <v>LV</v>
      </c>
      <c r="BB58" s="1" t="str">
        <f aca="false">LEFT(AX58,2)</f>
        <v>LO</v>
      </c>
      <c r="BC58" s="1" t="n">
        <f aca="false">VLOOKUP(AZ58,TwoPlayers!$AG$1:$AH$17,2,FALSE())</f>
        <v>6</v>
      </c>
      <c r="BD58" s="1" t="n">
        <f aca="false">VLOOKUP(BA58,TwoPlayers!$AG$1:$AH$17,2,FALSE())</f>
        <v>10</v>
      </c>
      <c r="BE58" s="1" t="n">
        <f aca="false">VLOOKUP(BB58,TwoPlayers!$AG$1:$AH$17,2,FALSE())</f>
        <v>4</v>
      </c>
      <c r="BF58" s="1" t="n">
        <f aca="false">$AY58-BC58</f>
        <v>4</v>
      </c>
      <c r="BG58" s="1" t="n">
        <f aca="false">$AY58-BD58</f>
        <v>0</v>
      </c>
      <c r="BH58" s="1" t="n">
        <f aca="false">$AY58-BE58</f>
        <v>6</v>
      </c>
      <c r="BJ58" s="0" t="n">
        <f aca="false">AQ58+BF58</f>
        <v>8</v>
      </c>
      <c r="BK58" s="0" t="n">
        <f aca="false">AR58+BG58</f>
        <v>0</v>
      </c>
      <c r="BL58" s="0" t="n">
        <f aca="false">AS58+BH58</f>
        <v>12</v>
      </c>
      <c r="BM58" s="0" t="n">
        <f aca="false">IF(BL58=MIN(BL58:BL62),1,0)</f>
        <v>0</v>
      </c>
    </row>
    <row r="59" customFormat="false" ht="13" hidden="false" customHeight="false" outlineLevel="0" collapsed="false">
      <c r="A59" s="0" t="n">
        <v>58</v>
      </c>
      <c r="B59" s="0" t="s">
        <v>4</v>
      </c>
      <c r="C59" s="0" t="s">
        <v>3</v>
      </c>
      <c r="D59" s="0" t="s">
        <v>2</v>
      </c>
      <c r="E59" s="0" t="n">
        <f aca="false">(IF($B59="V",1,0))+IF($C59="V",1,0)+IF($D59="V",1,0)</f>
        <v>0</v>
      </c>
      <c r="F59" s="0" t="n">
        <f aca="false">(IF($B59="E",1,0))+IF($C59="E",1,0)+IF($D59="E",1,0)</f>
        <v>1</v>
      </c>
      <c r="G59" s="0" t="n">
        <f aca="false">(IF($B59="O",1,0))+IF($C59="O",1,0)+IF($D59="O",1,0)</f>
        <v>1</v>
      </c>
      <c r="H59" s="0" t="n">
        <f aca="false">(IF($B59="L",1,0))+IF($C59="L",1,0)+IF($D59="L",1,0)</f>
        <v>1</v>
      </c>
      <c r="I59" s="0" t="n">
        <f aca="false">(IF(B59="V",1,0))</f>
        <v>0</v>
      </c>
      <c r="J59" s="0" t="n">
        <f aca="false">(IF(B59="E",1,0))</f>
        <v>0</v>
      </c>
      <c r="K59" s="0" t="n">
        <f aca="false">(IF(B59="O",1,0))</f>
        <v>0</v>
      </c>
      <c r="L59" s="0" t="n">
        <f aca="false">(IF(B59="L",1,0))</f>
        <v>1</v>
      </c>
      <c r="M59" s="0" t="n">
        <f aca="false">(IF(C59="V",1,0))</f>
        <v>0</v>
      </c>
      <c r="N59" s="0" t="n">
        <f aca="false">(IF(C59="E",1,0))</f>
        <v>0</v>
      </c>
      <c r="O59" s="0" t="n">
        <f aca="false">(IF(C59="O",1,0))</f>
        <v>1</v>
      </c>
      <c r="P59" s="0" t="n">
        <f aca="false">(IF(C59="L",1,0))</f>
        <v>0</v>
      </c>
      <c r="Q59" s="0" t="n">
        <f aca="false">(IF(D59="V",1,0))</f>
        <v>0</v>
      </c>
      <c r="R59" s="0" t="n">
        <f aca="false">(IF(D59="E",1,0))</f>
        <v>1</v>
      </c>
      <c r="S59" s="0" t="n">
        <f aca="false">(IF(D59="O",1,0))</f>
        <v>0</v>
      </c>
      <c r="T59" s="0" t="n">
        <f aca="false">(IF(D59="L",1,0))</f>
        <v>0</v>
      </c>
      <c r="U59" s="0" t="n">
        <f aca="false">MAX(E59-1,0)</f>
        <v>0</v>
      </c>
      <c r="V59" s="0" t="n">
        <f aca="false">MAX(U59-1+F59,0)</f>
        <v>0</v>
      </c>
      <c r="W59" s="0" t="n">
        <f aca="false">MAX(V59-1+G59,0)</f>
        <v>0</v>
      </c>
      <c r="X59" s="0" t="n">
        <f aca="false">MAX(W59-1+H59,0)</f>
        <v>0</v>
      </c>
      <c r="Y59" s="1" t="n">
        <f aca="false">0.5*(E59*I59+F59*J59+G59*K59+H59*L59-1)+(0+$U59*J59+$V59*K59+$W59*L59)</f>
        <v>0</v>
      </c>
      <c r="Z59" s="1" t="n">
        <f aca="false">0.5*(E59*M59+F59*N59+G59*O59+H59*P59-1)+(0+$U59*N59+$V59*O59+$W59*P59)</f>
        <v>0</v>
      </c>
      <c r="AA59" s="1" t="n">
        <f aca="false">0.5*(E59*Q59+F59*R59+G59*S59+H59*T59-1)+(0+$U59*R59+$V59*S59+$W59*T59)</f>
        <v>0</v>
      </c>
      <c r="AB59" s="0" t="n">
        <f aca="false">IF(B59="V",-2,0)+IF(B59="E",-1,0)+IF(B59="O",0,0)+IF(B59="L",1,0)+Y59</f>
        <v>1</v>
      </c>
      <c r="AC59" s="0" t="n">
        <f aca="false">IF(C59="V",-2,0)+IF(C59="E",-1,0)+IF(C59="O",0,0)+IF(C59="L",1,0)+Z59</f>
        <v>0</v>
      </c>
      <c r="AD59" s="0" t="n">
        <f aca="false">IF(D59="V",-2,0)+IF(D59="E",-1,0)+IF(D59="O",0,0)+IF(D59="L",1,0)+AA59</f>
        <v>-1</v>
      </c>
      <c r="AE59" s="1" t="n">
        <f aca="false">IF(B59="V",-2,0)+IF(B59="E",-1,0)+IF(B59="O",0,0)+IF(B59="L",1,0)</f>
        <v>1</v>
      </c>
      <c r="AF59" s="1" t="n">
        <f aca="false">IF(B59="V",-2,0)+IF(B59="E",-1,0)+IF(B59="O",0,0)+IF(B59="L",1,0)+Y59</f>
        <v>1</v>
      </c>
      <c r="AG59" s="1" t="n">
        <f aca="false">IF(B59="V",-2,0)+IF(B59="E",-1,0)+IF(B59="O",0,0)+IF(B59="L",1,0)+Y59*2</f>
        <v>1</v>
      </c>
      <c r="AH59" s="1" t="n">
        <f aca="false">IF(C59="V",-2,0)+IF(C59="E",-1,0)+IF(C59="O",0,0)+IF(C59="L",1,0)</f>
        <v>0</v>
      </c>
      <c r="AI59" s="1" t="n">
        <f aca="false">IF(C59="V",-2,0)+IF(C59="E",-1,0)+IF(C59="O",0,0)+IF(C59="L",1,0)+Z59</f>
        <v>0</v>
      </c>
      <c r="AJ59" s="1" t="n">
        <f aca="false">IF(C59="V",-2,0)+IF(C59="E",-1,0)+IF(C59="O",0,0)+IF(C59="L",1,0)+Z59*2</f>
        <v>0</v>
      </c>
      <c r="AK59" s="1" t="n">
        <f aca="false">IF(D59="V",-2,0)+IF(D59="E",-1,0)+IF(D59="O",0,0)+IF(D59="L",1,0)</f>
        <v>-1</v>
      </c>
      <c r="AL59" s="1" t="n">
        <f aca="false">IF(D59="V",-2,0)+IF(D59="E",-1,0)+IF(D59="O",0,0)+IF(D59="L",1,0)+AA59</f>
        <v>-1</v>
      </c>
      <c r="AM59" s="1" t="n">
        <f aca="false">IF(D59="V",-2,0)+IF(D59="E",-1,0)+IF(D59="O",0,0)+IF(D59="L",1,0)+AA59*2</f>
        <v>-1</v>
      </c>
      <c r="AN59" s="1" t="n">
        <f aca="false">(ABS(IF(AE59&lt;0,AE59*Early,AE59*Late))+ABS(IF(AF59&lt;0,AF59*Early,AF59*Late))+ABS(IF(AG59&lt;0,AG59*Early,AG59*Late)))/3</f>
        <v>4</v>
      </c>
      <c r="AO59" s="1" t="n">
        <f aca="false">(ABS(IF(AH59&lt;0,AH59*Early,AH59*Late))+ABS(IF(AI59&lt;0,AI59*Early,AI59*Late))+ABS(IF(AJ59&lt;0,AJ59*Early,AJ59*Late)))/3</f>
        <v>0</v>
      </c>
      <c r="AP59" s="1" t="n">
        <f aca="false">(ABS(IF(AK59&lt;0,AK59*Early,AK59*Late))+ABS(IF(AL59&lt;0,AL59*Early,AL59*Late))+ABS(IF(AM59&lt;0,AM59*Early,AM59*Late)))/3</f>
        <v>3</v>
      </c>
      <c r="AQ59" s="0" t="n">
        <f aca="false">Y59*Delay+AN59</f>
        <v>4</v>
      </c>
      <c r="AR59" s="0" t="n">
        <f aca="false">Z59*Delay+AO59</f>
        <v>0</v>
      </c>
      <c r="AS59" s="0" t="n">
        <f aca="false">AA59*Delay+AP59</f>
        <v>3</v>
      </c>
      <c r="AT59" s="0" t="n">
        <f aca="false">IF(AS59=MIN(AS58:AS61),1,0)</f>
        <v>0</v>
      </c>
      <c r="AX59" s="0" t="str">
        <f aca="false">B59&amp;C59&amp;D59</f>
        <v>LOE</v>
      </c>
      <c r="AY59" s="1" t="n">
        <f aca="false">AQ59+AR59+AS59</f>
        <v>7</v>
      </c>
      <c r="AZ59" s="1" t="str">
        <f aca="false">RIGHT(AX59,2)</f>
        <v>OE</v>
      </c>
      <c r="BA59" s="1" t="str">
        <f aca="false">LEFT(AX59,1)&amp;RIGHT(AX59,1)</f>
        <v>LE</v>
      </c>
      <c r="BB59" s="1" t="str">
        <f aca="false">LEFT(AX59,2)</f>
        <v>LO</v>
      </c>
      <c r="BC59" s="1" t="n">
        <f aca="false">VLOOKUP(AZ59,TwoPlayers!$AG$1:$AH$17,2,FALSE())</f>
        <v>3</v>
      </c>
      <c r="BD59" s="1" t="n">
        <f aca="false">VLOOKUP(BA59,TwoPlayers!$AG$1:$AH$17,2,FALSE())</f>
        <v>7</v>
      </c>
      <c r="BE59" s="1" t="n">
        <f aca="false">VLOOKUP(BB59,TwoPlayers!$AG$1:$AH$17,2,FALSE())</f>
        <v>4</v>
      </c>
      <c r="BF59" s="1" t="n">
        <f aca="false">$AY59-BC59</f>
        <v>4</v>
      </c>
      <c r="BG59" s="1" t="n">
        <f aca="false">$AY59-BD59</f>
        <v>0</v>
      </c>
      <c r="BH59" s="1" t="n">
        <f aca="false">$AY59-BE59</f>
        <v>3</v>
      </c>
      <c r="BJ59" s="0" t="n">
        <f aca="false">AQ59+BF59</f>
        <v>8</v>
      </c>
      <c r="BK59" s="0" t="n">
        <f aca="false">AR59+BG59</f>
        <v>0</v>
      </c>
      <c r="BL59" s="0" t="n">
        <f aca="false">AS59+BH59</f>
        <v>6</v>
      </c>
      <c r="BM59" s="0" t="n">
        <f aca="false">IF(BL59=MIN(BL58:BL62),1,0)</f>
        <v>1</v>
      </c>
    </row>
    <row r="60" customFormat="false" ht="13" hidden="false" customHeight="false" outlineLevel="0" collapsed="false">
      <c r="A60" s="0" t="n">
        <v>59</v>
      </c>
      <c r="B60" s="0" t="s">
        <v>4</v>
      </c>
      <c r="C60" s="0" t="s">
        <v>3</v>
      </c>
      <c r="D60" s="0" t="s">
        <v>3</v>
      </c>
      <c r="E60" s="0" t="n">
        <f aca="false">(IF($B60="V",1,0))+IF($C60="V",1,0)+IF($D60="V",1,0)</f>
        <v>0</v>
      </c>
      <c r="F60" s="0" t="n">
        <f aca="false">(IF($B60="E",1,0))+IF($C60="E",1,0)+IF($D60="E",1,0)</f>
        <v>0</v>
      </c>
      <c r="G60" s="0" t="n">
        <f aca="false">(IF($B60="O",1,0))+IF($C60="O",1,0)+IF($D60="O",1,0)</f>
        <v>2</v>
      </c>
      <c r="H60" s="0" t="n">
        <f aca="false">(IF($B60="L",1,0))+IF($C60="L",1,0)+IF($D60="L",1,0)</f>
        <v>1</v>
      </c>
      <c r="I60" s="0" t="n">
        <f aca="false">(IF(B60="V",1,0))</f>
        <v>0</v>
      </c>
      <c r="J60" s="0" t="n">
        <f aca="false">(IF(B60="E",1,0))</f>
        <v>0</v>
      </c>
      <c r="K60" s="0" t="n">
        <f aca="false">(IF(B60="O",1,0))</f>
        <v>0</v>
      </c>
      <c r="L60" s="0" t="n">
        <f aca="false">(IF(B60="L",1,0))</f>
        <v>1</v>
      </c>
      <c r="M60" s="0" t="n">
        <f aca="false">(IF(C60="V",1,0))</f>
        <v>0</v>
      </c>
      <c r="N60" s="0" t="n">
        <f aca="false">(IF(C60="E",1,0))</f>
        <v>0</v>
      </c>
      <c r="O60" s="0" t="n">
        <f aca="false">(IF(C60="O",1,0))</f>
        <v>1</v>
      </c>
      <c r="P60" s="0" t="n">
        <f aca="false">(IF(C60="L",1,0))</f>
        <v>0</v>
      </c>
      <c r="Q60" s="0" t="n">
        <f aca="false">(IF(D60="V",1,0))</f>
        <v>0</v>
      </c>
      <c r="R60" s="0" t="n">
        <f aca="false">(IF(D60="E",1,0))</f>
        <v>0</v>
      </c>
      <c r="S60" s="0" t="n">
        <f aca="false">(IF(D60="O",1,0))</f>
        <v>1</v>
      </c>
      <c r="T60" s="0" t="n">
        <f aca="false">(IF(D60="L",1,0))</f>
        <v>0</v>
      </c>
      <c r="U60" s="0" t="n">
        <f aca="false">MAX(E60-1,0)</f>
        <v>0</v>
      </c>
      <c r="V60" s="0" t="n">
        <f aca="false">MAX(U60-1+F60,0)</f>
        <v>0</v>
      </c>
      <c r="W60" s="0" t="n">
        <f aca="false">MAX(V60-1+G60,0)</f>
        <v>1</v>
      </c>
      <c r="X60" s="0" t="n">
        <f aca="false">MAX(W60-1+H60,0)</f>
        <v>1</v>
      </c>
      <c r="Y60" s="1" t="n">
        <f aca="false">0.5*(E60*I60+F60*J60+G60*K60+H60*L60-1)+(0+$U60*J60+$V60*K60+$W60*L60)</f>
        <v>1</v>
      </c>
      <c r="Z60" s="1" t="n">
        <f aca="false">0.5*(E60*M60+F60*N60+G60*O60+H60*P60-1)+(0+$U60*N60+$V60*O60+$W60*P60)</f>
        <v>0.5</v>
      </c>
      <c r="AA60" s="1" t="n">
        <f aca="false">0.5*(E60*Q60+F60*R60+G60*S60+H60*T60-1)+(0+$U60*R60+$V60*S60+$W60*T60)</f>
        <v>0.5</v>
      </c>
      <c r="AB60" s="0" t="n">
        <f aca="false">IF(B60="V",-2,0)+IF(B60="E",-1,0)+IF(B60="O",0,0)+IF(B60="L",1,0)+Y60</f>
        <v>2</v>
      </c>
      <c r="AC60" s="0" t="n">
        <f aca="false">IF(C60="V",-2,0)+IF(C60="E",-1,0)+IF(C60="O",0,0)+IF(C60="L",1,0)+Z60</f>
        <v>0.5</v>
      </c>
      <c r="AD60" s="0" t="n">
        <f aca="false">IF(D60="V",-2,0)+IF(D60="E",-1,0)+IF(D60="O",0,0)+IF(D60="L",1,0)+AA60</f>
        <v>0.5</v>
      </c>
      <c r="AE60" s="1" t="n">
        <f aca="false">IF(B60="V",-2,0)+IF(B60="E",-1,0)+IF(B60="O",0,0)+IF(B60="L",1,0)</f>
        <v>1</v>
      </c>
      <c r="AF60" s="1" t="n">
        <f aca="false">IF(B60="V",-2,0)+IF(B60="E",-1,0)+IF(B60="O",0,0)+IF(B60="L",1,0)+Y60</f>
        <v>2</v>
      </c>
      <c r="AG60" s="1" t="n">
        <f aca="false">IF(B60="V",-2,0)+IF(B60="E",-1,0)+IF(B60="O",0,0)+IF(B60="L",1,0)+Y60*2</f>
        <v>3</v>
      </c>
      <c r="AH60" s="1" t="n">
        <f aca="false">IF(C60="V",-2,0)+IF(C60="E",-1,0)+IF(C60="O",0,0)+IF(C60="L",1,0)</f>
        <v>0</v>
      </c>
      <c r="AI60" s="1" t="n">
        <f aca="false">IF(C60="V",-2,0)+IF(C60="E",-1,0)+IF(C60="O",0,0)+IF(C60="L",1,0)+Z60</f>
        <v>0.5</v>
      </c>
      <c r="AJ60" s="1" t="n">
        <f aca="false">IF(C60="V",-2,0)+IF(C60="E",-1,0)+IF(C60="O",0,0)+IF(C60="L",1,0)+Z60*2</f>
        <v>1</v>
      </c>
      <c r="AK60" s="1" t="n">
        <f aca="false">IF(D60="V",-2,0)+IF(D60="E",-1,0)+IF(D60="O",0,0)+IF(D60="L",1,0)</f>
        <v>0</v>
      </c>
      <c r="AL60" s="1" t="n">
        <f aca="false">IF(D60="V",-2,0)+IF(D60="E",-1,0)+IF(D60="O",0,0)+IF(D60="L",1,0)+AA60</f>
        <v>0.5</v>
      </c>
      <c r="AM60" s="1" t="n">
        <f aca="false">IF(D60="V",-2,0)+IF(D60="E",-1,0)+IF(D60="O",0,0)+IF(D60="L",1,0)+AA60*2</f>
        <v>1</v>
      </c>
      <c r="AN60" s="1" t="n">
        <f aca="false">(ABS(IF(AE60&lt;0,AE60*Early,AE60*Late))+ABS(IF(AF60&lt;0,AF60*Early,AF60*Late))+ABS(IF(AG60&lt;0,AG60*Early,AG60*Late)))/3</f>
        <v>8</v>
      </c>
      <c r="AO60" s="1" t="n">
        <f aca="false">(ABS(IF(AH60&lt;0,AH60*Early,AH60*Late))+ABS(IF(AI60&lt;0,AI60*Early,AI60*Late))+ABS(IF(AJ60&lt;0,AJ60*Early,AJ60*Late)))/3</f>
        <v>2</v>
      </c>
      <c r="AP60" s="1" t="n">
        <f aca="false">(ABS(IF(AK60&lt;0,AK60*Early,AK60*Late))+ABS(IF(AL60&lt;0,AL60*Early,AL60*Late))+ABS(IF(AM60&lt;0,AM60*Early,AM60*Late)))/3</f>
        <v>2</v>
      </c>
      <c r="AQ60" s="0" t="n">
        <f aca="false">Y60*Delay+AN60</f>
        <v>9</v>
      </c>
      <c r="AR60" s="0" t="n">
        <f aca="false">Z60*Delay+AO60</f>
        <v>2.5</v>
      </c>
      <c r="AS60" s="0" t="n">
        <f aca="false">AA60*Delay+AP60</f>
        <v>2.5</v>
      </c>
      <c r="AT60" s="0" t="n">
        <f aca="false">IF(AS60=MIN(AS58:AS61),1,0)</f>
        <v>1</v>
      </c>
      <c r="AX60" s="0" t="str">
        <f aca="false">B60&amp;C60&amp;D60</f>
        <v>LOO</v>
      </c>
      <c r="AY60" s="1" t="n">
        <f aca="false">AQ60+AR60+AS60</f>
        <v>14</v>
      </c>
      <c r="AZ60" s="1" t="str">
        <f aca="false">RIGHT(AX60,2)</f>
        <v>OO</v>
      </c>
      <c r="BA60" s="1" t="str">
        <f aca="false">LEFT(AX60,1)&amp;RIGHT(AX60,1)</f>
        <v>LO</v>
      </c>
      <c r="BB60" s="1" t="str">
        <f aca="false">LEFT(AX60,2)</f>
        <v>LO</v>
      </c>
      <c r="BC60" s="1" t="n">
        <f aca="false">VLOOKUP(AZ60,TwoPlayers!$AG$1:$AH$17,2,FALSE())</f>
        <v>5</v>
      </c>
      <c r="BD60" s="1" t="n">
        <f aca="false">VLOOKUP(BA60,TwoPlayers!$AG$1:$AH$17,2,FALSE())</f>
        <v>4</v>
      </c>
      <c r="BE60" s="1" t="n">
        <f aca="false">VLOOKUP(BB60,TwoPlayers!$AG$1:$AH$17,2,FALSE())</f>
        <v>4</v>
      </c>
      <c r="BF60" s="1" t="n">
        <f aca="false">$AY60-BC60</f>
        <v>9</v>
      </c>
      <c r="BG60" s="1" t="n">
        <f aca="false">$AY60-BD60</f>
        <v>10</v>
      </c>
      <c r="BH60" s="1" t="n">
        <f aca="false">$AY60-BE60</f>
        <v>10</v>
      </c>
      <c r="BJ60" s="0" t="n">
        <f aca="false">AQ60+BF60</f>
        <v>18</v>
      </c>
      <c r="BK60" s="0" t="n">
        <f aca="false">AR60+BG60</f>
        <v>12.5</v>
      </c>
      <c r="BL60" s="0" t="n">
        <f aca="false">AS60+BH60</f>
        <v>12.5</v>
      </c>
      <c r="BM60" s="0" t="n">
        <f aca="false">IF(BL60=MIN(BL58:BL62),1,0)</f>
        <v>0</v>
      </c>
    </row>
    <row r="61" customFormat="false" ht="13" hidden="false" customHeight="false" outlineLevel="0" collapsed="false">
      <c r="A61" s="0" t="n">
        <v>60</v>
      </c>
      <c r="B61" s="0" t="s">
        <v>4</v>
      </c>
      <c r="C61" s="0" t="s">
        <v>3</v>
      </c>
      <c r="D61" s="0" t="s">
        <v>4</v>
      </c>
      <c r="E61" s="0" t="n">
        <f aca="false">(IF($B61="V",1,0))+IF($C61="V",1,0)+IF($D61="V",1,0)</f>
        <v>0</v>
      </c>
      <c r="F61" s="0" t="n">
        <f aca="false">(IF($B61="E",1,0))+IF($C61="E",1,0)+IF($D61="E",1,0)</f>
        <v>0</v>
      </c>
      <c r="G61" s="0" t="n">
        <f aca="false">(IF($B61="O",1,0))+IF($C61="O",1,0)+IF($D61="O",1,0)</f>
        <v>1</v>
      </c>
      <c r="H61" s="0" t="n">
        <f aca="false">(IF($B61="L",1,0))+IF($C61="L",1,0)+IF($D61="L",1,0)</f>
        <v>2</v>
      </c>
      <c r="I61" s="0" t="n">
        <f aca="false">(IF(B61="V",1,0))</f>
        <v>0</v>
      </c>
      <c r="J61" s="0" t="n">
        <f aca="false">(IF(B61="E",1,0))</f>
        <v>0</v>
      </c>
      <c r="K61" s="0" t="n">
        <f aca="false">(IF(B61="O",1,0))</f>
        <v>0</v>
      </c>
      <c r="L61" s="0" t="n">
        <f aca="false">(IF(B61="L",1,0))</f>
        <v>1</v>
      </c>
      <c r="M61" s="0" t="n">
        <f aca="false">(IF(C61="V",1,0))</f>
        <v>0</v>
      </c>
      <c r="N61" s="0" t="n">
        <f aca="false">(IF(C61="E",1,0))</f>
        <v>0</v>
      </c>
      <c r="O61" s="0" t="n">
        <f aca="false">(IF(C61="O",1,0))</f>
        <v>1</v>
      </c>
      <c r="P61" s="0" t="n">
        <f aca="false">(IF(C61="L",1,0))</f>
        <v>0</v>
      </c>
      <c r="Q61" s="0" t="n">
        <f aca="false">(IF(D61="V",1,0))</f>
        <v>0</v>
      </c>
      <c r="R61" s="0" t="n">
        <f aca="false">(IF(D61="E",1,0))</f>
        <v>0</v>
      </c>
      <c r="S61" s="0" t="n">
        <f aca="false">(IF(D61="O",1,0))</f>
        <v>0</v>
      </c>
      <c r="T61" s="0" t="n">
        <f aca="false">(IF(D61="L",1,0))</f>
        <v>1</v>
      </c>
      <c r="U61" s="0" t="n">
        <f aca="false">MAX(E61-1,0)</f>
        <v>0</v>
      </c>
      <c r="V61" s="0" t="n">
        <f aca="false">MAX(U61-1+F61,0)</f>
        <v>0</v>
      </c>
      <c r="W61" s="0" t="n">
        <f aca="false">MAX(V61-1+G61,0)</f>
        <v>0</v>
      </c>
      <c r="X61" s="0" t="n">
        <f aca="false">MAX(W61-1+H61,0)</f>
        <v>1</v>
      </c>
      <c r="Y61" s="1" t="n">
        <f aca="false">0.5*(E61*I61+F61*J61+G61*K61+H61*L61-1)+(0+$U61*J61+$V61*K61+$W61*L61)</f>
        <v>0.5</v>
      </c>
      <c r="Z61" s="1" t="n">
        <f aca="false">0.5*(E61*M61+F61*N61+G61*O61+H61*P61-1)+(0+$U61*N61+$V61*O61+$W61*P61)</f>
        <v>0</v>
      </c>
      <c r="AA61" s="1" t="n">
        <f aca="false">0.5*(E61*Q61+F61*R61+G61*S61+H61*T61-1)+(0+$U61*R61+$V61*S61+$W61*T61)</f>
        <v>0.5</v>
      </c>
      <c r="AB61" s="0" t="n">
        <f aca="false">IF(B61="V",-2,0)+IF(B61="E",-1,0)+IF(B61="O",0,0)+IF(B61="L",1,0)+Y61</f>
        <v>1.5</v>
      </c>
      <c r="AC61" s="0" t="n">
        <f aca="false">IF(C61="V",-2,0)+IF(C61="E",-1,0)+IF(C61="O",0,0)+IF(C61="L",1,0)+Z61</f>
        <v>0</v>
      </c>
      <c r="AD61" s="0" t="n">
        <f aca="false">IF(D61="V",-2,0)+IF(D61="E",-1,0)+IF(D61="O",0,0)+IF(D61="L",1,0)+AA61</f>
        <v>1.5</v>
      </c>
      <c r="AE61" s="1" t="n">
        <f aca="false">IF(B61="V",-2,0)+IF(B61="E",-1,0)+IF(B61="O",0,0)+IF(B61="L",1,0)</f>
        <v>1</v>
      </c>
      <c r="AF61" s="1" t="n">
        <f aca="false">IF(B61="V",-2,0)+IF(B61="E",-1,0)+IF(B61="O",0,0)+IF(B61="L",1,0)+Y61</f>
        <v>1.5</v>
      </c>
      <c r="AG61" s="1" t="n">
        <f aca="false">IF(B61="V",-2,0)+IF(B61="E",-1,0)+IF(B61="O",0,0)+IF(B61="L",1,0)+Y61*2</f>
        <v>2</v>
      </c>
      <c r="AH61" s="1" t="n">
        <f aca="false">IF(C61="V",-2,0)+IF(C61="E",-1,0)+IF(C61="O",0,0)+IF(C61="L",1,0)</f>
        <v>0</v>
      </c>
      <c r="AI61" s="1" t="n">
        <f aca="false">IF(C61="V",-2,0)+IF(C61="E",-1,0)+IF(C61="O",0,0)+IF(C61="L",1,0)+Z61</f>
        <v>0</v>
      </c>
      <c r="AJ61" s="1" t="n">
        <f aca="false">IF(C61="V",-2,0)+IF(C61="E",-1,0)+IF(C61="O",0,0)+IF(C61="L",1,0)+Z61*2</f>
        <v>0</v>
      </c>
      <c r="AK61" s="1" t="n">
        <f aca="false">IF(D61="V",-2,0)+IF(D61="E",-1,0)+IF(D61="O",0,0)+IF(D61="L",1,0)</f>
        <v>1</v>
      </c>
      <c r="AL61" s="1" t="n">
        <f aca="false">IF(D61="V",-2,0)+IF(D61="E",-1,0)+IF(D61="O",0,0)+IF(D61="L",1,0)+AA61</f>
        <v>1.5</v>
      </c>
      <c r="AM61" s="1" t="n">
        <f aca="false">IF(D61="V",-2,0)+IF(D61="E",-1,0)+IF(D61="O",0,0)+IF(D61="L",1,0)+AA61*2</f>
        <v>2</v>
      </c>
      <c r="AN61" s="1" t="n">
        <f aca="false">(ABS(IF(AE61&lt;0,AE61*Early,AE61*Late))+ABS(IF(AF61&lt;0,AF61*Early,AF61*Late))+ABS(IF(AG61&lt;0,AG61*Early,AG61*Late)))/3</f>
        <v>6</v>
      </c>
      <c r="AO61" s="1" t="n">
        <f aca="false">(ABS(IF(AH61&lt;0,AH61*Early,AH61*Late))+ABS(IF(AI61&lt;0,AI61*Early,AI61*Late))+ABS(IF(AJ61&lt;0,AJ61*Early,AJ61*Late)))/3</f>
        <v>0</v>
      </c>
      <c r="AP61" s="1" t="n">
        <f aca="false">(ABS(IF(AK61&lt;0,AK61*Early,AK61*Late))+ABS(IF(AL61&lt;0,AL61*Early,AL61*Late))+ABS(IF(AM61&lt;0,AM61*Early,AM61*Late)))/3</f>
        <v>6</v>
      </c>
      <c r="AQ61" s="0" t="n">
        <f aca="false">Y61*Delay+AN61</f>
        <v>6.5</v>
      </c>
      <c r="AR61" s="0" t="n">
        <f aca="false">Z61*Delay+AO61</f>
        <v>0</v>
      </c>
      <c r="AS61" s="0" t="n">
        <f aca="false">AA61*Delay+AP61</f>
        <v>6.5</v>
      </c>
      <c r="AT61" s="0" t="n">
        <f aca="false">IF(AS61=MIN(AS58:AS61),1,0)</f>
        <v>0</v>
      </c>
      <c r="AX61" s="0" t="str">
        <f aca="false">B61&amp;C61&amp;D61</f>
        <v>LOL</v>
      </c>
      <c r="AY61" s="1" t="n">
        <f aca="false">AQ61+AR61+AS61</f>
        <v>13</v>
      </c>
      <c r="AZ61" s="1" t="str">
        <f aca="false">RIGHT(AX61,2)</f>
        <v>OL</v>
      </c>
      <c r="BA61" s="1" t="str">
        <f aca="false">LEFT(AX61,1)&amp;RIGHT(AX61,1)</f>
        <v>LL</v>
      </c>
      <c r="BB61" s="1" t="str">
        <f aca="false">LEFT(AX61,2)</f>
        <v>LO</v>
      </c>
      <c r="BC61" s="1" t="n">
        <f aca="false">VLOOKUP(AZ61,TwoPlayers!$AG$1:$AH$17,2,FALSE())</f>
        <v>4</v>
      </c>
      <c r="BD61" s="1" t="n">
        <f aca="false">VLOOKUP(BA61,TwoPlayers!$AG$1:$AH$17,2,FALSE())</f>
        <v>13</v>
      </c>
      <c r="BE61" s="1" t="n">
        <f aca="false">VLOOKUP(BB61,TwoPlayers!$AG$1:$AH$17,2,FALSE())</f>
        <v>4</v>
      </c>
      <c r="BF61" s="1" t="n">
        <f aca="false">$AY61-BC61</f>
        <v>9</v>
      </c>
      <c r="BG61" s="1" t="n">
        <f aca="false">$AY61-BD61</f>
        <v>0</v>
      </c>
      <c r="BH61" s="1" t="n">
        <f aca="false">$AY61-BE61</f>
        <v>9</v>
      </c>
      <c r="BJ61" s="0" t="n">
        <f aca="false">AQ61+BF61</f>
        <v>15.5</v>
      </c>
      <c r="BK61" s="0" t="n">
        <f aca="false">AR61+BG61</f>
        <v>0</v>
      </c>
      <c r="BL61" s="0" t="n">
        <f aca="false">AS61+BH61</f>
        <v>15.5</v>
      </c>
      <c r="BM61" s="0" t="n">
        <f aca="false">IF(BL61=MIN(BL58:BL62),1,0)</f>
        <v>0</v>
      </c>
    </row>
    <row r="62" customFormat="false" ht="13" hidden="false" customHeight="false" outlineLevel="0" collapsed="false">
      <c r="A62" s="0" t="n">
        <v>61</v>
      </c>
      <c r="B62" s="0" t="s">
        <v>4</v>
      </c>
      <c r="C62" s="0" t="s">
        <v>4</v>
      </c>
      <c r="D62" s="0" t="s">
        <v>1</v>
      </c>
      <c r="E62" s="0" t="n">
        <f aca="false">(IF($B62="V",1,0))+IF($C62="V",1,0)+IF($D62="V",1,0)</f>
        <v>1</v>
      </c>
      <c r="F62" s="0" t="n">
        <f aca="false">(IF($B62="E",1,0))+IF($C62="E",1,0)+IF($D62="E",1,0)</f>
        <v>0</v>
      </c>
      <c r="G62" s="0" t="n">
        <f aca="false">(IF($B62="O",1,0))+IF($C62="O",1,0)+IF($D62="O",1,0)</f>
        <v>0</v>
      </c>
      <c r="H62" s="0" t="n">
        <f aca="false">(IF($B62="L",1,0))+IF($C62="L",1,0)+IF($D62="L",1,0)</f>
        <v>2</v>
      </c>
      <c r="I62" s="0" t="n">
        <f aca="false">(IF(B62="V",1,0))</f>
        <v>0</v>
      </c>
      <c r="J62" s="0" t="n">
        <f aca="false">(IF(B62="E",1,0))</f>
        <v>0</v>
      </c>
      <c r="K62" s="0" t="n">
        <f aca="false">(IF(B62="O",1,0))</f>
        <v>0</v>
      </c>
      <c r="L62" s="0" t="n">
        <f aca="false">(IF(B62="L",1,0))</f>
        <v>1</v>
      </c>
      <c r="M62" s="0" t="n">
        <f aca="false">(IF(C62="V",1,0))</f>
        <v>0</v>
      </c>
      <c r="N62" s="0" t="n">
        <f aca="false">(IF(C62="E",1,0))</f>
        <v>0</v>
      </c>
      <c r="O62" s="0" t="n">
        <f aca="false">(IF(C62="O",1,0))</f>
        <v>0</v>
      </c>
      <c r="P62" s="0" t="n">
        <f aca="false">(IF(C62="L",1,0))</f>
        <v>1</v>
      </c>
      <c r="Q62" s="0" t="n">
        <f aca="false">(IF(D62="V",1,0))</f>
        <v>1</v>
      </c>
      <c r="R62" s="0" t="n">
        <f aca="false">(IF(D62="E",1,0))</f>
        <v>0</v>
      </c>
      <c r="S62" s="0" t="n">
        <f aca="false">(IF(D62="O",1,0))</f>
        <v>0</v>
      </c>
      <c r="T62" s="0" t="n">
        <f aca="false">(IF(D62="L",1,0))</f>
        <v>0</v>
      </c>
      <c r="U62" s="0" t="n">
        <f aca="false">MAX(E62-1,0)</f>
        <v>0</v>
      </c>
      <c r="V62" s="0" t="n">
        <f aca="false">MAX(U62-1+F62,0)</f>
        <v>0</v>
      </c>
      <c r="W62" s="0" t="n">
        <f aca="false">MAX(V62-1+G62,0)</f>
        <v>0</v>
      </c>
      <c r="X62" s="0" t="n">
        <f aca="false">MAX(W62-1+H62,0)</f>
        <v>1</v>
      </c>
      <c r="Y62" s="1" t="n">
        <f aca="false">0.5*(E62*I62+F62*J62+G62*K62+H62*L62-1)+(0+$U62*J62+$V62*K62+$W62*L62)</f>
        <v>0.5</v>
      </c>
      <c r="Z62" s="1" t="n">
        <f aca="false">0.5*(E62*M62+F62*N62+G62*O62+H62*P62-1)+(0+$U62*N62+$V62*O62+$W62*P62)</f>
        <v>0.5</v>
      </c>
      <c r="AA62" s="1" t="n">
        <f aca="false">0.5*(E62*Q62+F62*R62+G62*S62+H62*T62-1)+(0+$U62*R62+$V62*S62+$W62*T62)</f>
        <v>0</v>
      </c>
      <c r="AB62" s="0" t="n">
        <f aca="false">IF(B62="V",-2,0)+IF(B62="E",-1,0)+IF(B62="O",0,0)+IF(B62="L",1,0)+Y62</f>
        <v>1.5</v>
      </c>
      <c r="AC62" s="0" t="n">
        <f aca="false">IF(C62="V",-2,0)+IF(C62="E",-1,0)+IF(C62="O",0,0)+IF(C62="L",1,0)+Z62</f>
        <v>1.5</v>
      </c>
      <c r="AD62" s="0" t="n">
        <f aca="false">IF(D62="V",-2,0)+IF(D62="E",-1,0)+IF(D62="O",0,0)+IF(D62="L",1,0)+AA62</f>
        <v>-2</v>
      </c>
      <c r="AE62" s="1" t="n">
        <f aca="false">IF(B62="V",-2,0)+IF(B62="E",-1,0)+IF(B62="O",0,0)+IF(B62="L",1,0)</f>
        <v>1</v>
      </c>
      <c r="AF62" s="1" t="n">
        <f aca="false">IF(B62="V",-2,0)+IF(B62="E",-1,0)+IF(B62="O",0,0)+IF(B62="L",1,0)+Y62</f>
        <v>1.5</v>
      </c>
      <c r="AG62" s="1" t="n">
        <f aca="false">IF(B62="V",-2,0)+IF(B62="E",-1,0)+IF(B62="O",0,0)+IF(B62="L",1,0)+Y62*2</f>
        <v>2</v>
      </c>
      <c r="AH62" s="1" t="n">
        <f aca="false">IF(C62="V",-2,0)+IF(C62="E",-1,0)+IF(C62="O",0,0)+IF(C62="L",1,0)</f>
        <v>1</v>
      </c>
      <c r="AI62" s="1" t="n">
        <f aca="false">IF(C62="V",-2,0)+IF(C62="E",-1,0)+IF(C62="O",0,0)+IF(C62="L",1,0)+Z62</f>
        <v>1.5</v>
      </c>
      <c r="AJ62" s="1" t="n">
        <f aca="false">IF(C62="V",-2,0)+IF(C62="E",-1,0)+IF(C62="O",0,0)+IF(C62="L",1,0)+Z62*2</f>
        <v>2</v>
      </c>
      <c r="AK62" s="1" t="n">
        <f aca="false">IF(D62="V",-2,0)+IF(D62="E",-1,0)+IF(D62="O",0,0)+IF(D62="L",1,0)</f>
        <v>-2</v>
      </c>
      <c r="AL62" s="1" t="n">
        <f aca="false">IF(D62="V",-2,0)+IF(D62="E",-1,0)+IF(D62="O",0,0)+IF(D62="L",1,0)+AA62</f>
        <v>-2</v>
      </c>
      <c r="AM62" s="1" t="n">
        <f aca="false">IF(D62="V",-2,0)+IF(D62="E",-1,0)+IF(D62="O",0,0)+IF(D62="L",1,0)+AA62*2</f>
        <v>-2</v>
      </c>
      <c r="AN62" s="1" t="n">
        <f aca="false">(ABS(IF(AE62&lt;0,AE62*Early,AE62*Late))+ABS(IF(AF62&lt;0,AF62*Early,AF62*Late))+ABS(IF(AG62&lt;0,AG62*Early,AG62*Late)))/3</f>
        <v>6</v>
      </c>
      <c r="AO62" s="1" t="n">
        <f aca="false">(ABS(IF(AH62&lt;0,AH62*Early,AH62*Late))+ABS(IF(AI62&lt;0,AI62*Early,AI62*Late))+ABS(IF(AJ62&lt;0,AJ62*Early,AJ62*Late)))/3</f>
        <v>6</v>
      </c>
      <c r="AP62" s="1" t="n">
        <f aca="false">(ABS(IF(AK62&lt;0,AK62*Early,AK62*Late))+ABS(IF(AL62&lt;0,AL62*Early,AL62*Late))+ABS(IF(AM62&lt;0,AM62*Early,AM62*Late)))/3</f>
        <v>6</v>
      </c>
      <c r="AQ62" s="0" t="n">
        <f aca="false">Y62*Delay+AN62</f>
        <v>6.5</v>
      </c>
      <c r="AR62" s="0" t="n">
        <f aca="false">Z62*Delay+AO62</f>
        <v>6.5</v>
      </c>
      <c r="AS62" s="0" t="n">
        <f aca="false">AA62*Delay+AP62</f>
        <v>6</v>
      </c>
      <c r="AT62" s="0" t="n">
        <f aca="false">IF(AS62=MIN(AS62:AS65),1,0)</f>
        <v>0</v>
      </c>
      <c r="AX62" s="0" t="str">
        <f aca="false">B62&amp;C62&amp;D62</f>
        <v>LLV</v>
      </c>
      <c r="AY62" s="1" t="n">
        <f aca="false">AQ62+AR62+AS62</f>
        <v>19</v>
      </c>
      <c r="AZ62" s="1" t="str">
        <f aca="false">RIGHT(AX62,2)</f>
        <v>LV</v>
      </c>
      <c r="BA62" s="1" t="str">
        <f aca="false">LEFT(AX62,1)&amp;RIGHT(AX62,1)</f>
        <v>LV</v>
      </c>
      <c r="BB62" s="1" t="str">
        <f aca="false">LEFT(AX62,2)</f>
        <v>LL</v>
      </c>
      <c r="BC62" s="1" t="n">
        <f aca="false">VLOOKUP(AZ62,TwoPlayers!$AG$1:$AH$17,2,FALSE())</f>
        <v>10</v>
      </c>
      <c r="BD62" s="1" t="n">
        <f aca="false">VLOOKUP(BA62,TwoPlayers!$AG$1:$AH$17,2,FALSE())</f>
        <v>10</v>
      </c>
      <c r="BE62" s="1" t="n">
        <f aca="false">VLOOKUP(BB62,TwoPlayers!$AG$1:$AH$17,2,FALSE())</f>
        <v>13</v>
      </c>
      <c r="BF62" s="1" t="n">
        <f aca="false">$AY62-BC62</f>
        <v>9</v>
      </c>
      <c r="BG62" s="1" t="n">
        <f aca="false">$AY62-BD62</f>
        <v>9</v>
      </c>
      <c r="BH62" s="1" t="n">
        <f aca="false">$AY62-BE62</f>
        <v>6</v>
      </c>
      <c r="BJ62" s="0" t="n">
        <f aca="false">AQ62+BF62</f>
        <v>15.5</v>
      </c>
      <c r="BK62" s="0" t="n">
        <f aca="false">AR62+BG62</f>
        <v>15.5</v>
      </c>
      <c r="BL62" s="0" t="n">
        <f aca="false">AS62+BH62</f>
        <v>12</v>
      </c>
      <c r="BM62" s="0" t="n">
        <f aca="false">IF(BL62=MIN(BL62:BL66),1,0)</f>
        <v>0</v>
      </c>
    </row>
    <row r="63" customFormat="false" ht="13" hidden="false" customHeight="false" outlineLevel="0" collapsed="false">
      <c r="A63" s="0" t="n">
        <v>62</v>
      </c>
      <c r="B63" s="0" t="s">
        <v>4</v>
      </c>
      <c r="C63" s="0" t="s">
        <v>4</v>
      </c>
      <c r="D63" s="0" t="s">
        <v>2</v>
      </c>
      <c r="E63" s="0" t="n">
        <f aca="false">(IF($B63="V",1,0))+IF($C63="V",1,0)+IF($D63="V",1,0)</f>
        <v>0</v>
      </c>
      <c r="F63" s="0" t="n">
        <f aca="false">(IF($B63="E",1,0))+IF($C63="E",1,0)+IF($D63="E",1,0)</f>
        <v>1</v>
      </c>
      <c r="G63" s="0" t="n">
        <f aca="false">(IF($B63="O",1,0))+IF($C63="O",1,0)+IF($D63="O",1,0)</f>
        <v>0</v>
      </c>
      <c r="H63" s="0" t="n">
        <f aca="false">(IF($B63="L",1,0))+IF($C63="L",1,0)+IF($D63="L",1,0)</f>
        <v>2</v>
      </c>
      <c r="I63" s="0" t="n">
        <f aca="false">(IF(B63="V",1,0))</f>
        <v>0</v>
      </c>
      <c r="J63" s="0" t="n">
        <f aca="false">(IF(B63="E",1,0))</f>
        <v>0</v>
      </c>
      <c r="K63" s="0" t="n">
        <f aca="false">(IF(B63="O",1,0))</f>
        <v>0</v>
      </c>
      <c r="L63" s="0" t="n">
        <f aca="false">(IF(B63="L",1,0))</f>
        <v>1</v>
      </c>
      <c r="M63" s="0" t="n">
        <f aca="false">(IF(C63="V",1,0))</f>
        <v>0</v>
      </c>
      <c r="N63" s="0" t="n">
        <f aca="false">(IF(C63="E",1,0))</f>
        <v>0</v>
      </c>
      <c r="O63" s="0" t="n">
        <f aca="false">(IF(C63="O",1,0))</f>
        <v>0</v>
      </c>
      <c r="P63" s="0" t="n">
        <f aca="false">(IF(C63="L",1,0))</f>
        <v>1</v>
      </c>
      <c r="Q63" s="0" t="n">
        <f aca="false">(IF(D63="V",1,0))</f>
        <v>0</v>
      </c>
      <c r="R63" s="0" t="n">
        <f aca="false">(IF(D63="E",1,0))</f>
        <v>1</v>
      </c>
      <c r="S63" s="0" t="n">
        <f aca="false">(IF(D63="O",1,0))</f>
        <v>0</v>
      </c>
      <c r="T63" s="0" t="n">
        <f aca="false">(IF(D63="L",1,0))</f>
        <v>0</v>
      </c>
      <c r="U63" s="0" t="n">
        <f aca="false">MAX(E63-1,0)</f>
        <v>0</v>
      </c>
      <c r="V63" s="0" t="n">
        <f aca="false">MAX(U63-1+F63,0)</f>
        <v>0</v>
      </c>
      <c r="W63" s="0" t="n">
        <f aca="false">MAX(V63-1+G63,0)</f>
        <v>0</v>
      </c>
      <c r="X63" s="0" t="n">
        <f aca="false">MAX(W63-1+H63,0)</f>
        <v>1</v>
      </c>
      <c r="Y63" s="1" t="n">
        <f aca="false">0.5*(E63*I63+F63*J63+G63*K63+H63*L63-1)+(0+$U63*J63+$V63*K63+$W63*L63)</f>
        <v>0.5</v>
      </c>
      <c r="Z63" s="1" t="n">
        <f aca="false">0.5*(E63*M63+F63*N63+G63*O63+H63*P63-1)+(0+$U63*N63+$V63*O63+$W63*P63)</f>
        <v>0.5</v>
      </c>
      <c r="AA63" s="1" t="n">
        <f aca="false">0.5*(E63*Q63+F63*R63+G63*S63+H63*T63-1)+(0+$U63*R63+$V63*S63+$W63*T63)</f>
        <v>0</v>
      </c>
      <c r="AB63" s="0" t="n">
        <f aca="false">IF(B63="V",-2,0)+IF(B63="E",-1,0)+IF(B63="O",0,0)+IF(B63="L",1,0)+Y63</f>
        <v>1.5</v>
      </c>
      <c r="AC63" s="0" t="n">
        <f aca="false">IF(C63="V",-2,0)+IF(C63="E",-1,0)+IF(C63="O",0,0)+IF(C63="L",1,0)+Z63</f>
        <v>1.5</v>
      </c>
      <c r="AD63" s="0" t="n">
        <f aca="false">IF(D63="V",-2,0)+IF(D63="E",-1,0)+IF(D63="O",0,0)+IF(D63="L",1,0)+AA63</f>
        <v>-1</v>
      </c>
      <c r="AE63" s="1" t="n">
        <f aca="false">IF(B63="V",-2,0)+IF(B63="E",-1,0)+IF(B63="O",0,0)+IF(B63="L",1,0)</f>
        <v>1</v>
      </c>
      <c r="AF63" s="1" t="n">
        <f aca="false">IF(B63="V",-2,0)+IF(B63="E",-1,0)+IF(B63="O",0,0)+IF(B63="L",1,0)+Y63</f>
        <v>1.5</v>
      </c>
      <c r="AG63" s="1" t="n">
        <f aca="false">IF(B63="V",-2,0)+IF(B63="E",-1,0)+IF(B63="O",0,0)+IF(B63="L",1,0)+Y63*2</f>
        <v>2</v>
      </c>
      <c r="AH63" s="1" t="n">
        <f aca="false">IF(C63="V",-2,0)+IF(C63="E",-1,0)+IF(C63="O",0,0)+IF(C63="L",1,0)</f>
        <v>1</v>
      </c>
      <c r="AI63" s="1" t="n">
        <f aca="false">IF(C63="V",-2,0)+IF(C63="E",-1,0)+IF(C63="O",0,0)+IF(C63="L",1,0)+Z63</f>
        <v>1.5</v>
      </c>
      <c r="AJ63" s="1" t="n">
        <f aca="false">IF(C63="V",-2,0)+IF(C63="E",-1,0)+IF(C63="O",0,0)+IF(C63="L",1,0)+Z63*2</f>
        <v>2</v>
      </c>
      <c r="AK63" s="1" t="n">
        <f aca="false">IF(D63="V",-2,0)+IF(D63="E",-1,0)+IF(D63="O",0,0)+IF(D63="L",1,0)</f>
        <v>-1</v>
      </c>
      <c r="AL63" s="1" t="n">
        <f aca="false">IF(D63="V",-2,0)+IF(D63="E",-1,0)+IF(D63="O",0,0)+IF(D63="L",1,0)+AA63</f>
        <v>-1</v>
      </c>
      <c r="AM63" s="1" t="n">
        <f aca="false">IF(D63="V",-2,0)+IF(D63="E",-1,0)+IF(D63="O",0,0)+IF(D63="L",1,0)+AA63*2</f>
        <v>-1</v>
      </c>
      <c r="AN63" s="1" t="n">
        <f aca="false">(ABS(IF(AE63&lt;0,AE63*Early,AE63*Late))+ABS(IF(AF63&lt;0,AF63*Early,AF63*Late))+ABS(IF(AG63&lt;0,AG63*Early,AG63*Late)))/3</f>
        <v>6</v>
      </c>
      <c r="AO63" s="1" t="n">
        <f aca="false">(ABS(IF(AH63&lt;0,AH63*Early,AH63*Late))+ABS(IF(AI63&lt;0,AI63*Early,AI63*Late))+ABS(IF(AJ63&lt;0,AJ63*Early,AJ63*Late)))/3</f>
        <v>6</v>
      </c>
      <c r="AP63" s="1" t="n">
        <f aca="false">(ABS(IF(AK63&lt;0,AK63*Early,AK63*Late))+ABS(IF(AL63&lt;0,AL63*Early,AL63*Late))+ABS(IF(AM63&lt;0,AM63*Early,AM63*Late)))/3</f>
        <v>3</v>
      </c>
      <c r="AQ63" s="0" t="n">
        <f aca="false">Y63*Delay+AN63</f>
        <v>6.5</v>
      </c>
      <c r="AR63" s="0" t="n">
        <f aca="false">Z63*Delay+AO63</f>
        <v>6.5</v>
      </c>
      <c r="AS63" s="0" t="n">
        <f aca="false">AA63*Delay+AP63</f>
        <v>3</v>
      </c>
      <c r="AT63" s="0" t="n">
        <f aca="false">IF(AS63=MIN(AS62:AS65),1,0)</f>
        <v>0</v>
      </c>
      <c r="AX63" s="0" t="str">
        <f aca="false">B63&amp;C63&amp;D63</f>
        <v>LLE</v>
      </c>
      <c r="AY63" s="1" t="n">
        <f aca="false">AQ63+AR63+AS63</f>
        <v>16</v>
      </c>
      <c r="AZ63" s="1" t="str">
        <f aca="false">RIGHT(AX63,2)</f>
        <v>LE</v>
      </c>
      <c r="BA63" s="1" t="str">
        <f aca="false">LEFT(AX63,1)&amp;RIGHT(AX63,1)</f>
        <v>LE</v>
      </c>
      <c r="BB63" s="1" t="str">
        <f aca="false">LEFT(AX63,2)</f>
        <v>LL</v>
      </c>
      <c r="BC63" s="1" t="n">
        <f aca="false">VLOOKUP(AZ63,TwoPlayers!$AG$1:$AH$17,2,FALSE())</f>
        <v>7</v>
      </c>
      <c r="BD63" s="1" t="n">
        <f aca="false">VLOOKUP(BA63,TwoPlayers!$AG$1:$AH$17,2,FALSE())</f>
        <v>7</v>
      </c>
      <c r="BE63" s="1" t="n">
        <f aca="false">VLOOKUP(BB63,TwoPlayers!$AG$1:$AH$17,2,FALSE())</f>
        <v>13</v>
      </c>
      <c r="BF63" s="1" t="n">
        <f aca="false">$AY63-BC63</f>
        <v>9</v>
      </c>
      <c r="BG63" s="1" t="n">
        <f aca="false">$AY63-BD63</f>
        <v>9</v>
      </c>
      <c r="BH63" s="1" t="n">
        <f aca="false">$AY63-BE63</f>
        <v>3</v>
      </c>
      <c r="BJ63" s="0" t="n">
        <f aca="false">AQ63+BF63</f>
        <v>15.5</v>
      </c>
      <c r="BK63" s="0" t="n">
        <f aca="false">AR63+BG63</f>
        <v>15.5</v>
      </c>
      <c r="BL63" s="0" t="n">
        <f aca="false">AS63+BH63</f>
        <v>6</v>
      </c>
      <c r="BM63" s="0" t="n">
        <f aca="false">IF(BL63=MIN(BL62:BL66),1,0)</f>
        <v>0</v>
      </c>
    </row>
    <row r="64" customFormat="false" ht="13" hidden="false" customHeight="false" outlineLevel="0" collapsed="false">
      <c r="A64" s="0" t="n">
        <v>63</v>
      </c>
      <c r="B64" s="0" t="s">
        <v>4</v>
      </c>
      <c r="C64" s="0" t="s">
        <v>4</v>
      </c>
      <c r="D64" s="0" t="s">
        <v>3</v>
      </c>
      <c r="E64" s="0" t="n">
        <f aca="false">(IF($B64="V",1,0))+IF($C64="V",1,0)+IF($D64="V",1,0)</f>
        <v>0</v>
      </c>
      <c r="F64" s="0" t="n">
        <f aca="false">(IF($B64="E",1,0))+IF($C64="E",1,0)+IF($D64="E",1,0)</f>
        <v>0</v>
      </c>
      <c r="G64" s="0" t="n">
        <f aca="false">(IF($B64="O",1,0))+IF($C64="O",1,0)+IF($D64="O",1,0)</f>
        <v>1</v>
      </c>
      <c r="H64" s="0" t="n">
        <f aca="false">(IF($B64="L",1,0))+IF($C64="L",1,0)+IF($D64="L",1,0)</f>
        <v>2</v>
      </c>
      <c r="I64" s="0" t="n">
        <f aca="false">(IF(B64="V",1,0))</f>
        <v>0</v>
      </c>
      <c r="J64" s="0" t="n">
        <f aca="false">(IF(B64="E",1,0))</f>
        <v>0</v>
      </c>
      <c r="K64" s="0" t="n">
        <f aca="false">(IF(B64="O",1,0))</f>
        <v>0</v>
      </c>
      <c r="L64" s="0" t="n">
        <f aca="false">(IF(B64="L",1,0))</f>
        <v>1</v>
      </c>
      <c r="M64" s="0" t="n">
        <f aca="false">(IF(C64="V",1,0))</f>
        <v>0</v>
      </c>
      <c r="N64" s="0" t="n">
        <f aca="false">(IF(C64="E",1,0))</f>
        <v>0</v>
      </c>
      <c r="O64" s="0" t="n">
        <f aca="false">(IF(C64="O",1,0))</f>
        <v>0</v>
      </c>
      <c r="P64" s="0" t="n">
        <f aca="false">(IF(C64="L",1,0))</f>
        <v>1</v>
      </c>
      <c r="Q64" s="0" t="n">
        <f aca="false">(IF(D64="V",1,0))</f>
        <v>0</v>
      </c>
      <c r="R64" s="0" t="n">
        <f aca="false">(IF(D64="E",1,0))</f>
        <v>0</v>
      </c>
      <c r="S64" s="0" t="n">
        <f aca="false">(IF(D64="O",1,0))</f>
        <v>1</v>
      </c>
      <c r="T64" s="0" t="n">
        <f aca="false">(IF(D64="L",1,0))</f>
        <v>0</v>
      </c>
      <c r="U64" s="0" t="n">
        <f aca="false">MAX(E64-1,0)</f>
        <v>0</v>
      </c>
      <c r="V64" s="0" t="n">
        <f aca="false">MAX(U64-1+F64,0)</f>
        <v>0</v>
      </c>
      <c r="W64" s="0" t="n">
        <f aca="false">MAX(V64-1+G64,0)</f>
        <v>0</v>
      </c>
      <c r="X64" s="0" t="n">
        <f aca="false">MAX(W64-1+H64,0)</f>
        <v>1</v>
      </c>
      <c r="Y64" s="1" t="n">
        <f aca="false">0.5*(E64*I64+F64*J64+G64*K64+H64*L64-1)+(0+$U64*J64+$V64*K64+$W64*L64)</f>
        <v>0.5</v>
      </c>
      <c r="Z64" s="1" t="n">
        <f aca="false">0.5*(E64*M64+F64*N64+G64*O64+H64*P64-1)+(0+$U64*N64+$V64*O64+$W64*P64)</f>
        <v>0.5</v>
      </c>
      <c r="AA64" s="1" t="n">
        <f aca="false">0.5*(E64*Q64+F64*R64+G64*S64+H64*T64-1)+(0+$U64*R64+$V64*S64+$W64*T64)</f>
        <v>0</v>
      </c>
      <c r="AB64" s="0" t="n">
        <f aca="false">IF(B64="V",-2,0)+IF(B64="E",-1,0)+IF(B64="O",0,0)+IF(B64="L",1,0)+Y64</f>
        <v>1.5</v>
      </c>
      <c r="AC64" s="0" t="n">
        <f aca="false">IF(C64="V",-2,0)+IF(C64="E",-1,0)+IF(C64="O",0,0)+IF(C64="L",1,0)+Z64</f>
        <v>1.5</v>
      </c>
      <c r="AD64" s="0" t="n">
        <f aca="false">IF(D64="V",-2,0)+IF(D64="E",-1,0)+IF(D64="O",0,0)+IF(D64="L",1,0)+AA64</f>
        <v>0</v>
      </c>
      <c r="AE64" s="1" t="n">
        <f aca="false">IF(B64="V",-2,0)+IF(B64="E",-1,0)+IF(B64="O",0,0)+IF(B64="L",1,0)</f>
        <v>1</v>
      </c>
      <c r="AF64" s="1" t="n">
        <f aca="false">IF(B64="V",-2,0)+IF(B64="E",-1,0)+IF(B64="O",0,0)+IF(B64="L",1,0)+Y64</f>
        <v>1.5</v>
      </c>
      <c r="AG64" s="1" t="n">
        <f aca="false">IF(B64="V",-2,0)+IF(B64="E",-1,0)+IF(B64="O",0,0)+IF(B64="L",1,0)+Y64*2</f>
        <v>2</v>
      </c>
      <c r="AH64" s="1" t="n">
        <f aca="false">IF(C64="V",-2,0)+IF(C64="E",-1,0)+IF(C64="O",0,0)+IF(C64="L",1,0)</f>
        <v>1</v>
      </c>
      <c r="AI64" s="1" t="n">
        <f aca="false">IF(C64="V",-2,0)+IF(C64="E",-1,0)+IF(C64="O",0,0)+IF(C64="L",1,0)+Z64</f>
        <v>1.5</v>
      </c>
      <c r="AJ64" s="1" t="n">
        <f aca="false">IF(C64="V",-2,0)+IF(C64="E",-1,0)+IF(C64="O",0,0)+IF(C64="L",1,0)+Z64*2</f>
        <v>2</v>
      </c>
      <c r="AK64" s="1" t="n">
        <f aca="false">IF(D64="V",-2,0)+IF(D64="E",-1,0)+IF(D64="O",0,0)+IF(D64="L",1,0)</f>
        <v>0</v>
      </c>
      <c r="AL64" s="1" t="n">
        <f aca="false">IF(D64="V",-2,0)+IF(D64="E",-1,0)+IF(D64="O",0,0)+IF(D64="L",1,0)+AA64</f>
        <v>0</v>
      </c>
      <c r="AM64" s="1" t="n">
        <f aca="false">IF(D64="V",-2,0)+IF(D64="E",-1,0)+IF(D64="O",0,0)+IF(D64="L",1,0)+AA64*2</f>
        <v>0</v>
      </c>
      <c r="AN64" s="1" t="n">
        <f aca="false">(ABS(IF(AE64&lt;0,AE64*Early,AE64*Late))+ABS(IF(AF64&lt;0,AF64*Early,AF64*Late))+ABS(IF(AG64&lt;0,AG64*Early,AG64*Late)))/3</f>
        <v>6</v>
      </c>
      <c r="AO64" s="1" t="n">
        <f aca="false">(ABS(IF(AH64&lt;0,AH64*Early,AH64*Late))+ABS(IF(AI64&lt;0,AI64*Early,AI64*Late))+ABS(IF(AJ64&lt;0,AJ64*Early,AJ64*Late)))/3</f>
        <v>6</v>
      </c>
      <c r="AP64" s="1" t="n">
        <f aca="false">(ABS(IF(AK64&lt;0,AK64*Early,AK64*Late))+ABS(IF(AL64&lt;0,AL64*Early,AL64*Late))+ABS(IF(AM64&lt;0,AM64*Early,AM64*Late)))/3</f>
        <v>0</v>
      </c>
      <c r="AQ64" s="0" t="n">
        <f aca="false">Y64*Delay+AN64</f>
        <v>6.5</v>
      </c>
      <c r="AR64" s="0" t="n">
        <f aca="false">Z64*Delay+AO64</f>
        <v>6.5</v>
      </c>
      <c r="AS64" s="0" t="n">
        <f aca="false">AA64*Delay+AP64</f>
        <v>0</v>
      </c>
      <c r="AT64" s="0" t="n">
        <f aca="false">IF(AS64=MIN(AS62:AS65),1,0)</f>
        <v>1</v>
      </c>
      <c r="AX64" s="0" t="str">
        <f aca="false">B64&amp;C64&amp;D64</f>
        <v>LLO</v>
      </c>
      <c r="AY64" s="1" t="n">
        <f aca="false">AQ64+AR64+AS64</f>
        <v>13</v>
      </c>
      <c r="AZ64" s="1" t="str">
        <f aca="false">RIGHT(AX64,2)</f>
        <v>LO</v>
      </c>
      <c r="BA64" s="1" t="str">
        <f aca="false">LEFT(AX64,1)&amp;RIGHT(AX64,1)</f>
        <v>LO</v>
      </c>
      <c r="BB64" s="1" t="str">
        <f aca="false">LEFT(AX64,2)</f>
        <v>LL</v>
      </c>
      <c r="BC64" s="1" t="n">
        <f aca="false">VLOOKUP(AZ64,TwoPlayers!$AG$1:$AH$17,2,FALSE())</f>
        <v>4</v>
      </c>
      <c r="BD64" s="1" t="n">
        <f aca="false">VLOOKUP(BA64,TwoPlayers!$AG$1:$AH$17,2,FALSE())</f>
        <v>4</v>
      </c>
      <c r="BE64" s="1" t="n">
        <f aca="false">VLOOKUP(BB64,TwoPlayers!$AG$1:$AH$17,2,FALSE())</f>
        <v>13</v>
      </c>
      <c r="BF64" s="1" t="n">
        <f aca="false">$AY64-BC64</f>
        <v>9</v>
      </c>
      <c r="BG64" s="1" t="n">
        <f aca="false">$AY64-BD64</f>
        <v>9</v>
      </c>
      <c r="BH64" s="1" t="n">
        <f aca="false">$AY64-BE64</f>
        <v>0</v>
      </c>
      <c r="BJ64" s="0" t="n">
        <f aca="false">AQ64+BF64</f>
        <v>15.5</v>
      </c>
      <c r="BK64" s="0" t="n">
        <f aca="false">AR64+BG64</f>
        <v>15.5</v>
      </c>
      <c r="BL64" s="0" t="n">
        <f aca="false">AS64+BH64</f>
        <v>0</v>
      </c>
      <c r="BM64" s="0" t="n">
        <f aca="false">IF(BL64=MIN(BL62:BL66),1,0)</f>
        <v>1</v>
      </c>
    </row>
    <row r="65" customFormat="false" ht="13" hidden="false" customHeight="false" outlineLevel="0" collapsed="false">
      <c r="A65" s="0" t="n">
        <v>64</v>
      </c>
      <c r="B65" s="0" t="s">
        <v>4</v>
      </c>
      <c r="C65" s="0" t="s">
        <v>4</v>
      </c>
      <c r="D65" s="0" t="s">
        <v>4</v>
      </c>
      <c r="E65" s="0" t="n">
        <f aca="false">(IF($B65="V",1,0))+IF($C65="V",1,0)+IF($D65="V",1,0)</f>
        <v>0</v>
      </c>
      <c r="F65" s="0" t="n">
        <f aca="false">(IF($B65="E",1,0))+IF($C65="E",1,0)+IF($D65="E",1,0)</f>
        <v>0</v>
      </c>
      <c r="G65" s="0" t="n">
        <f aca="false">(IF($B65="O",1,0))+IF($C65="O",1,0)+IF($D65="O",1,0)</f>
        <v>0</v>
      </c>
      <c r="H65" s="0" t="n">
        <f aca="false">(IF($B65="L",1,0))+IF($C65="L",1,0)+IF($D65="L",1,0)</f>
        <v>3</v>
      </c>
      <c r="I65" s="0" t="n">
        <f aca="false">(IF(B65="V",1,0))</f>
        <v>0</v>
      </c>
      <c r="J65" s="0" t="n">
        <f aca="false">(IF(B65="E",1,0))</f>
        <v>0</v>
      </c>
      <c r="K65" s="0" t="n">
        <f aca="false">(IF(B65="O",1,0))</f>
        <v>0</v>
      </c>
      <c r="L65" s="0" t="n">
        <f aca="false">(IF(B65="L",1,0))</f>
        <v>1</v>
      </c>
      <c r="M65" s="0" t="n">
        <f aca="false">(IF(C65="V",1,0))</f>
        <v>0</v>
      </c>
      <c r="N65" s="0" t="n">
        <f aca="false">(IF(C65="E",1,0))</f>
        <v>0</v>
      </c>
      <c r="O65" s="0" t="n">
        <f aca="false">(IF(C65="O",1,0))</f>
        <v>0</v>
      </c>
      <c r="P65" s="0" t="n">
        <f aca="false">(IF(C65="L",1,0))</f>
        <v>1</v>
      </c>
      <c r="Q65" s="0" t="n">
        <f aca="false">(IF(D65="V",1,0))</f>
        <v>0</v>
      </c>
      <c r="R65" s="0" t="n">
        <f aca="false">(IF(D65="E",1,0))</f>
        <v>0</v>
      </c>
      <c r="S65" s="0" t="n">
        <f aca="false">(IF(D65="O",1,0))</f>
        <v>0</v>
      </c>
      <c r="T65" s="0" t="n">
        <f aca="false">(IF(D65="L",1,0))</f>
        <v>1</v>
      </c>
      <c r="U65" s="0" t="n">
        <f aca="false">MAX(E65-1,0)</f>
        <v>0</v>
      </c>
      <c r="V65" s="0" t="n">
        <f aca="false">MAX(U65-1+F65,0)</f>
        <v>0</v>
      </c>
      <c r="W65" s="0" t="n">
        <f aca="false">MAX(V65-1+G65,0)</f>
        <v>0</v>
      </c>
      <c r="X65" s="0" t="n">
        <f aca="false">MAX(W65-1+H65,0)</f>
        <v>2</v>
      </c>
      <c r="Y65" s="1" t="n">
        <f aca="false">0.5*(E65*I65+F65*J65+G65*K65+H65*L65-1)+(0+$U65*J65+$V65*K65+$W65*L65)</f>
        <v>1</v>
      </c>
      <c r="Z65" s="1" t="n">
        <f aca="false">0.5*(E65*M65+F65*N65+G65*O65+H65*P65-1)+(0+$U65*N65+$V65*O65+$W65*P65)</f>
        <v>1</v>
      </c>
      <c r="AA65" s="1" t="n">
        <f aca="false">0.5*(E65*Q65+F65*R65+G65*S65+H65*T65-1)+(0+$U65*R65+$V65*S65+$W65*T65)</f>
        <v>1</v>
      </c>
      <c r="AB65" s="0" t="n">
        <f aca="false">IF(B65="V",-2,0)+IF(B65="E",-1,0)+IF(B65="O",0,0)+IF(B65="L",1,0)+Y65</f>
        <v>2</v>
      </c>
      <c r="AC65" s="0" t="n">
        <f aca="false">IF(C65="V",-2,0)+IF(C65="E",-1,0)+IF(C65="O",0,0)+IF(C65="L",1,0)+Z65</f>
        <v>2</v>
      </c>
      <c r="AD65" s="0" t="n">
        <f aca="false">IF(D65="V",-2,0)+IF(D65="E",-1,0)+IF(D65="O",0,0)+IF(D65="L",1,0)+AA65</f>
        <v>2</v>
      </c>
      <c r="AE65" s="1" t="n">
        <f aca="false">IF(B65="V",-2,0)+IF(B65="E",-1,0)+IF(B65="O",0,0)+IF(B65="L",1,0)</f>
        <v>1</v>
      </c>
      <c r="AF65" s="1" t="n">
        <f aca="false">IF(B65="V",-2,0)+IF(B65="E",-1,0)+IF(B65="O",0,0)+IF(B65="L",1,0)+Y65</f>
        <v>2</v>
      </c>
      <c r="AG65" s="1" t="n">
        <f aca="false">IF(B65="V",-2,0)+IF(B65="E",-1,0)+IF(B65="O",0,0)+IF(B65="L",1,0)+Y65*2</f>
        <v>3</v>
      </c>
      <c r="AH65" s="1" t="n">
        <f aca="false">IF(C65="V",-2,0)+IF(C65="E",-1,0)+IF(C65="O",0,0)+IF(C65="L",1,0)</f>
        <v>1</v>
      </c>
      <c r="AI65" s="1" t="n">
        <f aca="false">IF(C65="V",-2,0)+IF(C65="E",-1,0)+IF(C65="O",0,0)+IF(C65="L",1,0)+Z65</f>
        <v>2</v>
      </c>
      <c r="AJ65" s="1" t="n">
        <f aca="false">IF(C65="V",-2,0)+IF(C65="E",-1,0)+IF(C65="O",0,0)+IF(C65="L",1,0)+Z65*2</f>
        <v>3</v>
      </c>
      <c r="AK65" s="1" t="n">
        <f aca="false">IF(D65="V",-2,0)+IF(D65="E",-1,0)+IF(D65="O",0,0)+IF(D65="L",1,0)</f>
        <v>1</v>
      </c>
      <c r="AL65" s="1" t="n">
        <f aca="false">IF(D65="V",-2,0)+IF(D65="E",-1,0)+IF(D65="O",0,0)+IF(D65="L",1,0)+AA65</f>
        <v>2</v>
      </c>
      <c r="AM65" s="1" t="n">
        <f aca="false">IF(D65="V",-2,0)+IF(D65="E",-1,0)+IF(D65="O",0,0)+IF(D65="L",1,0)+AA65*2</f>
        <v>3</v>
      </c>
      <c r="AN65" s="1" t="n">
        <f aca="false">(ABS(IF(AE65&lt;0,AE65*Early,AE65*Late))+ABS(IF(AF65&lt;0,AF65*Early,AF65*Late))+ABS(IF(AG65&lt;0,AG65*Early,AG65*Late)))/3</f>
        <v>8</v>
      </c>
      <c r="AO65" s="1" t="n">
        <f aca="false">(ABS(IF(AH65&lt;0,AH65*Early,AH65*Late))+ABS(IF(AI65&lt;0,AI65*Early,AI65*Late))+ABS(IF(AJ65&lt;0,AJ65*Early,AJ65*Late)))/3</f>
        <v>8</v>
      </c>
      <c r="AP65" s="1" t="n">
        <f aca="false">(ABS(IF(AK65&lt;0,AK65*Early,AK65*Late))+ABS(IF(AL65&lt;0,AL65*Early,AL65*Late))+ABS(IF(AM65&lt;0,AM65*Early,AM65*Late)))/3</f>
        <v>8</v>
      </c>
      <c r="AQ65" s="0" t="n">
        <f aca="false">Y65*Delay+AN65</f>
        <v>9</v>
      </c>
      <c r="AR65" s="0" t="n">
        <f aca="false">Z65*Delay+AO65</f>
        <v>9</v>
      </c>
      <c r="AS65" s="0" t="n">
        <f aca="false">AA65*Delay+AP65</f>
        <v>9</v>
      </c>
      <c r="AT65" s="0" t="n">
        <f aca="false">IF(AS65=MIN(AS62:AS65),1,0)</f>
        <v>0</v>
      </c>
      <c r="AX65" s="1" t="str">
        <f aca="false">B65&amp;C65&amp;D65</f>
        <v>LLL</v>
      </c>
      <c r="AY65" s="1" t="n">
        <f aca="false">AQ65+AR65+AS65</f>
        <v>27</v>
      </c>
      <c r="AZ65" s="1" t="str">
        <f aca="false">RIGHT(AX65,2)</f>
        <v>LL</v>
      </c>
      <c r="BA65" s="1" t="str">
        <f aca="false">LEFT(AX65,1)&amp;RIGHT(AX65,1)</f>
        <v>LL</v>
      </c>
      <c r="BB65" s="1" t="str">
        <f aca="false">LEFT(AX65,2)</f>
        <v>LL</v>
      </c>
      <c r="BC65" s="1" t="n">
        <f aca="false">VLOOKUP(AZ65,TwoPlayers!$AG$1:$AH$17,2,FALSE())</f>
        <v>13</v>
      </c>
      <c r="BD65" s="1" t="n">
        <f aca="false">VLOOKUP(BA65,TwoPlayers!$AG$1:$AH$17,2,FALSE())</f>
        <v>13</v>
      </c>
      <c r="BE65" s="1" t="n">
        <f aca="false">VLOOKUP(BB65,TwoPlayers!$AG$1:$AH$17,2,FALSE())</f>
        <v>13</v>
      </c>
      <c r="BF65" s="1" t="n">
        <f aca="false">$AY65-BC65</f>
        <v>14</v>
      </c>
      <c r="BG65" s="1" t="n">
        <f aca="false">$AY65-BD65</f>
        <v>14</v>
      </c>
      <c r="BH65" s="1" t="n">
        <f aca="false">$AY65-BE65</f>
        <v>14</v>
      </c>
      <c r="BJ65" s="0" t="n">
        <f aca="false">AQ65+BF65</f>
        <v>23</v>
      </c>
      <c r="BK65" s="0" t="n">
        <f aca="false">AR65+BG65</f>
        <v>23</v>
      </c>
      <c r="BL65" s="0" t="n">
        <f aca="false">AS65+BH65</f>
        <v>23</v>
      </c>
      <c r="BM65" s="0" t="n">
        <f aca="false">IF(BL65=MIN(BL62:BL66),1,0)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2002-11-19T05:54:29Z</dcterms:created>
  <dc:creator>David Levinson</dc:creator>
  <dc:description/>
  <dc:language>en-AU</dc:language>
  <cp:lastModifiedBy>David Levinson</cp:lastModifiedBy>
  <cp:revision>0</cp:revision>
  <dc:subject/>
  <dc:title/>
</cp:coreProperties>
</file>