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gestion Game" sheetId="1" state="visible" r:id="rId3"/>
    <sheet name="Pricing Game" sheetId="2" state="visible" r:id="rId4"/>
    <sheet name="Parameters" sheetId="3" state="visible" r:id="rId5"/>
  </sheets>
  <definedNames>
    <definedName function="false" hidden="false" name="D" vbProcedure="false">Parameters!$C$4</definedName>
    <definedName function="false" hidden="false" name="E" vbProcedure="false">Parameters!$C$3</definedName>
    <definedName function="false" hidden="false" name="L" vbProcedure="false">Parameters!$C$5</definedName>
    <definedName function="false" hidden="false" name="TE" vbProcedure="false">Parameters!$F$3</definedName>
    <definedName function="false" hidden="false" name="TL" vbProcedure="false">Parameters!$F$5</definedName>
    <definedName function="false" hidden="false" name="TO" vbProcedure="false">Parameters!$F$4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<sst xmlns="http://schemas.openxmlformats.org/spreadsheetml/2006/main" count="125" uniqueCount="58">
  <si>
    <t xml:space="preserve">Two Player Congestion Game</t>
  </si>
  <si>
    <t xml:space="preserve">Vehicle 2</t>
  </si>
  <si>
    <t xml:space="preserve">Early</t>
  </si>
  <si>
    <t xml:space="preserve">On-time</t>
  </si>
  <si>
    <t xml:space="preserve">Late</t>
  </si>
  <si>
    <r>
      <rPr>
        <sz val="12"/>
        <rFont val="Times New Roman"/>
        <family val="0"/>
      </rPr>
      <t xml:space="preserve">[0.5*(</t>
    </r>
    <r>
      <rPr>
        <i val="true"/>
        <sz val="12"/>
        <rFont val="Times New Roman"/>
        <family val="0"/>
      </rPr>
      <t xml:space="preserve">E+D</t>
    </r>
    <r>
      <rPr>
        <sz val="12"/>
        <rFont val="Times New Roman"/>
        <family val="0"/>
      </rPr>
      <t xml:space="preserve">), 0.5*(</t>
    </r>
    <r>
      <rPr>
        <i val="true"/>
        <sz val="12"/>
        <rFont val="Times New Roman"/>
        <family val="0"/>
      </rPr>
      <t xml:space="preserve">E+D</t>
    </r>
    <r>
      <rPr>
        <sz val="12"/>
        <rFont val="Times New Roman"/>
        <family val="0"/>
      </rPr>
      <t xml:space="preserve">)]</t>
    </r>
  </si>
  <si>
    <r>
      <rPr>
        <sz val="12"/>
        <rFont val="Times New Roman"/>
        <family val="0"/>
      </rPr>
      <t xml:space="preserve">[</t>
    </r>
    <r>
      <rPr>
        <i val="true"/>
        <sz val="12"/>
        <rFont val="Times New Roman"/>
        <family val="0"/>
      </rPr>
      <t xml:space="preserve">E</t>
    </r>
    <r>
      <rPr>
        <sz val="12"/>
        <rFont val="Times New Roman"/>
        <family val="0"/>
      </rPr>
      <t xml:space="preserve">,0]</t>
    </r>
  </si>
  <si>
    <r>
      <rPr>
        <sz val="12"/>
        <rFont val="Times New Roman"/>
        <family val="0"/>
      </rPr>
      <t xml:space="preserve">[</t>
    </r>
    <r>
      <rPr>
        <i val="true"/>
        <sz val="12"/>
        <rFont val="Times New Roman"/>
        <family val="0"/>
      </rPr>
      <t xml:space="preserve">E,L</t>
    </r>
    <r>
      <rPr>
        <sz val="12"/>
        <rFont val="Times New Roman"/>
        <family val="0"/>
      </rPr>
      <t xml:space="preserve">]</t>
    </r>
  </si>
  <si>
    <t xml:space="preserve">Vehicle 1</t>
  </si>
  <si>
    <r>
      <rPr>
        <sz val="12"/>
        <rFont val="Times New Roman"/>
        <family val="0"/>
      </rPr>
      <t xml:space="preserve">[0,</t>
    </r>
    <r>
      <rPr>
        <i val="true"/>
        <sz val="12"/>
        <rFont val="Times New Roman"/>
        <family val="0"/>
      </rPr>
      <t xml:space="preserve">E</t>
    </r>
    <r>
      <rPr>
        <sz val="12"/>
        <rFont val="Times New Roman"/>
        <family val="0"/>
      </rPr>
      <t xml:space="preserve">]</t>
    </r>
  </si>
  <si>
    <r>
      <rPr>
        <sz val="12"/>
        <rFont val="Times New Roman"/>
        <family val="0"/>
      </rPr>
      <t xml:space="preserve">[0.5*(</t>
    </r>
    <r>
      <rPr>
        <i val="true"/>
        <sz val="12"/>
        <rFont val="Times New Roman"/>
        <family val="0"/>
      </rPr>
      <t xml:space="preserve">L+D</t>
    </r>
    <r>
      <rPr>
        <sz val="12"/>
        <rFont val="Times New Roman"/>
        <family val="0"/>
      </rPr>
      <t xml:space="preserve">), 0.5*(</t>
    </r>
    <r>
      <rPr>
        <i val="true"/>
        <sz val="12"/>
        <rFont val="Times New Roman"/>
        <family val="0"/>
      </rPr>
      <t xml:space="preserve">L+D</t>
    </r>
    <r>
      <rPr>
        <sz val="12"/>
        <rFont val="Times New Roman"/>
        <family val="0"/>
      </rPr>
      <t xml:space="preserve">)]</t>
    </r>
  </si>
  <si>
    <r>
      <rPr>
        <sz val="12"/>
        <rFont val="Times New Roman"/>
        <family val="0"/>
      </rPr>
      <t xml:space="preserve">[0,</t>
    </r>
    <r>
      <rPr>
        <i val="true"/>
        <sz val="12"/>
        <rFont val="Times New Roman"/>
        <family val="0"/>
      </rPr>
      <t xml:space="preserve">L</t>
    </r>
    <r>
      <rPr>
        <sz val="12"/>
        <rFont val="Times New Roman"/>
        <family val="0"/>
      </rPr>
      <t xml:space="preserve">]</t>
    </r>
  </si>
  <si>
    <r>
      <rPr>
        <sz val="12"/>
        <rFont val="Times New Roman"/>
        <family val="0"/>
      </rPr>
      <t xml:space="preserve">[</t>
    </r>
    <r>
      <rPr>
        <i val="true"/>
        <sz val="12"/>
        <rFont val="Times New Roman"/>
        <family val="0"/>
      </rPr>
      <t xml:space="preserve">L,E</t>
    </r>
    <r>
      <rPr>
        <sz val="12"/>
        <rFont val="Times New Roman"/>
        <family val="0"/>
      </rPr>
      <t xml:space="preserve">]</t>
    </r>
  </si>
  <si>
    <r>
      <rPr>
        <sz val="12"/>
        <rFont val="Times New Roman"/>
        <family val="0"/>
      </rPr>
      <t xml:space="preserve">[</t>
    </r>
    <r>
      <rPr>
        <i val="true"/>
        <sz val="12"/>
        <rFont val="Times New Roman"/>
        <family val="0"/>
      </rPr>
      <t xml:space="preserve">L</t>
    </r>
    <r>
      <rPr>
        <sz val="12"/>
        <rFont val="Times New Roman"/>
        <family val="0"/>
      </rPr>
      <t xml:space="preserve">,0]</t>
    </r>
  </si>
  <si>
    <r>
      <rPr>
        <sz val="12"/>
        <rFont val="Times New Roman"/>
        <family val="0"/>
      </rPr>
      <t xml:space="preserve">[</t>
    </r>
    <r>
      <rPr>
        <i val="true"/>
        <sz val="12"/>
        <rFont val="Times New Roman"/>
        <family val="0"/>
      </rPr>
      <t xml:space="preserve">L</t>
    </r>
    <r>
      <rPr>
        <sz val="12"/>
        <rFont val="Times New Roman"/>
        <family val="0"/>
      </rPr>
      <t xml:space="preserve">+0.5*(</t>
    </r>
    <r>
      <rPr>
        <i val="true"/>
        <sz val="12"/>
        <rFont val="Times New Roman"/>
        <family val="0"/>
      </rPr>
      <t xml:space="preserve">L+D</t>
    </r>
    <r>
      <rPr>
        <sz val="12"/>
        <rFont val="Times New Roman"/>
        <family val="0"/>
      </rPr>
      <t xml:space="preserve">), </t>
    </r>
    <r>
      <rPr>
        <i val="true"/>
        <sz val="12"/>
        <rFont val="Times New Roman"/>
        <family val="0"/>
      </rPr>
      <t xml:space="preserve">L</t>
    </r>
    <r>
      <rPr>
        <sz val="12"/>
        <rFont val="Times New Roman"/>
        <family val="0"/>
      </rPr>
      <t xml:space="preserve">+0.5*(</t>
    </r>
    <r>
      <rPr>
        <i val="true"/>
        <sz val="12"/>
        <rFont val="Times New Roman"/>
        <family val="0"/>
      </rPr>
      <t xml:space="preserve">L+D</t>
    </r>
    <r>
      <rPr>
        <sz val="12"/>
        <rFont val="Times New Roman"/>
        <family val="0"/>
      </rPr>
      <t xml:space="preserve">)]</t>
    </r>
  </si>
  <si>
    <t xml:space="preserve">E</t>
  </si>
  <si>
    <t xml:space="preserve">D</t>
  </si>
  <si>
    <t xml:space="preserve">L</t>
  </si>
  <si>
    <t xml:space="preserve">Strategy Pairs</t>
  </si>
  <si>
    <t xml:space="preserve">V1 improve (1,0)</t>
  </si>
  <si>
    <t xml:space="preserve">V2 improve (1,0)</t>
  </si>
  <si>
    <t xml:space="preserve">Nash</t>
  </si>
  <si>
    <t xml:space="preserve">Total Cost</t>
  </si>
  <si>
    <t xml:space="preserve">ee</t>
  </si>
  <si>
    <t xml:space="preserve">eo</t>
  </si>
  <si>
    <t xml:space="preserve">el</t>
  </si>
  <si>
    <t xml:space="preserve">oe</t>
  </si>
  <si>
    <t xml:space="preserve">oo</t>
  </si>
  <si>
    <t xml:space="preserve">ol</t>
  </si>
  <si>
    <t xml:space="preserve">le</t>
  </si>
  <si>
    <t xml:space="preserve">lo</t>
  </si>
  <si>
    <t xml:space="preserve">ll</t>
  </si>
  <si>
    <t xml:space="preserve">Minimum Total Cost</t>
  </si>
  <si>
    <t xml:space="preserve">Two Player Congestion Pricing Game</t>
  </si>
  <si>
    <r>
      <rPr>
        <sz val="12"/>
        <rFont val="Times New Roman"/>
        <family val="0"/>
      </rPr>
      <t xml:space="preserve">[0.5*(E+D)+</t>
    </r>
    <r>
      <rPr>
        <sz val="12"/>
        <rFont val="Symbol"/>
        <family val="0"/>
      </rPr>
      <t xml:space="preserve">t</t>
    </r>
    <r>
      <rPr>
        <vertAlign val="subscript"/>
        <sz val="12"/>
        <rFont val="Times New Roman"/>
        <family val="0"/>
      </rPr>
      <t xml:space="preserve">e</t>
    </r>
    <r>
      <rPr>
        <sz val="12"/>
        <rFont val="Times New Roman"/>
        <family val="0"/>
      </rPr>
      <t xml:space="preserve">, 0.5*(E+D) + </t>
    </r>
    <r>
      <rPr>
        <sz val="12"/>
        <rFont val="Symbol"/>
        <family val="0"/>
      </rPr>
      <t xml:space="preserve">t</t>
    </r>
    <r>
      <rPr>
        <vertAlign val="subscript"/>
        <sz val="12"/>
        <rFont val="Times New Roman"/>
        <family val="0"/>
      </rPr>
      <t xml:space="preserve">e</t>
    </r>
    <r>
      <rPr>
        <sz val="12"/>
        <rFont val="Times New Roman"/>
        <family val="0"/>
      </rPr>
      <t xml:space="preserve">]</t>
    </r>
  </si>
  <si>
    <t xml:space="preserve">[E,0]</t>
  </si>
  <si>
    <t xml:space="preserve">[E,L]</t>
  </si>
  <si>
    <t xml:space="preserve">[0,E]</t>
  </si>
  <si>
    <r>
      <rPr>
        <sz val="12"/>
        <rFont val="Times New Roman"/>
        <family val="0"/>
      </rPr>
      <t xml:space="preserve">[0.5*(L+D)+</t>
    </r>
    <r>
      <rPr>
        <sz val="12"/>
        <rFont val="Symbol"/>
        <family val="0"/>
      </rPr>
      <t xml:space="preserve">t</t>
    </r>
    <r>
      <rPr>
        <vertAlign val="subscript"/>
        <sz val="12"/>
        <rFont val="Times New Roman"/>
        <family val="0"/>
      </rPr>
      <t xml:space="preserve">o</t>
    </r>
    <r>
      <rPr>
        <sz val="12"/>
        <rFont val="Times New Roman"/>
        <family val="0"/>
      </rPr>
      <t xml:space="preserve">, 0.5*(L+D) + </t>
    </r>
    <r>
      <rPr>
        <sz val="12"/>
        <rFont val="Symbol"/>
        <family val="0"/>
      </rPr>
      <t xml:space="preserve">t</t>
    </r>
    <r>
      <rPr>
        <vertAlign val="subscript"/>
        <sz val="12"/>
        <rFont val="Times New Roman"/>
        <family val="0"/>
      </rPr>
      <t xml:space="preserve">o</t>
    </r>
    <r>
      <rPr>
        <sz val="12"/>
        <rFont val="Times New Roman"/>
        <family val="0"/>
      </rPr>
      <t xml:space="preserve">]</t>
    </r>
  </si>
  <si>
    <t xml:space="preserve">[0,L]</t>
  </si>
  <si>
    <t xml:space="preserve">[L,E]</t>
  </si>
  <si>
    <t xml:space="preserve">[L,0]</t>
  </si>
  <si>
    <r>
      <rPr>
        <sz val="12"/>
        <rFont val="Times New Roman"/>
        <family val="0"/>
      </rPr>
      <t xml:space="preserve">[L+0.5*(L+D)+</t>
    </r>
    <r>
      <rPr>
        <sz val="12"/>
        <rFont val="Symbol"/>
        <family val="0"/>
      </rPr>
      <t xml:space="preserve">t</t>
    </r>
    <r>
      <rPr>
        <vertAlign val="subscript"/>
        <sz val="12"/>
        <rFont val="Times New Roman"/>
        <family val="0"/>
      </rPr>
      <t xml:space="preserve">l</t>
    </r>
    <r>
      <rPr>
        <sz val="12"/>
        <rFont val="Times New Roman"/>
        <family val="0"/>
      </rPr>
      <t xml:space="preserve">, L+0.5*(L+D) + </t>
    </r>
    <r>
      <rPr>
        <sz val="12"/>
        <rFont val="Symbol"/>
        <family val="0"/>
      </rPr>
      <t xml:space="preserve">t</t>
    </r>
    <r>
      <rPr>
        <vertAlign val="subscript"/>
        <sz val="12"/>
        <rFont val="Times New Roman"/>
        <family val="0"/>
      </rPr>
      <t xml:space="preserve">l</t>
    </r>
    <r>
      <rPr>
        <sz val="12"/>
        <rFont val="Times New Roman"/>
        <family val="0"/>
      </rPr>
      <t xml:space="preserve">]</t>
    </r>
  </si>
  <si>
    <t xml:space="preserve">Parameters</t>
  </si>
  <si>
    <t xml:space="preserve">Penalties</t>
  </si>
  <si>
    <t xml:space="preserve">Tolls</t>
  </si>
  <si>
    <t xml:space="preserve">AC</t>
  </si>
  <si>
    <t xml:space="preserve">IC</t>
  </si>
  <si>
    <t xml:space="preserve">Toll</t>
  </si>
  <si>
    <t xml:space="preserve">TE</t>
  </si>
  <si>
    <t xml:space="preserve">Delay</t>
  </si>
  <si>
    <t xml:space="preserve">TO</t>
  </si>
  <si>
    <t xml:space="preserve">TL</t>
  </si>
  <si>
    <t xml:space="preserve">Congestion Solutions</t>
  </si>
  <si>
    <t xml:space="preserve">TC</t>
  </si>
  <si>
    <t xml:space="preserve">Pricing</t>
  </si>
  <si>
    <t xml:space="preserve"> </t>
  </si>
  <si>
    <t xml:space="preserve">MinCost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</si>
</sst>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Verdana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0"/>
    </font>
    <font>
      <i val="true"/>
      <sz val="12"/>
      <name val="Times New Roman"/>
      <family val="0"/>
    </font>
    <font>
      <sz val="12"/>
      <name val="Symbol"/>
      <family val="0"/>
    </font>
    <font>
      <vertAlign val="subscript"/>
      <sz val="12"/>
      <name val="Times New Roman"/>
      <family val="0"/>
    </font>
    <font>
      <b val="true"/>
      <sz val="10"/>
      <name val="Verdana"/>
      <family val="0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justify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4" fillId="0" borderId="7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justify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5078125" defaultRowHeight="13" customHeight="false" zeroHeight="false" outlineLevelRow="0" outlineLevelCol="0"/>
  <sheetData>
    <row r="1" customFormat="false" ht="13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  <c r="B3" s="2"/>
      <c r="C3" s="2"/>
      <c r="D3" s="2" t="s">
        <v>1</v>
      </c>
      <c r="E3" s="2"/>
    </row>
    <row r="4" customFormat="false" ht="15" hidden="false" customHeight="false" outlineLevel="0" collapsed="false">
      <c r="A4" s="2"/>
      <c r="B4" s="2"/>
      <c r="C4" s="3" t="s">
        <v>2</v>
      </c>
      <c r="D4" s="4" t="s">
        <v>3</v>
      </c>
      <c r="E4" s="5" t="s">
        <v>4</v>
      </c>
    </row>
    <row r="5" customFormat="false" ht="30" hidden="false" customHeight="false" outlineLevel="0" collapsed="false">
      <c r="A5" s="2"/>
      <c r="B5" s="3" t="s">
        <v>2</v>
      </c>
      <c r="C5" s="3" t="s">
        <v>5</v>
      </c>
      <c r="D5" s="4" t="s">
        <v>6</v>
      </c>
      <c r="E5" s="5" t="s">
        <v>7</v>
      </c>
    </row>
    <row r="6" customFormat="false" ht="30" hidden="false" customHeight="false" outlineLevel="0" collapsed="false">
      <c r="A6" s="2" t="s">
        <v>8</v>
      </c>
      <c r="B6" s="6" t="s">
        <v>3</v>
      </c>
      <c r="C6" s="6" t="s">
        <v>9</v>
      </c>
      <c r="D6" s="7" t="s">
        <v>10</v>
      </c>
      <c r="E6" s="8" t="s">
        <v>11</v>
      </c>
    </row>
    <row r="7" customFormat="false" ht="60" hidden="false" customHeight="false" outlineLevel="0" collapsed="false">
      <c r="A7" s="2"/>
      <c r="B7" s="9" t="s">
        <v>4</v>
      </c>
      <c r="C7" s="9" t="s">
        <v>12</v>
      </c>
      <c r="D7" s="10" t="s">
        <v>13</v>
      </c>
      <c r="E7" s="11" t="s">
        <v>14</v>
      </c>
    </row>
    <row r="9" customFormat="false" ht="13" hidden="false" customHeight="false" outlineLevel="0" collapsed="false">
      <c r="A9" s="12" t="s">
        <v>15</v>
      </c>
      <c r="B9" s="13" t="n">
        <f aca="false">E</f>
        <v>3</v>
      </c>
    </row>
    <row r="10" customFormat="false" ht="15" hidden="false" customHeight="false" outlineLevel="0" collapsed="false">
      <c r="A10" s="12" t="s">
        <v>16</v>
      </c>
      <c r="B10" s="13" t="n">
        <f aca="false">D</f>
        <v>0</v>
      </c>
      <c r="C10" s="2"/>
      <c r="D10" s="2" t="s">
        <v>1</v>
      </c>
      <c r="E10" s="2"/>
    </row>
    <row r="11" customFormat="false" ht="15" hidden="false" customHeight="false" outlineLevel="0" collapsed="false">
      <c r="A11" s="12" t="s">
        <v>17</v>
      </c>
      <c r="B11" s="13" t="n">
        <f aca="false">L</f>
        <v>4</v>
      </c>
      <c r="C11" s="3" t="s">
        <v>2</v>
      </c>
      <c r="D11" s="4" t="s">
        <v>3</v>
      </c>
      <c r="E11" s="5" t="s">
        <v>4</v>
      </c>
    </row>
    <row r="12" customFormat="false" ht="15" hidden="false" customHeight="false" outlineLevel="0" collapsed="false">
      <c r="A12" s="2"/>
      <c r="B12" s="3" t="s">
        <v>2</v>
      </c>
      <c r="C12" s="1" t="n">
        <f aca="false">0.5*(E+D)</f>
        <v>1.5</v>
      </c>
      <c r="D12" s="1" t="n">
        <f aca="false">E</f>
        <v>3</v>
      </c>
      <c r="E12" s="1" t="n">
        <f aca="false">E</f>
        <v>3</v>
      </c>
    </row>
    <row r="13" customFormat="false" ht="15" hidden="false" customHeight="false" outlineLevel="0" collapsed="false">
      <c r="A13" s="2" t="s">
        <v>8</v>
      </c>
      <c r="C13" s="1" t="n">
        <f aca="false">0.5*(E+D)</f>
        <v>1.5</v>
      </c>
      <c r="D13" s="1" t="n">
        <f aca="false">0</f>
        <v>0</v>
      </c>
      <c r="E13" s="1" t="n">
        <f aca="false">L</f>
        <v>4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/>
      <c r="B15" s="6" t="s">
        <v>3</v>
      </c>
      <c r="C15" s="1" t="n">
        <v>0</v>
      </c>
      <c r="D15" s="1" t="n">
        <f aca="false">0.5*(L+D)</f>
        <v>2</v>
      </c>
      <c r="E15" s="1" t="n">
        <f aca="false">0</f>
        <v>0</v>
      </c>
    </row>
    <row r="16" customFormat="false" ht="13" hidden="false" customHeight="false" outlineLevel="0" collapsed="false">
      <c r="C16" s="1" t="n">
        <f aca="false">E</f>
        <v>3</v>
      </c>
      <c r="D16" s="1" t="n">
        <f aca="false">0.5*(L+D)</f>
        <v>2</v>
      </c>
      <c r="E16" s="1" t="n">
        <f aca="false">L</f>
        <v>4</v>
      </c>
    </row>
    <row r="18" customFormat="false" ht="15" hidden="false" customHeight="false" outlineLevel="0" collapsed="false">
      <c r="B18" s="9" t="s">
        <v>4</v>
      </c>
      <c r="C18" s="1" t="n">
        <f aca="false">L</f>
        <v>4</v>
      </c>
      <c r="D18" s="1" t="n">
        <f aca="false">L</f>
        <v>4</v>
      </c>
      <c r="E18" s="1" t="n">
        <f aca="false">L+0.5*(L+D)</f>
        <v>6</v>
      </c>
    </row>
    <row r="19" customFormat="false" ht="13" hidden="false" customHeight="false" outlineLevel="0" collapsed="false">
      <c r="C19" s="1" t="n">
        <f aca="false">E</f>
        <v>3</v>
      </c>
      <c r="D19" s="1" t="n">
        <v>0</v>
      </c>
      <c r="E19" s="1" t="n">
        <f aca="false">L+0.5*(L+D)</f>
        <v>6</v>
      </c>
    </row>
    <row r="22" customFormat="false" ht="13" hidden="false" customHeight="false" outlineLevel="0" collapsed="false"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</row>
    <row r="23" customFormat="false" ht="13" hidden="false" customHeight="false" outlineLevel="0" collapsed="false">
      <c r="B23" s="1" t="s">
        <v>23</v>
      </c>
      <c r="C23" s="1" t="n">
        <f aca="false">IF(C$12=MIN($C$12,$C$15,$C$18),0,1)</f>
        <v>1</v>
      </c>
      <c r="D23" s="1" t="n">
        <f aca="false">IF(C13=MIN($C13:$E13),0,1)</f>
        <v>1</v>
      </c>
      <c r="E23" s="1" t="n">
        <f aca="false">IF(C23+D23=0,B23,0)</f>
        <v>0</v>
      </c>
      <c r="F23" s="1" t="n">
        <f aca="false">SUM(C12:C13)</f>
        <v>3</v>
      </c>
    </row>
    <row r="24" customFormat="false" ht="13" hidden="false" customHeight="false" outlineLevel="0" collapsed="false">
      <c r="B24" s="1" t="s">
        <v>24</v>
      </c>
      <c r="C24" s="1" t="n">
        <f aca="false">IF(D$12=MIN($D$12,$D$15,$D$18),0,1)</f>
        <v>1</v>
      </c>
      <c r="D24" s="1" t="n">
        <f aca="false">IF(D13=MIN($C13:$E13),0,1)</f>
        <v>0</v>
      </c>
      <c r="E24" s="1" t="n">
        <f aca="false">IF(C24+D24=0,B24,0)</f>
        <v>0</v>
      </c>
      <c r="F24" s="1" t="n">
        <f aca="false">SUM(D12:D13)</f>
        <v>3</v>
      </c>
    </row>
    <row r="25" customFormat="false" ht="13" hidden="false" customHeight="false" outlineLevel="0" collapsed="false">
      <c r="B25" s="1" t="s">
        <v>25</v>
      </c>
      <c r="C25" s="1" t="n">
        <f aca="false">IF(E$12=MIN($E$12,$E$15,$E$18),0,1)</f>
        <v>1</v>
      </c>
      <c r="D25" s="1" t="n">
        <f aca="false">IF(E13=MIN($C13:$E13),0,1)</f>
        <v>1</v>
      </c>
      <c r="E25" s="1" t="n">
        <f aca="false">IF(C25+D25=0,B25,0)</f>
        <v>0</v>
      </c>
      <c r="F25" s="1" t="n">
        <f aca="false">SUM(E12:E13)</f>
        <v>7</v>
      </c>
    </row>
    <row r="26" customFormat="false" ht="13" hidden="false" customHeight="false" outlineLevel="0" collapsed="false">
      <c r="B26" s="1" t="s">
        <v>26</v>
      </c>
      <c r="C26" s="1" t="n">
        <f aca="false">IF(C$15=MIN($C$12,$C$15,$C$18),0,1)</f>
        <v>0</v>
      </c>
      <c r="D26" s="1" t="n">
        <f aca="false">IF(C16=MIN($C16:$E16),0,1)</f>
        <v>1</v>
      </c>
      <c r="E26" s="1" t="n">
        <f aca="false">IF(C26+D26=0,B26,0)</f>
        <v>0</v>
      </c>
      <c r="F26" s="1" t="n">
        <f aca="false">SUM(C15:C16)</f>
        <v>3</v>
      </c>
    </row>
    <row r="27" customFormat="false" ht="13" hidden="false" customHeight="false" outlineLevel="0" collapsed="false">
      <c r="B27" s="1" t="s">
        <v>27</v>
      </c>
      <c r="C27" s="1" t="n">
        <f aca="false">IF(D$15=MIN($D$12,$D$15,$D$18),0,1)</f>
        <v>0</v>
      </c>
      <c r="D27" s="1" t="n">
        <f aca="false">IF(D16=MIN($C16:$E16),0,1)</f>
        <v>0</v>
      </c>
      <c r="E27" s="1" t="str">
        <f aca="false">IF(C27+D27=0,B27,0)</f>
        <v>oo</v>
      </c>
      <c r="F27" s="1" t="n">
        <f aca="false">SUM(D15:D16)</f>
        <v>4</v>
      </c>
    </row>
    <row r="28" customFormat="false" ht="13" hidden="false" customHeight="false" outlineLevel="0" collapsed="false">
      <c r="B28" s="1" t="s">
        <v>28</v>
      </c>
      <c r="C28" s="1" t="n">
        <f aca="false">IF(E$15=MIN($E$12,$E$15,$E$18),0,1)</f>
        <v>0</v>
      </c>
      <c r="D28" s="1" t="n">
        <f aca="false">IF(E16=MIN($C16:$E16),0,1)</f>
        <v>1</v>
      </c>
      <c r="E28" s="1" t="n">
        <f aca="false">IF(C28+D28=0,B28,0)</f>
        <v>0</v>
      </c>
      <c r="F28" s="1" t="n">
        <f aca="false">SUM(E15:E16)</f>
        <v>4</v>
      </c>
    </row>
    <row r="29" customFormat="false" ht="13" hidden="false" customHeight="false" outlineLevel="0" collapsed="false">
      <c r="B29" s="1" t="s">
        <v>29</v>
      </c>
      <c r="C29" s="1" t="n">
        <f aca="false">IF(C$18=MIN($C$12,$C$15,$C$18),0,1)</f>
        <v>1</v>
      </c>
      <c r="D29" s="1" t="n">
        <f aca="false">IF(C19=MIN($C19:$E19),0,1)</f>
        <v>1</v>
      </c>
      <c r="E29" s="1" t="n">
        <f aca="false">IF(C29+D29=0,B29,0)</f>
        <v>0</v>
      </c>
      <c r="F29" s="1" t="n">
        <f aca="false">SUM(C18:C19)</f>
        <v>7</v>
      </c>
    </row>
    <row r="30" customFormat="false" ht="13" hidden="false" customHeight="false" outlineLevel="0" collapsed="false">
      <c r="B30" s="1" t="s">
        <v>30</v>
      </c>
      <c r="C30" s="1" t="n">
        <f aca="false">IF(D$18=MIN($D$12,$D$15,$D$18),0,1)</f>
        <v>1</v>
      </c>
      <c r="D30" s="1" t="n">
        <f aca="false">IF(D19=MIN($C19:$E19),0,1)</f>
        <v>0</v>
      </c>
      <c r="E30" s="1" t="n">
        <f aca="false">IF(C30+D30=0,B30,0)</f>
        <v>0</v>
      </c>
      <c r="F30" s="1" t="n">
        <f aca="false">SUM(D18:D19)</f>
        <v>4</v>
      </c>
    </row>
    <row r="31" customFormat="false" ht="13" hidden="false" customHeight="false" outlineLevel="0" collapsed="false">
      <c r="B31" s="1" t="s">
        <v>31</v>
      </c>
      <c r="C31" s="1" t="n">
        <f aca="false">IF(E$18=MIN($E$12,$E$15,$E$18),0,1)</f>
        <v>1</v>
      </c>
      <c r="D31" s="1" t="n">
        <f aca="false">IF(E19=MIN($C19:$E19),0,1)</f>
        <v>1</v>
      </c>
      <c r="E31" s="1" t="n">
        <f aca="false">IF(C31+D31=0,B31,0)</f>
        <v>0</v>
      </c>
      <c r="F31" s="1" t="n">
        <f aca="false">SUM(E18:E19)</f>
        <v>12</v>
      </c>
    </row>
    <row r="33" customFormat="false" ht="13" hidden="false" customHeight="false" outlineLevel="0" collapsed="false">
      <c r="E33" s="1" t="s">
        <v>32</v>
      </c>
      <c r="F33" s="1" t="n">
        <f aca="false">MIN(F23:F31)</f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C12" activeCellId="0" sqref="C12"/>
    </sheetView>
  </sheetViews>
  <sheetFormatPr defaultColWidth="11.05078125" defaultRowHeight="13" customHeight="false" zeroHeight="false" outlineLevelRow="0" outlineLevelCol="0"/>
  <sheetData>
    <row r="1" customFormat="false" ht="13" hidden="false" customHeight="false" outlineLevel="0" collapsed="false">
      <c r="A1" s="1" t="s">
        <v>33</v>
      </c>
    </row>
    <row r="3" customFormat="false" ht="15" hidden="false" customHeight="false" outlineLevel="0" collapsed="false">
      <c r="A3" s="2"/>
      <c r="B3" s="2"/>
      <c r="C3" s="2"/>
      <c r="D3" s="2" t="s">
        <v>1</v>
      </c>
      <c r="E3" s="2"/>
    </row>
    <row r="4" customFormat="false" ht="15" hidden="false" customHeight="false" outlineLevel="0" collapsed="false">
      <c r="A4" s="2"/>
      <c r="B4" s="2"/>
      <c r="C4" s="7" t="s">
        <v>2</v>
      </c>
      <c r="D4" s="8" t="s">
        <v>3</v>
      </c>
      <c r="E4" s="8" t="s">
        <v>4</v>
      </c>
    </row>
    <row r="5" customFormat="false" ht="47" hidden="false" customHeight="false" outlineLevel="0" collapsed="false">
      <c r="A5" s="2"/>
      <c r="B5" s="6" t="s">
        <v>2</v>
      </c>
      <c r="C5" s="10" t="s">
        <v>34</v>
      </c>
      <c r="D5" s="11" t="s">
        <v>35</v>
      </c>
      <c r="E5" s="11" t="s">
        <v>36</v>
      </c>
    </row>
    <row r="6" customFormat="false" ht="47" hidden="false" customHeight="false" outlineLevel="0" collapsed="false">
      <c r="A6" s="2" t="s">
        <v>8</v>
      </c>
      <c r="B6" s="9" t="s">
        <v>3</v>
      </c>
      <c r="C6" s="10" t="s">
        <v>37</v>
      </c>
      <c r="D6" s="11" t="s">
        <v>38</v>
      </c>
      <c r="E6" s="11" t="s">
        <v>39</v>
      </c>
    </row>
    <row r="7" customFormat="false" ht="62" hidden="false" customHeight="false" outlineLevel="0" collapsed="false">
      <c r="A7" s="2"/>
      <c r="B7" s="9" t="s">
        <v>4</v>
      </c>
      <c r="C7" s="10" t="s">
        <v>40</v>
      </c>
      <c r="D7" s="11" t="s">
        <v>41</v>
      </c>
      <c r="E7" s="11" t="s">
        <v>42</v>
      </c>
    </row>
    <row r="9" customFormat="false" ht="13" hidden="false" customHeight="false" outlineLevel="0" collapsed="false">
      <c r="A9" s="12" t="s">
        <v>15</v>
      </c>
      <c r="B9" s="13" t="n">
        <f aca="false">E</f>
        <v>3</v>
      </c>
    </row>
    <row r="10" customFormat="false" ht="15" hidden="false" customHeight="false" outlineLevel="0" collapsed="false">
      <c r="A10" s="12" t="s">
        <v>16</v>
      </c>
      <c r="B10" s="13" t="n">
        <f aca="false">D</f>
        <v>0</v>
      </c>
      <c r="C10" s="2"/>
      <c r="D10" s="2" t="s">
        <v>1</v>
      </c>
      <c r="E10" s="2"/>
    </row>
    <row r="11" customFormat="false" ht="15" hidden="false" customHeight="false" outlineLevel="0" collapsed="false">
      <c r="A11" s="12" t="s">
        <v>17</v>
      </c>
      <c r="B11" s="13" t="n">
        <f aca="false">L</f>
        <v>4</v>
      </c>
      <c r="C11" s="3" t="s">
        <v>2</v>
      </c>
      <c r="D11" s="4" t="s">
        <v>3</v>
      </c>
      <c r="E11" s="5" t="s">
        <v>4</v>
      </c>
    </row>
    <row r="12" customFormat="false" ht="15" hidden="false" customHeight="false" outlineLevel="0" collapsed="false">
      <c r="A12" s="2"/>
      <c r="B12" s="3" t="s">
        <v>2</v>
      </c>
      <c r="C12" s="1" t="n">
        <f aca="false">0.5*(E+D)+TE</f>
        <v>1.5</v>
      </c>
      <c r="D12" s="1" t="n">
        <f aca="false">E</f>
        <v>3</v>
      </c>
      <c r="E12" s="1" t="n">
        <f aca="false">E</f>
        <v>3</v>
      </c>
    </row>
    <row r="13" customFormat="false" ht="15" hidden="false" customHeight="false" outlineLevel="0" collapsed="false">
      <c r="A13" s="2" t="s">
        <v>8</v>
      </c>
      <c r="C13" s="1" t="n">
        <f aca="false">0.5*(E+D)+TE</f>
        <v>1.5</v>
      </c>
      <c r="D13" s="1" t="n">
        <f aca="false">0</f>
        <v>0</v>
      </c>
      <c r="E13" s="1" t="n">
        <f aca="false">L</f>
        <v>4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/>
      <c r="B15" s="6" t="s">
        <v>3</v>
      </c>
      <c r="C15" s="1" t="n">
        <v>0</v>
      </c>
      <c r="D15" s="1" t="n">
        <f aca="false">0.5*(L+D)+TO</f>
        <v>4</v>
      </c>
      <c r="E15" s="1" t="n">
        <f aca="false">0</f>
        <v>0</v>
      </c>
    </row>
    <row r="16" customFormat="false" ht="13" hidden="false" customHeight="false" outlineLevel="0" collapsed="false">
      <c r="C16" s="1" t="n">
        <f aca="false">E</f>
        <v>3</v>
      </c>
      <c r="D16" s="1" t="n">
        <f aca="false">0.5*(L+D)+TO</f>
        <v>4</v>
      </c>
      <c r="E16" s="1" t="n">
        <f aca="false">L</f>
        <v>4</v>
      </c>
    </row>
    <row r="18" customFormat="false" ht="15" hidden="false" customHeight="false" outlineLevel="0" collapsed="false">
      <c r="B18" s="9" t="s">
        <v>4</v>
      </c>
      <c r="C18" s="1" t="n">
        <f aca="false">L</f>
        <v>4</v>
      </c>
      <c r="D18" s="1" t="n">
        <f aca="false">L</f>
        <v>4</v>
      </c>
      <c r="E18" s="1" t="n">
        <f aca="false">L+0.5*(L+D)+TL</f>
        <v>8</v>
      </c>
    </row>
    <row r="19" customFormat="false" ht="13" hidden="false" customHeight="false" outlineLevel="0" collapsed="false">
      <c r="C19" s="1" t="n">
        <f aca="false">E</f>
        <v>3</v>
      </c>
      <c r="D19" s="1" t="n">
        <v>0</v>
      </c>
      <c r="E19" s="1" t="n">
        <f aca="false">L+0.5*(L+D)+TL</f>
        <v>8</v>
      </c>
    </row>
    <row r="22" customFormat="false" ht="13" hidden="false" customHeight="false" outlineLevel="0" collapsed="false"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</row>
    <row r="23" customFormat="false" ht="13" hidden="false" customHeight="false" outlineLevel="0" collapsed="false">
      <c r="B23" s="1" t="s">
        <v>23</v>
      </c>
      <c r="C23" s="1" t="n">
        <f aca="false">IF(C$12=MIN($C$12,$C$15,$C$18),0,1)</f>
        <v>1</v>
      </c>
      <c r="D23" s="1" t="n">
        <f aca="false">IF(C13=MIN($C13:$E13),0,1)</f>
        <v>1</v>
      </c>
      <c r="E23" s="1" t="n">
        <f aca="false">IF(C23+D23=0,B23,0)</f>
        <v>0</v>
      </c>
      <c r="F23" s="1" t="n">
        <f aca="false">SUM(C12:C13)</f>
        <v>3</v>
      </c>
    </row>
    <row r="24" customFormat="false" ht="13" hidden="false" customHeight="false" outlineLevel="0" collapsed="false">
      <c r="B24" s="1" t="s">
        <v>24</v>
      </c>
      <c r="C24" s="1" t="n">
        <f aca="false">IF(D$12=MIN($D$12,$D$15,$D$18),0,1)</f>
        <v>0</v>
      </c>
      <c r="D24" s="1" t="n">
        <f aca="false">IF(D13=MIN($C13:$E13),0,1)</f>
        <v>0</v>
      </c>
      <c r="E24" s="1" t="str">
        <f aca="false">IF(C24+D24=0,B24,0)</f>
        <v>eo</v>
      </c>
      <c r="F24" s="1" t="n">
        <f aca="false">SUM(D12:D13)</f>
        <v>3</v>
      </c>
    </row>
    <row r="25" customFormat="false" ht="13" hidden="false" customHeight="false" outlineLevel="0" collapsed="false">
      <c r="B25" s="1" t="s">
        <v>25</v>
      </c>
      <c r="C25" s="1" t="n">
        <f aca="false">IF(E$12=MIN($E$12,$E$15,$E$18),0,1)</f>
        <v>1</v>
      </c>
      <c r="D25" s="1" t="n">
        <f aca="false">IF(E13=MIN($C13:$E13),0,1)</f>
        <v>1</v>
      </c>
      <c r="E25" s="1" t="n">
        <f aca="false">IF(C25+D25=0,B25,0)</f>
        <v>0</v>
      </c>
      <c r="F25" s="1" t="n">
        <f aca="false">SUM(E12:E13)</f>
        <v>7</v>
      </c>
    </row>
    <row r="26" customFormat="false" ht="13" hidden="false" customHeight="false" outlineLevel="0" collapsed="false">
      <c r="B26" s="1" t="s">
        <v>26</v>
      </c>
      <c r="C26" s="1" t="n">
        <f aca="false">IF(C$15=MIN($C$12,$C$15,$C$18),0,1)</f>
        <v>0</v>
      </c>
      <c r="D26" s="1" t="n">
        <f aca="false">IF(C16=MIN($C16:$E16),0,1)</f>
        <v>0</v>
      </c>
      <c r="E26" s="1" t="str">
        <f aca="false">IF(C26+D26=0,B26,0)</f>
        <v>oe</v>
      </c>
      <c r="F26" s="1" t="n">
        <f aca="false">SUM(C15:C16)</f>
        <v>3</v>
      </c>
    </row>
    <row r="27" customFormat="false" ht="13" hidden="false" customHeight="false" outlineLevel="0" collapsed="false">
      <c r="B27" s="1" t="s">
        <v>27</v>
      </c>
      <c r="C27" s="1" t="n">
        <f aca="false">IF(D$15=MIN($D$12,$D$15,$D$18),0,1)</f>
        <v>1</v>
      </c>
      <c r="D27" s="1" t="n">
        <f aca="false">IF(D16=MIN($C16:$E16),0,1)</f>
        <v>1</v>
      </c>
      <c r="E27" s="1" t="n">
        <f aca="false">IF(C27+D27=0,B27,0)</f>
        <v>0</v>
      </c>
      <c r="F27" s="1" t="n">
        <f aca="false">SUM(D15:D16)</f>
        <v>8</v>
      </c>
    </row>
    <row r="28" customFormat="false" ht="13" hidden="false" customHeight="false" outlineLevel="0" collapsed="false">
      <c r="B28" s="1" t="s">
        <v>28</v>
      </c>
      <c r="C28" s="1" t="n">
        <f aca="false">IF(E$15=MIN($E$12,$E$15,$E$18),0,1)</f>
        <v>0</v>
      </c>
      <c r="D28" s="1" t="n">
        <f aca="false">IF(E16=MIN($C16:$E16),0,1)</f>
        <v>1</v>
      </c>
      <c r="E28" s="1" t="n">
        <f aca="false">IF(C28+D28=0,B28,0)</f>
        <v>0</v>
      </c>
      <c r="F28" s="1" t="n">
        <f aca="false">SUM(E15:E16)</f>
        <v>4</v>
      </c>
    </row>
    <row r="29" customFormat="false" ht="13" hidden="false" customHeight="false" outlineLevel="0" collapsed="false">
      <c r="B29" s="1" t="s">
        <v>29</v>
      </c>
      <c r="C29" s="1" t="n">
        <f aca="false">IF(C$18=MIN($C$12,$C$15,$C$18),0,1)</f>
        <v>1</v>
      </c>
      <c r="D29" s="1" t="n">
        <f aca="false">IF(C19=MIN($C19:$E19),0,1)</f>
        <v>1</v>
      </c>
      <c r="E29" s="1" t="n">
        <f aca="false">IF(C29+D29=0,B29,0)</f>
        <v>0</v>
      </c>
      <c r="F29" s="1" t="n">
        <f aca="false">SUM(C18:C19)</f>
        <v>7</v>
      </c>
    </row>
    <row r="30" customFormat="false" ht="13" hidden="false" customHeight="false" outlineLevel="0" collapsed="false">
      <c r="B30" s="1" t="s">
        <v>30</v>
      </c>
      <c r="C30" s="1" t="n">
        <f aca="false">IF(D$18=MIN($D$12,$D$15,$D$18),0,1)</f>
        <v>1</v>
      </c>
      <c r="D30" s="1" t="n">
        <f aca="false">IF(D19=MIN($C19:$E19),0,1)</f>
        <v>0</v>
      </c>
      <c r="E30" s="1" t="n">
        <f aca="false">IF(C30+D30=0,B30,0)</f>
        <v>0</v>
      </c>
      <c r="F30" s="1" t="n">
        <f aca="false">SUM(D18:D19)</f>
        <v>4</v>
      </c>
    </row>
    <row r="31" customFormat="false" ht="13" hidden="false" customHeight="false" outlineLevel="0" collapsed="false">
      <c r="B31" s="1" t="s">
        <v>31</v>
      </c>
      <c r="C31" s="1" t="n">
        <f aca="false">IF(E$18=MIN($E$12,$E$15,$E$18),0,1)</f>
        <v>1</v>
      </c>
      <c r="D31" s="1" t="n">
        <f aca="false">IF(E19=MIN($C19:$E19),0,1)</f>
        <v>1</v>
      </c>
      <c r="E31" s="1" t="n">
        <f aca="false">IF(C31+D31=0,B31,0)</f>
        <v>0</v>
      </c>
      <c r="F31" s="1" t="n">
        <f aca="false">SUM(E18:E19)</f>
        <v>16</v>
      </c>
    </row>
    <row r="33" customFormat="false" ht="13" hidden="false" customHeight="false" outlineLevel="0" collapsed="false">
      <c r="E33" s="1" t="s">
        <v>32</v>
      </c>
      <c r="F33" s="1" t="n">
        <f aca="false">MIN(F23:F31)</f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05078125" defaultRowHeight="13" customHeight="false" zeroHeight="false" outlineLevelRow="0" outlineLevelCol="0"/>
  <cols>
    <col collapsed="false" customWidth="true" hidden="false" outlineLevel="0" max="2" min="2" style="1" width="7.56"/>
    <col collapsed="false" customWidth="true" hidden="false" outlineLevel="0" max="3" min="3" style="1" width="6.28"/>
  </cols>
  <sheetData>
    <row r="1" customFormat="false" ht="13" hidden="false" customHeight="false" outlineLevel="0" collapsed="false">
      <c r="A1" s="1" t="s">
        <v>43</v>
      </c>
    </row>
    <row r="2" customFormat="false" ht="13" hidden="false" customHeight="false" outlineLevel="0" collapsed="false">
      <c r="A2" s="14" t="s">
        <v>44</v>
      </c>
      <c r="E2" s="1" t="s">
        <v>45</v>
      </c>
      <c r="H2" s="1" t="s">
        <v>46</v>
      </c>
      <c r="I2" s="1" t="s">
        <v>47</v>
      </c>
      <c r="J2" s="1" t="s">
        <v>48</v>
      </c>
      <c r="K2" s="1" t="s">
        <v>48</v>
      </c>
    </row>
    <row r="3" customFormat="false" ht="13" hidden="false" customHeight="false" outlineLevel="0" collapsed="false">
      <c r="A3" s="1" t="s">
        <v>2</v>
      </c>
      <c r="B3" s="1" t="s">
        <v>15</v>
      </c>
      <c r="C3" s="1" t="n">
        <v>3</v>
      </c>
      <c r="E3" s="1" t="s">
        <v>49</v>
      </c>
      <c r="F3" s="1" t="n">
        <f aca="false">J3</f>
        <v>0</v>
      </c>
      <c r="H3" s="1" t="n">
        <f aca="false">0.5*(D-E)</f>
        <v>-1.5</v>
      </c>
      <c r="I3" s="1" t="n">
        <f aca="false">D-E</f>
        <v>-3</v>
      </c>
      <c r="J3" s="1" t="n">
        <f aca="false">MAX(I3-H3,0)</f>
        <v>0</v>
      </c>
      <c r="K3" s="1" t="n">
        <f aca="false">MAX(0.5*(D-E),0)</f>
        <v>0</v>
      </c>
    </row>
    <row r="4" customFormat="false" ht="13" hidden="false" customHeight="false" outlineLevel="0" collapsed="false">
      <c r="A4" s="1" t="s">
        <v>50</v>
      </c>
      <c r="B4" s="1" t="s">
        <v>16</v>
      </c>
      <c r="C4" s="1" t="n">
        <v>0</v>
      </c>
      <c r="E4" s="1" t="s">
        <v>51</v>
      </c>
      <c r="F4" s="1" t="n">
        <f aca="false">J4</f>
        <v>2</v>
      </c>
      <c r="H4" s="1" t="n">
        <f aca="false">0.5*(L+D)</f>
        <v>2</v>
      </c>
      <c r="I4" s="1" t="n">
        <f aca="false">L+D</f>
        <v>4</v>
      </c>
      <c r="J4" s="1" t="n">
        <f aca="false">I4-H4</f>
        <v>2</v>
      </c>
      <c r="K4" s="1" t="n">
        <f aca="false">0.5*(D+L)</f>
        <v>2</v>
      </c>
    </row>
    <row r="5" customFormat="false" ht="13" hidden="false" customHeight="false" outlineLevel="0" collapsed="false">
      <c r="A5" s="1" t="s">
        <v>4</v>
      </c>
      <c r="B5" s="1" t="s">
        <v>17</v>
      </c>
      <c r="C5" s="1" t="n">
        <v>4</v>
      </c>
      <c r="E5" s="1" t="s">
        <v>52</v>
      </c>
      <c r="F5" s="1" t="n">
        <f aca="false">J5</f>
        <v>2</v>
      </c>
      <c r="H5" s="1" t="n">
        <f aca="false">0.5*(L+D)</f>
        <v>2</v>
      </c>
      <c r="I5" s="1" t="n">
        <f aca="false">L+D</f>
        <v>4</v>
      </c>
      <c r="J5" s="1" t="n">
        <f aca="false">I5-H5</f>
        <v>2</v>
      </c>
      <c r="K5" s="1" t="n">
        <f aca="false">0.5*(D+L)</f>
        <v>2</v>
      </c>
    </row>
    <row r="10" customFormat="false" ht="13" hidden="false" customHeight="false" outlineLevel="0" collapsed="false">
      <c r="B10" s="1" t="s">
        <v>53</v>
      </c>
      <c r="C10" s="1" t="s">
        <v>54</v>
      </c>
      <c r="D10" s="1" t="s">
        <v>55</v>
      </c>
    </row>
    <row r="11" customFormat="false" ht="13" hidden="false" customHeight="false" outlineLevel="0" collapsed="false">
      <c r="A11" s="1" t="s">
        <v>23</v>
      </c>
      <c r="B11" s="1" t="n">
        <f aca="false">'Congestion Game'!E23</f>
        <v>0</v>
      </c>
      <c r="C11" s="1" t="n">
        <f aca="false">'Congestion Game'!F23</f>
        <v>3</v>
      </c>
      <c r="D11" s="1" t="n">
        <f aca="false">'Pricing Game'!E23</f>
        <v>0</v>
      </c>
      <c r="E11" s="1" t="n">
        <f aca="false">'Pricing Game'!F23</f>
        <v>3</v>
      </c>
      <c r="H11" s="1" t="s">
        <v>23</v>
      </c>
    </row>
    <row r="12" customFormat="false" ht="13" hidden="false" customHeight="false" outlineLevel="0" collapsed="false">
      <c r="A12" s="1" t="s">
        <v>24</v>
      </c>
      <c r="B12" s="1" t="n">
        <f aca="false">'Congestion Game'!E24</f>
        <v>0</v>
      </c>
      <c r="C12" s="1" t="n">
        <f aca="false">'Congestion Game'!F24</f>
        <v>3</v>
      </c>
      <c r="D12" s="1" t="str">
        <f aca="false">'Pricing Game'!E24</f>
        <v>eo</v>
      </c>
      <c r="E12" s="1" t="n">
        <f aca="false">'Pricing Game'!F24</f>
        <v>3</v>
      </c>
      <c r="H12" s="1" t="s">
        <v>24</v>
      </c>
    </row>
    <row r="13" customFormat="false" ht="13" hidden="false" customHeight="false" outlineLevel="0" collapsed="false">
      <c r="A13" s="1" t="s">
        <v>25</v>
      </c>
      <c r="B13" s="1" t="n">
        <f aca="false">'Congestion Game'!E25</f>
        <v>0</v>
      </c>
      <c r="C13" s="1" t="n">
        <f aca="false">'Congestion Game'!F25</f>
        <v>7</v>
      </c>
      <c r="D13" s="1" t="n">
        <f aca="false">'Pricing Game'!E25</f>
        <v>0</v>
      </c>
      <c r="E13" s="1" t="n">
        <f aca="false">'Pricing Game'!F25</f>
        <v>7</v>
      </c>
      <c r="H13" s="1" t="s">
        <v>25</v>
      </c>
    </row>
    <row r="14" customFormat="false" ht="13" hidden="false" customHeight="false" outlineLevel="0" collapsed="false">
      <c r="A14" s="1" t="s">
        <v>26</v>
      </c>
      <c r="B14" s="1" t="n">
        <f aca="false">'Congestion Game'!E26</f>
        <v>0</v>
      </c>
      <c r="C14" s="1" t="n">
        <f aca="false">'Congestion Game'!F26</f>
        <v>3</v>
      </c>
      <c r="D14" s="1" t="str">
        <f aca="false">'Pricing Game'!E26</f>
        <v>oe</v>
      </c>
      <c r="E14" s="1" t="n">
        <f aca="false">'Pricing Game'!F26</f>
        <v>3</v>
      </c>
      <c r="H14" s="1" t="s">
        <v>27</v>
      </c>
    </row>
    <row r="15" customFormat="false" ht="13" hidden="false" customHeight="false" outlineLevel="0" collapsed="false">
      <c r="A15" s="1" t="s">
        <v>27</v>
      </c>
      <c r="B15" s="1" t="str">
        <f aca="false">'Congestion Game'!E27</f>
        <v>oo</v>
      </c>
      <c r="C15" s="1" t="n">
        <f aca="false">'Congestion Game'!F27</f>
        <v>4</v>
      </c>
      <c r="D15" s="1" t="n">
        <f aca="false">'Pricing Game'!E27</f>
        <v>0</v>
      </c>
      <c r="E15" s="1" t="n">
        <f aca="false">'Pricing Game'!F27</f>
        <v>8</v>
      </c>
      <c r="H15" s="1" t="s">
        <v>28</v>
      </c>
    </row>
    <row r="16" customFormat="false" ht="13" hidden="false" customHeight="false" outlineLevel="0" collapsed="false">
      <c r="A16" s="1" t="s">
        <v>28</v>
      </c>
      <c r="B16" s="1" t="n">
        <f aca="false">'Congestion Game'!E28</f>
        <v>0</v>
      </c>
      <c r="C16" s="1" t="n">
        <f aca="false">'Congestion Game'!F28</f>
        <v>4</v>
      </c>
      <c r="D16" s="1" t="n">
        <f aca="false">'Pricing Game'!E28</f>
        <v>0</v>
      </c>
      <c r="E16" s="1" t="n">
        <f aca="false">'Pricing Game'!F28</f>
        <v>4</v>
      </c>
      <c r="H16" s="1" t="s">
        <v>31</v>
      </c>
    </row>
    <row r="17" customFormat="false" ht="13" hidden="false" customHeight="false" outlineLevel="0" collapsed="false">
      <c r="A17" s="1" t="s">
        <v>29</v>
      </c>
      <c r="B17" s="1" t="n">
        <f aca="false">'Congestion Game'!E29</f>
        <v>0</v>
      </c>
      <c r="C17" s="1" t="n">
        <f aca="false">'Congestion Game'!F29</f>
        <v>7</v>
      </c>
      <c r="D17" s="1" t="n">
        <f aca="false">'Pricing Game'!E29</f>
        <v>0</v>
      </c>
      <c r="E17" s="1" t="n">
        <f aca="false">'Pricing Game'!F29</f>
        <v>7</v>
      </c>
    </row>
    <row r="18" customFormat="false" ht="13" hidden="false" customHeight="false" outlineLevel="0" collapsed="false">
      <c r="A18" s="1" t="s">
        <v>30</v>
      </c>
      <c r="B18" s="1" t="n">
        <f aca="false">'Congestion Game'!E30</f>
        <v>0</v>
      </c>
      <c r="C18" s="1" t="n">
        <f aca="false">'Congestion Game'!F30</f>
        <v>4</v>
      </c>
      <c r="D18" s="1" t="n">
        <f aca="false">'Pricing Game'!E30</f>
        <v>0</v>
      </c>
      <c r="E18" s="1" t="n">
        <f aca="false">'Pricing Game'!F30</f>
        <v>4</v>
      </c>
    </row>
    <row r="19" customFormat="false" ht="13" hidden="false" customHeight="false" outlineLevel="0" collapsed="false">
      <c r="A19" s="1" t="s">
        <v>31</v>
      </c>
      <c r="B19" s="1" t="n">
        <f aca="false">'Congestion Game'!E31</f>
        <v>0</v>
      </c>
      <c r="C19" s="1" t="n">
        <f aca="false">'Congestion Game'!F31</f>
        <v>12</v>
      </c>
      <c r="D19" s="1" t="n">
        <f aca="false">'Pricing Game'!E31</f>
        <v>0</v>
      </c>
      <c r="E19" s="1" t="n">
        <f aca="false">'Pricing Game'!F31</f>
        <v>16</v>
      </c>
    </row>
    <row r="20" customFormat="false" ht="13" hidden="false" customHeight="false" outlineLevel="0" collapsed="false">
      <c r="D20" s="1" t="s">
        <v>56</v>
      </c>
      <c r="E20" s="1" t="s">
        <v>56</v>
      </c>
    </row>
    <row r="21" customFormat="false" ht="13" hidden="false" customHeight="false" outlineLevel="0" collapsed="false">
      <c r="A21" s="1" t="s">
        <v>57</v>
      </c>
      <c r="C21" s="1" t="n">
        <f aca="false">'Congestion Game'!F33</f>
        <v>3</v>
      </c>
      <c r="E21" s="1" t="n">
        <f aca="false">'Pricing Game'!F33</f>
        <v>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2003-07-10T00:02:02Z</dcterms:created>
  <dc:creator>David Levinson</dc:creator>
  <dc:description/>
  <dc:language>en-AU</dc:language>
  <cp:lastModifiedBy>David Levinson</cp:lastModifiedBy>
  <cp:revision>0</cp:revision>
  <dc:subject/>
  <dc:title/>
</cp:coreProperties>
</file>