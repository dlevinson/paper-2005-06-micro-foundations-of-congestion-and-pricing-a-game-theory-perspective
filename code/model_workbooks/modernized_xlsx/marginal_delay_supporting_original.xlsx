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1" sheetId="1" state="visible" r:id="rId3"/>
    <sheet name="Chart2" sheetId="2" state="visible" r:id="rId4"/>
    <sheet name="Data" sheetId="3" state="visible" r:id="rId5"/>
    <sheet name="Sheet2" sheetId="4" state="visible" r:id="rId6"/>
    <sheet name="Sheet3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<sst xmlns="http://schemas.openxmlformats.org/spreadsheetml/2006/main" count="15" uniqueCount="11">
  <si>
    <t xml:space="preserve">Time</t>
  </si>
  <si>
    <t xml:space="preserve">Vehicles Arriving</t>
  </si>
  <si>
    <t xml:space="preserve">Vehicles Departing</t>
  </si>
  <si>
    <t xml:space="preserve">Cumulative Arrivals</t>
  </si>
  <si>
    <t xml:space="preserve">Cumulative Departures</t>
  </si>
  <si>
    <t xml:space="preserve">Vehicles in Queue</t>
  </si>
  <si>
    <t xml:space="preserve">Cumulative Delay</t>
  </si>
  <si>
    <t xml:space="preserve">Marginal Delay (including own delay)</t>
  </si>
  <si>
    <t xml:space="preserve">Average Departure Time</t>
  </si>
  <si>
    <t xml:space="preserve">Own Delay</t>
  </si>
  <si>
    <t xml:space="preserve">Marginal Delay (excluding own delay)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</si>
</sst>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Verdan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Verdana"/>
      <family val="2"/>
    </font>
    <font>
      <b val="true"/>
      <sz val="10"/>
      <color rgb="FF000000"/>
      <name val="Verdana"/>
      <family val="2"/>
    </font>
    <font>
      <b val="true"/>
      <sz val="1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00" b="0" u="none" strike="noStrike">
                <a:solidFill>
                  <a:srgbClr val="000000"/>
                </a:solidFill>
                <a:uFillTx/>
                <a:latin typeface="Verdana"/>
              </a:rPr>
              <a:t>Marginal Delay (excluding own delay)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48439069117583"/>
          <c:y val="0.105074462217319"/>
          <c:w val="0.963148932454264"/>
          <c:h val="0.844456701599559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Data!$O$3</c:f>
              <c:strCache>
                <c:ptCount val="1"/>
                <c:pt idx="0">
                  <c:v>Marginal Delay (excluding own delay)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Data!$N$4:$N$15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20</c:v>
                </c:pt>
              </c:numCache>
            </c:numRef>
          </c:xVal>
          <c:yVal>
            <c:numRef>
              <c:f>Data!$O$4:$O$15</c:f>
              <c:numCache>
                <c:formatCode>General</c:formatCode>
                <c:ptCount val="12"/>
                <c:pt idx="0">
                  <c:v>0</c:v>
                </c:pt>
                <c:pt idx="1">
                  <c:v>9.5</c:v>
                </c:pt>
                <c:pt idx="2">
                  <c:v>8</c:v>
                </c:pt>
                <c:pt idx="3">
                  <c:v>6.5</c:v>
                </c:pt>
                <c:pt idx="4">
                  <c:v>5</c:v>
                </c:pt>
                <c:pt idx="5">
                  <c:v>3.5</c:v>
                </c:pt>
                <c:pt idx="6">
                  <c:v>3</c:v>
                </c:pt>
                <c:pt idx="7">
                  <c:v>2.5</c:v>
                </c:pt>
                <c:pt idx="8">
                  <c:v>2</c:v>
                </c:pt>
                <c:pt idx="9">
                  <c:v>1.5</c:v>
                </c:pt>
                <c:pt idx="10">
                  <c:v>1</c:v>
                </c:pt>
                <c:pt idx="11">
                  <c:v>0</c:v>
                </c:pt>
              </c:numCache>
            </c:numRef>
          </c:yVal>
          <c:smooth val="0"/>
        </c:ser>
        <c:axId val="49341070"/>
        <c:axId val="50634402"/>
      </c:scatterChart>
      <c:valAx>
        <c:axId val="49341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Cumulative Arrivals (Q)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50634402"/>
        <c:crossesAt val="0"/>
        <c:crossBetween val="midCat"/>
      </c:valAx>
      <c:valAx>
        <c:axId val="50634402"/>
        <c:scaling>
          <c:orientation val="minMax"/>
        </c:scaling>
        <c:delete val="0"/>
        <c:axPos val="l"/>
        <c:majorGridlines>
          <c:spPr>
            <a:ln w="0">
              <a:solidFill>
                <a:srgbClr val="FFFFFF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Marginal Delay</a:t>
                </a:r>
              </a:p>
            </c:rich>
          </c:tx>
          <c:layout>
            <c:manualLayout>
              <c:xMode val="edge"/>
              <c:yMode val="edge"/>
              <c:x val="0.0109592629786491"/>
              <c:y val="0.072118036403750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49341070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Verdana"/>
              </a:rPr>
              <a:t>Input-Output Diagram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28790988080164"/>
          <c:y val="0.12100110314396"/>
          <c:w val="0.966336287822556"/>
          <c:h val="0.788196359624931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Data!$E$3</c:f>
              <c:strCache>
                <c:ptCount val="1"/>
                <c:pt idx="0">
                  <c:v>Cumulative Arrivals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Data!$D$4:$D$15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Data!$E$4:$E$15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Data!$F$3</c:f>
              <c:strCache>
                <c:ptCount val="1"/>
                <c:pt idx="0">
                  <c:v>Cumulative Departures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Data!$D$4:$D$15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Data!$F$4:$F$15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20</c:v>
                </c:pt>
              </c:numCache>
            </c:numRef>
          </c:yVal>
          <c:smooth val="0"/>
        </c:ser>
        <c:axId val="89630706"/>
        <c:axId val="16744538"/>
      </c:scatterChart>
      <c:valAx>
        <c:axId val="89630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16744538"/>
        <c:crossesAt val="0"/>
        <c:crossBetween val="midCat"/>
      </c:valAx>
      <c:valAx>
        <c:axId val="16744538"/>
        <c:scaling>
          <c:orientation val="minMax"/>
        </c:scaling>
        <c:delete val="0"/>
        <c:axPos val="l"/>
        <c:majorGridlines>
          <c:spPr>
            <a:ln w="0">
              <a:solidFill>
                <a:srgbClr val="FFFFFF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Verdana"/>
                  </a:rPr>
                  <a:t>Cumulative Count</a:t>
                </a:r>
              </a:p>
            </c:rich>
          </c:tx>
          <c:layout>
            <c:manualLayout>
              <c:xMode val="edge"/>
              <c:yMode val="edge"/>
              <c:x val="0.0109592629786491"/>
              <c:y val="0.080805295091009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Verdana"/>
              </a:defRPr>
            </a:pPr>
          </a:p>
        </c:txPr>
        <c:crossAx val="89630706"/>
        <c:crossesAt val="0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70388158756495"/>
          <c:y val="0.942429674572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Verdan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2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6" zoomScaleNormal="146" zoomScalePageLayoutView="100" workbookViewId="0">
      <selection pane="topLeft" activeCell="A1" activeCellId="0" sqref="A1"/>
    </sheetView>
  </sheetViews>
  <sheetFormatPr defaultColWidth="10.082031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:F15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2" min="2" style="0" width="13.85"/>
    <col collapsed="false" customWidth="true" hidden="false" outlineLevel="0" max="4" min="3" style="0" width="15.7"/>
    <col collapsed="false" customWidth="true" hidden="false" outlineLevel="0" max="5" min="5" style="0" width="16.28"/>
  </cols>
  <sheetData>
    <row r="3" customFormat="false" ht="13" hidden="false" customHeight="false" outlineLevel="0" collapsed="false">
      <c r="A3" s="0" t="s">
        <v>0</v>
      </c>
      <c r="B3" s="0" t="s">
        <v>1</v>
      </c>
      <c r="C3" s="0" t="s">
        <v>2</v>
      </c>
      <c r="D3" s="0" t="s">
        <v>0</v>
      </c>
      <c r="E3" s="0" t="s">
        <v>3</v>
      </c>
      <c r="F3" s="0" t="s">
        <v>4</v>
      </c>
      <c r="G3" s="0" t="s">
        <v>0</v>
      </c>
      <c r="H3" s="0" t="s">
        <v>5</v>
      </c>
      <c r="I3" s="0" t="s">
        <v>6</v>
      </c>
      <c r="J3" s="0" t="s">
        <v>7</v>
      </c>
      <c r="K3" s="0" t="s">
        <v>8</v>
      </c>
      <c r="L3" s="0" t="s">
        <v>9</v>
      </c>
      <c r="M3" s="0" t="s">
        <v>0</v>
      </c>
      <c r="N3" s="0" t="s">
        <v>3</v>
      </c>
      <c r="O3" s="0" t="s">
        <v>10</v>
      </c>
    </row>
    <row r="4" customFormat="false" ht="13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f aca="false">B4</f>
        <v>0</v>
      </c>
      <c r="F4" s="0" t="n">
        <f aca="false">C4</f>
        <v>0</v>
      </c>
      <c r="G4" s="0" t="n">
        <v>1</v>
      </c>
      <c r="H4" s="0" t="n">
        <f aca="false">B4-C4</f>
        <v>0</v>
      </c>
      <c r="I4" s="0" t="n">
        <f aca="false">H4</f>
        <v>0</v>
      </c>
      <c r="J4" s="0" t="n">
        <v>0</v>
      </c>
      <c r="K4" s="0" t="n">
        <v>0</v>
      </c>
      <c r="L4" s="0" t="n">
        <f aca="false">K4-A4</f>
        <v>0</v>
      </c>
      <c r="M4" s="0" t="n">
        <v>1</v>
      </c>
      <c r="N4" s="0" t="n">
        <f aca="false">E4</f>
        <v>0</v>
      </c>
      <c r="O4" s="0" t="n">
        <f aca="false">J4-L4</f>
        <v>0</v>
      </c>
    </row>
    <row r="5" customFormat="false" ht="13" hidden="false" customHeight="false" outlineLevel="0" collapsed="false">
      <c r="A5" s="0" t="n">
        <v>1</v>
      </c>
      <c r="B5" s="0" t="n">
        <v>3</v>
      </c>
      <c r="C5" s="0" t="n">
        <v>2</v>
      </c>
      <c r="D5" s="0" t="n">
        <v>1</v>
      </c>
      <c r="E5" s="0" t="n">
        <f aca="false">B5</f>
        <v>3</v>
      </c>
      <c r="F5" s="0" t="n">
        <f aca="false">C5</f>
        <v>2</v>
      </c>
      <c r="G5" s="0" t="n">
        <v>1</v>
      </c>
      <c r="H5" s="0" t="n">
        <f aca="false">B5-C5</f>
        <v>1</v>
      </c>
      <c r="I5" s="0" t="n">
        <f aca="false">H5</f>
        <v>1</v>
      </c>
      <c r="J5" s="0" t="n">
        <v>10</v>
      </c>
      <c r="K5" s="0" t="n">
        <v>1.5</v>
      </c>
      <c r="L5" s="0" t="n">
        <f aca="false">K5-A5</f>
        <v>0.5</v>
      </c>
      <c r="M5" s="0" t="n">
        <v>1</v>
      </c>
      <c r="N5" s="0" t="n">
        <f aca="false">E5</f>
        <v>3</v>
      </c>
      <c r="O5" s="0" t="n">
        <f aca="false">J5-L5</f>
        <v>9.5</v>
      </c>
    </row>
    <row r="6" customFormat="false" ht="13" hidden="false" customHeight="false" outlineLevel="0" collapsed="false">
      <c r="A6" s="0" t="n">
        <v>2</v>
      </c>
      <c r="B6" s="0" t="n">
        <v>3</v>
      </c>
      <c r="C6" s="0" t="n">
        <v>2</v>
      </c>
      <c r="D6" s="0" t="n">
        <v>2</v>
      </c>
      <c r="E6" s="0" t="n">
        <f aca="false">E5+B6</f>
        <v>6</v>
      </c>
      <c r="F6" s="0" t="n">
        <f aca="false">F5+C6</f>
        <v>4</v>
      </c>
      <c r="G6" s="0" t="n">
        <v>2</v>
      </c>
      <c r="H6" s="0" t="n">
        <f aca="false">B6-C6+H5</f>
        <v>2</v>
      </c>
      <c r="I6" s="0" t="n">
        <f aca="false">I5+H6</f>
        <v>3</v>
      </c>
      <c r="J6" s="0" t="n">
        <v>9</v>
      </c>
      <c r="K6" s="0" t="n">
        <f aca="false">VLOOKUP(E6,$F$3:$G$14,2)</f>
        <v>3</v>
      </c>
      <c r="L6" s="0" t="n">
        <f aca="false">K6-A6</f>
        <v>1</v>
      </c>
      <c r="M6" s="0" t="n">
        <v>2</v>
      </c>
      <c r="N6" s="0" t="n">
        <f aca="false">E6</f>
        <v>6</v>
      </c>
      <c r="O6" s="0" t="n">
        <f aca="false">J6-L6</f>
        <v>8</v>
      </c>
    </row>
    <row r="7" customFormat="false" ht="13" hidden="false" customHeight="false" outlineLevel="0" collapsed="false">
      <c r="A7" s="0" t="n">
        <v>3</v>
      </c>
      <c r="B7" s="0" t="n">
        <v>3</v>
      </c>
      <c r="C7" s="0" t="n">
        <v>2</v>
      </c>
      <c r="D7" s="0" t="n">
        <v>3</v>
      </c>
      <c r="E7" s="0" t="n">
        <f aca="false">E6+B7</f>
        <v>9</v>
      </c>
      <c r="F7" s="0" t="n">
        <f aca="false">F6+C7</f>
        <v>6</v>
      </c>
      <c r="G7" s="0" t="n">
        <v>3</v>
      </c>
      <c r="H7" s="0" t="n">
        <f aca="false">B7-C7+H6</f>
        <v>3</v>
      </c>
      <c r="I7" s="0" t="n">
        <f aca="false">I6+H7</f>
        <v>6</v>
      </c>
      <c r="J7" s="0" t="n">
        <v>8</v>
      </c>
      <c r="K7" s="0" t="n">
        <v>4.5</v>
      </c>
      <c r="L7" s="0" t="n">
        <f aca="false">K7-A7</f>
        <v>1.5</v>
      </c>
      <c r="M7" s="0" t="n">
        <v>3</v>
      </c>
      <c r="N7" s="0" t="n">
        <f aca="false">E7</f>
        <v>9</v>
      </c>
      <c r="O7" s="0" t="n">
        <f aca="false">J7-L7</f>
        <v>6.5</v>
      </c>
    </row>
    <row r="8" customFormat="false" ht="13" hidden="false" customHeight="false" outlineLevel="0" collapsed="false">
      <c r="A8" s="0" t="n">
        <v>4</v>
      </c>
      <c r="B8" s="0" t="n">
        <v>3</v>
      </c>
      <c r="C8" s="0" t="n">
        <v>2</v>
      </c>
      <c r="D8" s="0" t="n">
        <v>4</v>
      </c>
      <c r="E8" s="0" t="n">
        <f aca="false">E7+B8</f>
        <v>12</v>
      </c>
      <c r="F8" s="0" t="n">
        <f aca="false">F7+C8</f>
        <v>8</v>
      </c>
      <c r="G8" s="0" t="n">
        <v>4</v>
      </c>
      <c r="H8" s="0" t="n">
        <f aca="false">B8-C8+H7</f>
        <v>4</v>
      </c>
      <c r="I8" s="0" t="n">
        <f aca="false">I7+H8</f>
        <v>10</v>
      </c>
      <c r="J8" s="0" t="n">
        <v>7</v>
      </c>
      <c r="K8" s="0" t="n">
        <f aca="false">VLOOKUP(E8,$F$3:$G$14,2)</f>
        <v>6</v>
      </c>
      <c r="L8" s="0" t="n">
        <f aca="false">K8-A8</f>
        <v>2</v>
      </c>
      <c r="M8" s="0" t="n">
        <v>4</v>
      </c>
      <c r="N8" s="0" t="n">
        <f aca="false">E8</f>
        <v>12</v>
      </c>
      <c r="O8" s="0" t="n">
        <f aca="false">J8-L8</f>
        <v>5</v>
      </c>
    </row>
    <row r="9" customFormat="false" ht="13" hidden="false" customHeight="false" outlineLevel="0" collapsed="false">
      <c r="A9" s="0" t="n">
        <v>5</v>
      </c>
      <c r="B9" s="0" t="n">
        <v>3</v>
      </c>
      <c r="C9" s="0" t="n">
        <v>2</v>
      </c>
      <c r="D9" s="0" t="n">
        <v>5</v>
      </c>
      <c r="E9" s="0" t="n">
        <f aca="false">E8+B9</f>
        <v>15</v>
      </c>
      <c r="F9" s="0" t="n">
        <f aca="false">F8+C9</f>
        <v>10</v>
      </c>
      <c r="G9" s="0" t="n">
        <v>5</v>
      </c>
      <c r="H9" s="0" t="n">
        <f aca="false">B9-C9+H8</f>
        <v>5</v>
      </c>
      <c r="I9" s="0" t="n">
        <f aca="false">I8+H9</f>
        <v>15</v>
      </c>
      <c r="J9" s="0" t="n">
        <v>6</v>
      </c>
      <c r="K9" s="0" t="n">
        <v>7.5</v>
      </c>
      <c r="L9" s="0" t="n">
        <f aca="false">K9-A9</f>
        <v>2.5</v>
      </c>
      <c r="M9" s="0" t="n">
        <v>5</v>
      </c>
      <c r="N9" s="0" t="n">
        <f aca="false">E9</f>
        <v>15</v>
      </c>
      <c r="O9" s="0" t="n">
        <f aca="false">J9-L9</f>
        <v>3.5</v>
      </c>
    </row>
    <row r="10" customFormat="false" ht="13" hidden="false" customHeight="false" outlineLevel="0" collapsed="false">
      <c r="A10" s="0" t="n">
        <v>6</v>
      </c>
      <c r="B10" s="0" t="n">
        <v>1</v>
      </c>
      <c r="C10" s="0" t="n">
        <v>2</v>
      </c>
      <c r="D10" s="0" t="n">
        <v>6</v>
      </c>
      <c r="E10" s="0" t="n">
        <f aca="false">E9+B10</f>
        <v>16</v>
      </c>
      <c r="F10" s="0" t="n">
        <f aca="false">F9+C10</f>
        <v>12</v>
      </c>
      <c r="G10" s="0" t="n">
        <v>6</v>
      </c>
      <c r="H10" s="0" t="n">
        <f aca="false">B10-C10+H9</f>
        <v>4</v>
      </c>
      <c r="I10" s="0" t="n">
        <f aca="false">I9+H10</f>
        <v>19</v>
      </c>
      <c r="J10" s="0" t="n">
        <v>5</v>
      </c>
      <c r="K10" s="0" t="n">
        <f aca="false">VLOOKUP(E10,$F$3:$G$14,2)</f>
        <v>8</v>
      </c>
      <c r="L10" s="0" t="n">
        <f aca="false">K10-A10</f>
        <v>2</v>
      </c>
      <c r="M10" s="0" t="n">
        <v>6</v>
      </c>
      <c r="N10" s="0" t="n">
        <f aca="false">E10</f>
        <v>16</v>
      </c>
      <c r="O10" s="0" t="n">
        <f aca="false">J10-L10</f>
        <v>3</v>
      </c>
    </row>
    <row r="11" customFormat="false" ht="13" hidden="false" customHeight="false" outlineLevel="0" collapsed="false">
      <c r="A11" s="0" t="n">
        <v>7</v>
      </c>
      <c r="B11" s="0" t="n">
        <v>1</v>
      </c>
      <c r="C11" s="0" t="n">
        <v>2</v>
      </c>
      <c r="D11" s="0" t="n">
        <v>7</v>
      </c>
      <c r="E11" s="0" t="n">
        <f aca="false">E10+B11</f>
        <v>17</v>
      </c>
      <c r="F11" s="0" t="n">
        <f aca="false">F10+C11</f>
        <v>14</v>
      </c>
      <c r="G11" s="0" t="n">
        <v>7</v>
      </c>
      <c r="H11" s="0" t="n">
        <f aca="false">B11-C11+H10</f>
        <v>3</v>
      </c>
      <c r="I11" s="0" t="n">
        <f aca="false">I10+H11</f>
        <v>22</v>
      </c>
      <c r="J11" s="0" t="n">
        <v>4</v>
      </c>
      <c r="K11" s="0" t="n">
        <v>8.5</v>
      </c>
      <c r="L11" s="0" t="n">
        <f aca="false">K11-A11</f>
        <v>1.5</v>
      </c>
      <c r="M11" s="0" t="n">
        <v>7</v>
      </c>
      <c r="N11" s="0" t="n">
        <f aca="false">E11</f>
        <v>17</v>
      </c>
      <c r="O11" s="0" t="n">
        <f aca="false">J11-L11</f>
        <v>2.5</v>
      </c>
    </row>
    <row r="12" customFormat="false" ht="13" hidden="false" customHeight="false" outlineLevel="0" collapsed="false">
      <c r="A12" s="0" t="n">
        <v>8</v>
      </c>
      <c r="B12" s="0" t="n">
        <v>1</v>
      </c>
      <c r="C12" s="0" t="n">
        <v>2</v>
      </c>
      <c r="D12" s="0" t="n">
        <v>8</v>
      </c>
      <c r="E12" s="0" t="n">
        <f aca="false">E11+B12</f>
        <v>18</v>
      </c>
      <c r="F12" s="0" t="n">
        <f aca="false">F11+C12</f>
        <v>16</v>
      </c>
      <c r="G12" s="0" t="n">
        <v>8</v>
      </c>
      <c r="H12" s="0" t="n">
        <f aca="false">B12-C12+H11</f>
        <v>2</v>
      </c>
      <c r="I12" s="0" t="n">
        <f aca="false">I11+H12</f>
        <v>24</v>
      </c>
      <c r="J12" s="0" t="n">
        <v>3</v>
      </c>
      <c r="K12" s="0" t="n">
        <f aca="false">VLOOKUP(E12,$F$3:$G$14,2)</f>
        <v>9</v>
      </c>
      <c r="L12" s="0" t="n">
        <f aca="false">K12-A12</f>
        <v>1</v>
      </c>
      <c r="M12" s="0" t="n">
        <v>8</v>
      </c>
      <c r="N12" s="0" t="n">
        <f aca="false">E12</f>
        <v>18</v>
      </c>
      <c r="O12" s="0" t="n">
        <f aca="false">J12-L12</f>
        <v>2</v>
      </c>
    </row>
    <row r="13" customFormat="false" ht="13" hidden="false" customHeight="false" outlineLevel="0" collapsed="false">
      <c r="A13" s="0" t="n">
        <v>9</v>
      </c>
      <c r="B13" s="0" t="n">
        <v>1</v>
      </c>
      <c r="C13" s="0" t="n">
        <v>2</v>
      </c>
      <c r="D13" s="0" t="n">
        <v>9</v>
      </c>
      <c r="E13" s="0" t="n">
        <f aca="false">E12+B13</f>
        <v>19</v>
      </c>
      <c r="F13" s="0" t="n">
        <f aca="false">F12+C13</f>
        <v>18</v>
      </c>
      <c r="G13" s="0" t="n">
        <v>9</v>
      </c>
      <c r="H13" s="0" t="n">
        <f aca="false">B13-C13+H12</f>
        <v>1</v>
      </c>
      <c r="I13" s="0" t="n">
        <f aca="false">I12+H13</f>
        <v>25</v>
      </c>
      <c r="J13" s="0" t="n">
        <v>2</v>
      </c>
      <c r="K13" s="0" t="n">
        <v>9.5</v>
      </c>
      <c r="L13" s="0" t="n">
        <f aca="false">K13-A13</f>
        <v>0.5</v>
      </c>
      <c r="M13" s="0" t="n">
        <v>9</v>
      </c>
      <c r="N13" s="0" t="n">
        <f aca="false">E13</f>
        <v>19</v>
      </c>
      <c r="O13" s="0" t="n">
        <f aca="false">J13-L13</f>
        <v>1.5</v>
      </c>
    </row>
    <row r="14" customFormat="false" ht="13" hidden="false" customHeight="false" outlineLevel="0" collapsed="false">
      <c r="A14" s="0" t="n">
        <v>10</v>
      </c>
      <c r="B14" s="0" t="n">
        <v>1</v>
      </c>
      <c r="C14" s="0" t="n">
        <v>2</v>
      </c>
      <c r="D14" s="0" t="n">
        <v>10</v>
      </c>
      <c r="E14" s="0" t="n">
        <f aca="false">E13+B14</f>
        <v>20</v>
      </c>
      <c r="F14" s="0" t="n">
        <f aca="false">F13+C14</f>
        <v>20</v>
      </c>
      <c r="G14" s="0" t="n">
        <v>10</v>
      </c>
      <c r="H14" s="0" t="n">
        <f aca="false">B14-C14+H13</f>
        <v>0</v>
      </c>
      <c r="I14" s="0" t="n">
        <f aca="false">I13+H14</f>
        <v>25</v>
      </c>
      <c r="J14" s="0" t="n">
        <v>1</v>
      </c>
      <c r="K14" s="0" t="n">
        <f aca="false">VLOOKUP(E14,$F$3:$G$14,2)</f>
        <v>10</v>
      </c>
      <c r="L14" s="0" t="n">
        <f aca="false">K14-A14</f>
        <v>0</v>
      </c>
      <c r="M14" s="0" t="n">
        <v>10</v>
      </c>
      <c r="N14" s="0" t="n">
        <f aca="false">E14</f>
        <v>20</v>
      </c>
      <c r="O14" s="0" t="n">
        <f aca="false">J14-L14</f>
        <v>1</v>
      </c>
    </row>
    <row r="15" customFormat="false" ht="13" hidden="false" customHeight="false" outlineLevel="0" collapsed="false">
      <c r="A15" s="0" t="n">
        <v>11</v>
      </c>
      <c r="B15" s="0" t="n">
        <v>0</v>
      </c>
      <c r="C15" s="0" t="n">
        <v>0</v>
      </c>
      <c r="D15" s="0" t="n">
        <v>11</v>
      </c>
      <c r="E15" s="0" t="n">
        <f aca="false">E14+B15</f>
        <v>20</v>
      </c>
      <c r="F15" s="0" t="n">
        <f aca="false">F14+C15</f>
        <v>20</v>
      </c>
      <c r="G15" s="0" t="n">
        <v>10</v>
      </c>
      <c r="H15" s="0" t="n">
        <f aca="false">B15-C15+H14</f>
        <v>0</v>
      </c>
      <c r="I15" s="0" t="n">
        <f aca="false">I14+H15</f>
        <v>25</v>
      </c>
      <c r="J15" s="0" t="n">
        <v>0</v>
      </c>
      <c r="K15" s="0" t="n">
        <f aca="false">VLOOKUP(E15,$F$3:$G$14,2)</f>
        <v>10</v>
      </c>
      <c r="L15" s="0" t="n">
        <v>0</v>
      </c>
      <c r="M15" s="0" t="n">
        <v>10</v>
      </c>
      <c r="N15" s="0" t="n">
        <f aca="false">E15</f>
        <v>20</v>
      </c>
      <c r="O15" s="0" t="n">
        <f aca="false">J15-L15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2003-04-04T01:47:31Z</dcterms:created>
  <dc:creator>David Levinson</dc:creator>
  <dc:description/>
  <dc:language>en-AU</dc:language>
  <cp:lastModifiedBy>David Levinson</cp:lastModifiedBy>
  <cp:revision>0</cp:revision>
  <dc:subject/>
  <dc:title/>
</cp:coreProperties>
</file>