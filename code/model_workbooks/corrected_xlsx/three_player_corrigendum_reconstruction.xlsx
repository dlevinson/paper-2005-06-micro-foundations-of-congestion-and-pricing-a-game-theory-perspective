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f529bd648564a64" /></Relationships>
</file>

<file path=xl/workbook.xml><?xml version="1.0" encoding="utf-8"?>
<x:workbook xmlns:x="http://schemas.openxmlformats.org/spreadsheetml/2006/main">
  <x:sheets>
    <x:sheet xmlns:r="http://schemas.openxmlformats.org/officeDocument/2006/relationships" name="README" sheetId="1" r:id="R95cbce62f3c54142"/>
    <x:sheet xmlns:r="http://schemas.openxmlformats.org/officeDocument/2006/relationships" name="Inputs" sheetId="2" r:id="R9b53d285c399423a"/>
    <x:sheet xmlns:r="http://schemas.openxmlformats.org/officeDocument/2006/relationships" name="Published Results" sheetId="3" r:id="Rbb40e2fa2e0842d1"/>
    <x:sheet xmlns:r="http://schemas.openxmlformats.org/officeDocument/2006/relationships" name="Benchmark Summary" sheetId="4" r:id="Re5fc109a8b8c4c70"/>
    <x:sheet xmlns:r="http://schemas.openxmlformats.org/officeDocument/2006/relationships" name="Selected Case" sheetId="5" r:id="R448d3dd664a64d75"/>
    <x:sheet xmlns:r="http://schemas.openxmlformats.org/officeDocument/2006/relationships" name="Benchmark Profiles" sheetId="6" r:id="R875ddcd46bcc49a1"/>
    <x:sheet xmlns:r="http://schemas.openxmlformats.org/officeDocument/2006/relationships" name="Arrival Probabilities" sheetId="7" r:id="R7de4caa598d64e55"/>
    <x:sheet xmlns:r="http://schemas.openxmlformats.org/officeDocument/2006/relationships" name="Toll Rules" sheetId="8" r:id="R817cc5edbeed4f7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0"/>
    <x:numFmt numFmtId="202" formatCode="0"/>
  </x:numFmts>
  <x:fonts count="7">
    <x:font>
      <x:sz val="11"/>
      <x:name val="Carlito"/>
    </x:font>
    <x:font>
      <x:b/>
      <x:sz val="16"/>
      <x:color rgb="FFFFFFFF"/>
      <x:name val="Carlito"/>
    </x:font>
    <x:font>
      <x:b/>
      <x:sz val="11"/>
      <x:color rgb="FF17365D"/>
      <x:name val="Carlito"/>
    </x:font>
    <x:font>
      <x:sz val="11"/>
      <x:color rgb="FF1F2937"/>
      <x:name val="Carlito"/>
    </x:font>
    <x:font>
      <x:b/>
      <x:sz val="11"/>
      <x:color rgb="FFFFFFFF"/>
      <x:name val="Carlito"/>
    </x:font>
    <x:font>
      <x:b/>
      <x:sz val="11"/>
      <x:color rgb="FF1F2937"/>
      <x:name val="Carlito"/>
    </x:font>
    <x:font>
      <x:sz val="11"/>
      <x:color rgb="FF17365D"/>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FFF"/>
      </x:patternFill>
    </x:fill>
    <x:fill>
      <x:patternFill patternType="solid">
        <x:fgColor rgb="FFEAF3F8"/>
      </x:patternFill>
    </x:fill>
    <x:fill>
      <x:patternFill patternType="solid">
        <x:fgColor rgb="FFFFF2CC"/>
      </x:patternFill>
    </x:fill>
    <x:fill>
      <x:patternFill patternType="solid">
        <x:fgColor rgb="FFE2F0D9"/>
      </x:patternFill>
    </x:fill>
  </x:fills>
  <x:borders count="7">
    <x:border/>
    <x:border>
      <x:left style="thin">
        <x:color rgb="FF8EA9C1"/>
      </x:left>
      <x:right style="thin">
        <x:color rgb="FF8EA9C1"/>
      </x:right>
      <x:top style="thin">
        <x:color rgb="FF8EA9C1"/>
      </x:top>
    </x:border>
    <x:border>
      <x:left style="thin">
        <x:color rgb="FF8EA9C1"/>
      </x:left>
      <x:right style="thin">
        <x:color rgb="FF8EA9C1"/>
      </x:right>
    </x:border>
    <x:border>
      <x:left style="thin">
        <x:color rgb="FF8EA9C1"/>
      </x:left>
      <x:right style="thin">
        <x:color rgb="FF8EA9C1"/>
      </x:right>
      <x:bottom style="thin">
        <x:color rgb="FF8EA9C1"/>
      </x:bottom>
    </x:border>
    <x:border>
      <x:left style="thin">
        <x:color rgb="FF8EA9C1"/>
      </x:left>
      <x:top style="thin">
        <x:color rgb="FF8EA9C1"/>
      </x:top>
      <x:bottom style="thin">
        <x:color rgb="FF8EA9C1"/>
      </x:bottom>
    </x:border>
    <x:border>
      <x:top style="thin">
        <x:color rgb="FF8EA9C1"/>
      </x:top>
      <x:bottom style="thin">
        <x:color rgb="FF8EA9C1"/>
      </x:bottom>
    </x:border>
    <x:border>
      <x:right style="thin">
        <x:color rgb="FF8EA9C1"/>
      </x:right>
      <x:top style="thin">
        <x:color rgb="FF8EA9C1"/>
      </x:top>
      <x:bottom style="thin">
        <x:color rgb="FF8EA9C1"/>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4" fillId="2" borderId="0" xfId="0" applyNumberFormat="1" applyFont="1" applyFill="1" applyBorder="1"/>
    <x:xf numFmtId="0" fontId="4" fillId="2" borderId="4" xfId="0" applyNumberFormat="1" applyFont="1" applyFill="1" applyBorder="1"/>
    <x:xf numFmtId="0" fontId="4" fillId="2" borderId="6" xfId="0" applyNumberFormat="1" applyFont="1" applyFill="1" applyBorder="1"/>
    <x:xf numFmtId="0" fontId="4" fillId="2" borderId="4" xfId="0" applyNumberFormat="1" applyFont="1" applyFill="1" applyBorder="1" applyAlignment="1">
      <x:alignment wrapText="1"/>
    </x:xf>
    <x:xf numFmtId="0" fontId="4" fillId="2" borderId="6" xfId="0" applyNumberFormat="1" applyFont="1" applyFill="1" applyBorder="1" applyAlignment="1">
      <x:alignment wrapText="1"/>
    </x:xf>
    <x:xf numFmtId="0" fontId="4" fillId="2" borderId="4" xfId="0" applyNumberFormat="1" applyFont="1" applyFill="1" applyBorder="1" applyAlignment="1">
      <x:alignment horizontal="center" wrapText="1"/>
    </x:xf>
    <x:xf numFmtId="0" fontId="4" fillId="2" borderId="6" xfId="0" applyNumberFormat="1" applyFont="1" applyFill="1" applyBorder="1" applyAlignment="1">
      <x:alignment horizontal="center" wrapText="1"/>
    </x:xf>
    <x:xf numFmtId="0" fontId="4" fillId="2" borderId="4" xfId="0" applyNumberFormat="1" applyFont="1" applyFill="1" applyBorder="1" applyAlignment="1">
      <x:alignment horizontal="center" vertical="center" wrapText="1"/>
    </x:xf>
    <x:xf numFmtId="0" fontId="4" fillId="2" borderId="6" xfId="0" applyNumberFormat="1" applyFont="1" applyFill="1" applyBorder="1" applyAlignment="1">
      <x:alignment horizontal="center" vertical="center" wrapText="1"/>
    </x:xf>
    <x:xf numFmtId="0" fontId="2"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200" fontId="5" fillId="6" borderId="0" xfId="0" applyNumberFormat="1" applyFont="1" applyFill="1" applyBorder="1"/>
    <x:xf numFmtId="0" fontId="6" fillId="5"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200" fontId="5" fillId="7" borderId="0" xfId="0" applyNumberFormat="1" applyFont="1" applyFill="1" applyBorder="1"/>
    <x:xf numFmtId="0" fontId="4" fillId="2" borderId="5" xfId="0" applyNumberFormat="1" applyFont="1" applyFill="1" applyBorder="1"/>
    <x:xf numFmtId="0" fontId="4" fillId="2" borderId="5" xfId="0" applyNumberFormat="1" applyFont="1" applyFill="1" applyBorder="1" applyAlignment="1">
      <x:alignment wrapText="1"/>
    </x:xf>
    <x:xf numFmtId="0" fontId="4" fillId="2" borderId="5" xfId="0" applyNumberFormat="1" applyFont="1" applyFill="1" applyBorder="1" applyAlignment="1">
      <x:alignment horizontal="center" wrapText="1"/>
    </x:xf>
    <x:xf numFmtId="0" fontId="4" fillId="2" borderId="5" xfId="0" applyNumberFormat="1" applyFont="1" applyFill="1" applyBorder="1" applyAlignment="1">
      <x:alignment horizontal="center" vertical="center" wrapText="1"/>
    </x:xf>
    <x:xf numFmtId="201" fontId="0" fillId="7" borderId="0" xfId="0" applyNumberFormat="1" applyFont="1" applyFill="1" applyBorder="1"/>
    <x:xf numFmtId="0" fontId="1" fillId="2" borderId="0" xfId="0" applyNumberFormat="1" applyFont="1" applyFill="1" applyBorder="1" applyAlignment="1">
      <x:alignment vertical="center" wrapText="1"/>
    </x:xf>
    <x:xf numFmtId="202" fontId="0" fillId="0" borderId="0" xfId="0" applyNumberFormat="1" applyFont="1" applyFill="1" applyBorder="1"/>
    <x:xf numFmtId="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1" fontId="0" fillId="0" borderId="0" xfId="0" applyNumberFormat="1" applyFont="1" applyFill="1" applyBorder="1"/>
    <x:xf numFmtId="201" fontId="0" fillId="6" borderId="0" xfId="0" applyNumberFormat="1" applyFont="1" applyFill="1" applyBorder="1"/>
    <x:xf numFmtId="202" fontId="0" fillId="6" borderId="0" xfId="0" applyNumberFormat="1" applyFont="1" applyFill="1" applyBorder="1"/>
    <x:xf numFmtId="201" fontId="5" fillId="6" borderId="0" xfId="0" applyNumberFormat="1" applyFont="1" applyFill="1" applyBorder="1"/>
    <x:xf numFmtId="202" fontId="5" fillId="6" borderId="0" xfId="0" applyNumberFormat="1" applyFont="1" applyFill="1" applyBorder="1"/>
  </x:cellXfs>
  <x:cellStyles count="1">
    <x:cellStyle name="Normal" xfId="0"/>
  </x:cellStyles>
  <x:dxfs count="10">
    <x:dxf>
      <x:font>
        <x:b/>
        <x:color rgb="FF006100"/>
      </x:font>
      <x:fill>
        <x:patternFill patternType="solid">
          <x:bgColor rgb="FFE2F0D9"/>
        </x:patternFill>
      </x:fill>
    </x:dxf>
    <x:dxf>
      <x:font>
        <x:b/>
        <x:color rgb="FF006100"/>
      </x:font>
      <x:fill>
        <x:patternFill patternType="solid">
          <x:bgColor rgb="FFE2F0D9"/>
        </x:patternFill>
      </x:fill>
    </x:dxf>
    <x:dxf>
      <x:font>
        <x:b/>
        <x:color rgb="FF9C0006"/>
      </x:font>
      <x:fill>
        <x:patternFill patternType="solid">
          <x:bgColor rgb="FFFCE4D6"/>
        </x:patternFill>
      </x:fill>
    </x:dxf>
    <x:dxf>
      <x:font>
        <x:b/>
        <x:color rgb="FF006100"/>
      </x:font>
      <x:fill>
        <x:patternFill patternType="solid">
          <x:bgColor rgb="FFE2F0D9"/>
        </x:patternFill>
      </x:fill>
    </x:dxf>
    <x:dxf>
      <x:font>
        <x:b/>
        <x:color rgb="FF9C0006"/>
      </x:font>
      <x:fill>
        <x:patternFill patternType="solid">
          <x:bgColor rgb="FFFCE4D6"/>
        </x:patternFill>
      </x:fill>
    </x:dxf>
    <x:dxf>
      <x:font>
        <x:b/>
        <x:color rgb="FF006100"/>
      </x:font>
      <x:fill>
        <x:patternFill patternType="solid">
          <x:bgColor rgb="FFE2F0D9"/>
        </x:patternFill>
      </x:fill>
    </x:dxf>
    <x:dxf>
      <x:font>
        <x:b/>
        <x:color rgb="FF9C0006"/>
      </x:font>
      <x:fill>
        <x:patternFill patternType="solid">
          <x:bgColor rgb="FFFCE4D6"/>
        </x:patternFill>
      </x:fill>
    </x:dxf>
    <x:dxf>
      <x:font>
        <x:b/>
        <x:color rgb="FF006100"/>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9dab4c0bb4415e" /><Relationship Type="http://schemas.openxmlformats.org/officeDocument/2006/relationships/theme" Target="/xl/theme/theme1.xml" Id="Rb65f7eb14eff43da" /><Relationship Type="http://schemas.openxmlformats.org/officeDocument/2006/relationships/sharedStrings" Target="/xl/sharedStrings.xml" Id="R4266925008b5403e" /><Relationship Type="http://schemas.openxmlformats.org/officeDocument/2006/relationships/worksheet" Target="/xl/worksheets/sheet1.xml" Id="R95cbce62f3c54142" /><Relationship Type="http://schemas.openxmlformats.org/officeDocument/2006/relationships/worksheet" Target="/xl/worksheets/sheet2.xml" Id="R9b53d285c399423a" /><Relationship Type="http://schemas.openxmlformats.org/officeDocument/2006/relationships/worksheet" Target="/xl/worksheets/sheet3.xml" Id="Rbb40e2fa2e0842d1" /><Relationship Type="http://schemas.openxmlformats.org/officeDocument/2006/relationships/worksheet" Target="/xl/worksheets/sheet4.xml" Id="Re5fc109a8b8c4c70" /><Relationship Type="http://schemas.openxmlformats.org/officeDocument/2006/relationships/worksheet" Target="/xl/worksheets/sheet5.xml" Id="R448d3dd664a64d75" /><Relationship Type="http://schemas.openxmlformats.org/officeDocument/2006/relationships/worksheet" Target="/xl/worksheets/sheet6.xml" Id="R875ddcd46bcc49a1" /><Relationship Type="http://schemas.openxmlformats.org/officeDocument/2006/relationships/worksheet" Target="/xl/worksheets/sheet7.xml" Id="R7de4caa598d64e55" /><Relationship Type="http://schemas.openxmlformats.org/officeDocument/2006/relationships/worksheet" Target="/xl/worksheets/sheet8.xml" Id="R817cc5edbeed4f74" /><Relationship Type="http://schemas.microsoft.com/office/2017/10/relationships/person" Target="/xl/persons/person.xml" Id="Rd4b644cb8e9642ad" /></Relationships>
</file>

<file path=xl/persons/person.xml><?xml version="1.0" encoding="utf-8"?>
<xltc:personList xmlns:xltc="http://schemas.microsoft.com/office/spreadsheetml/2018/threadedcomments">
  <xltc:person displayName="David Levinson" id="{AF95D469-AEB4-4E20-8313-3D14AD1AD8AD}"/>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90"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28" customHeight="1">
      <x:c r="A1" s="3" t="str">
        <x:v>Three-Player Congestion Game: Corrigendum Reconstruction</x:v>
      </x:c>
      <x:c r="B1" s="3"/>
      <x:c r="C1" s="3"/>
      <x:c r="D1" s="3"/>
      <x:c r="E1" s="3"/>
      <x:c r="F1" s="3"/>
      <x:c r="G1" s="3"/>
      <x:c r="H1" s="3"/>
    </x:row>
    <x:row r="3">
      <x:c r="A3" s="6" t="str">
        <x:v>Purpose</x:v>
      </x:c>
      <x:c r="B3" s="12" t="str">
        <x:v>Reconstruct and audit the corrected three-player results associated with the 2015 corrigendum.</x:v>
      </x:c>
    </x:row>
    <x:row r="4">
      <x:c r="A4" s="7" t="str">
        <x:v>Original paper</x:v>
      </x:c>
      <x:c r="B4" s="12" t="str">
        <x:v>https://doi.org/10.1016/j.tra.2005.02.021</x:v>
      </x:c>
    </x:row>
    <x:row r="5">
      <x:c r="A5" s="7" t="str">
        <x:v>Corrigendum</x:v>
      </x:c>
      <x:c r="B5" s="12" t="str">
        <x:v>https://doi.org/10.1016/j.tra.2015.05.009</x:v>
      </x:c>
    </x:row>
    <x:row r="6">
      <x:c r="A6" s="7" t="str">
        <x:v>Model basis</x:v>
      </x:c>
      <x:c r="B6" s="12" t="str">
        <x:v>FIFO bottleneck; random ordering only among simultaneous departures; weak pure-strategy Nash equilibrium.</x:v>
      </x:c>
    </x:row>
    <x:row r="7">
      <x:c r="A7" s="7" t="str">
        <x:v>Critical probability correction</x:v>
      </x:c>
      <x:c r="B7" s="12" t="str">
        <x:v>For A=l with B=e and C=l, P(really late)=0.5, not 0.</x:v>
      </x:c>
    </x:row>
    <x:row r="8">
      <x:c r="A8" s="7" t="str">
        <x:v>Arithmetic-correct result</x:v>
      </x:c>
      <x:c r="B8" s="12" t="str">
        <x:v>10 of 12 corrected Table 11 rows reproduce exactly using Toll = ISC - IPC.</x:v>
      </x:c>
    </x:row>
    <x:row r="9">
      <x:c r="A9" s="7" t="str">
        <x:v>Residual inconsistency</x:v>
      </x:c>
      <x:c r="B9" s="12" t="str">
        <x:v>Table 11 omits three tied weak equilibria at 1,0,1 and another three at 4,0,3.</x:v>
      </x:c>
    </x:row>
    <x:row r="10">
      <x:c r="A10" s="8" t="str">
        <x:v>Use</x:v>
      </x:c>
      <x:c r="B10" s="12" t="str">
        <x:v>Edit Inputs!B4:B6 to inspect any parameter triplet; use Benchmark Summary for the published cases.</x:v>
      </x:c>
    </x:row>
    <x:row r="12">
      <x:c r="A12" s="13" t="str">
        <x:v>Interpretation</x:v>
      </x:c>
      <x:c r="B12" s="14"/>
      <x:c r="C12" s="14"/>
      <x:c r="D12" s="14"/>
      <x:c r="E12" s="14"/>
      <x:c r="F12" s="14"/>
      <x:c r="G12" s="14"/>
      <x:c r="H12" s="15"/>
    </x:row>
    <x:row r="13">
      <x:c r="A13" s="18" t="str">
        <x:v>This workbook does not silently alter the mathematics to force every published row to pass. Published Results records the exact corrigendum table. Benchmark Summary and Benchmark Profiles show what follows from the corrected queue probabilities and the source note's stated ISC - IPC method. The displayed +0.5E sign in the epsilon toll is retained as a comparison only. Strict equilibrium is not the missing assumption: it yields no equilibria in the disputed zero-delay cases.</x:v>
      </x:c>
      <x:c r="B13" s="18"/>
      <x:c r="C13" s="18"/>
      <x:c r="D13" s="18"/>
      <x:c r="E13" s="18"/>
      <x:c r="F13" s="18"/>
      <x:c r="G13" s="18"/>
      <x:c r="H13" s="18"/>
    </x:row>
    <x:row r="14">
      <x:c r="A14" s="18"/>
      <x:c r="B14" s="18"/>
      <x:c r="C14" s="18"/>
      <x:c r="D14" s="18"/>
      <x:c r="E14" s="18"/>
      <x:c r="F14" s="18"/>
      <x:c r="G14" s="18"/>
      <x:c r="H14" s="18"/>
    </x:row>
    <x:row r="15">
      <x:c r="A15" s="18"/>
      <x:c r="B15" s="18"/>
      <x:c r="C15" s="18"/>
      <x:c r="D15" s="18"/>
      <x:c r="E15" s="18"/>
      <x:c r="F15" s="18"/>
      <x:c r="G15" s="18"/>
      <x:c r="H15" s="18"/>
    </x:row>
    <x:row r="16">
      <x:c r="A16" s="18"/>
      <x:c r="B16" s="18"/>
      <x:c r="C16" s="18"/>
      <x:c r="D16" s="18"/>
      <x:c r="E16" s="18"/>
      <x:c r="F16" s="18"/>
      <x:c r="G16" s="18"/>
      <x:c r="H16" s="18"/>
    </x:row>
  </x:sheetData>
  <x:mergeCells>
    <x:mergeCell ref="A1:H1"/>
    <x:mergeCell ref="A12:H12"/>
    <x:mergeCell ref="A13: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5" hidden="0" customWidth="1"/>
    <x:col min="2" max="2" width="18" hidden="0" customWidth="1"/>
  </x:cols>
  <x:sheetData>
    <x:row r="1" ht="28" customHeight="1">
      <x:c r="A1" s="3" t="str">
        <x:v>Editable Selected-Case Inputs</x:v>
      </x:c>
      <x:c r="B1" s="3"/>
      <x:c r="C1" s="3"/>
      <x:c r="D1" s="3"/>
    </x:row>
    <x:row r="3">
      <x:c r="A3" s="26" t="str">
        <x:v>Parameter</x:v>
      </x:c>
      <x:c r="B3" s="27" t="str">
        <x:v>Value</x:v>
      </x:c>
    </x:row>
    <x:row r="4">
      <x:c r="A4" s="28" t="str">
        <x:v>Early penalty (E)</x:v>
      </x:c>
      <x:c r="B4" s="31" t="n">
        <x:v>3</x:v>
      </x:c>
    </x:row>
    <x:row r="5">
      <x:c r="A5" s="28" t="str">
        <x:v>Journey-delay penalty (D)</x:v>
      </x:c>
      <x:c r="B5" s="31" t="n">
        <x:v>1</x:v>
      </x:c>
    </x:row>
    <x:row r="6">
      <x:c r="A6" s="28" t="str">
        <x:v>Late penalty (L)</x:v>
      </x:c>
      <x:c r="B6" s="31" t="n">
        <x:v>4</x:v>
      </x:c>
    </x:row>
    <x:row r="8">
      <x:c r="A8" s="26" t="str">
        <x:v>Selected-case result</x:v>
      </x:c>
      <x:c r="B8" s="27" t="str">
        <x:v>Value</x:v>
      </x:c>
    </x:row>
    <x:row r="9">
      <x:c r="A9" s="32" t="str">
        <x:v>Unpriced PSNE count</x:v>
      </x:c>
      <x:c r="B9" s="35" t="n">
        <x:f>SUM('Selected Case'!$O$2:$O$65)</x:f>
        <x:v>1</x:v>
      </x:c>
    </x:row>
    <x:row r="10">
      <x:c r="A10" s="32" t="str">
        <x:v>Priced PSNE count</x:v>
      </x:c>
      <x:c r="B10" s="35" t="n">
        <x:f>SUM('Selected Case'!$P$2:$P$65)</x:f>
        <x:v>6</x:v>
      </x:c>
    </x:row>
    <x:row r="11">
      <x:c r="A11" s="32" t="str">
        <x:v>Minimum total private cost</x:v>
      </x:c>
      <x:c r="B11" s="35" t="n">
        <x:f>MIN('Selected Case'!$N$2:$N$65)</x:f>
        <x:v>7</x:v>
      </x:c>
    </x:row>
    <x:row r="12">
      <x:c r="A12" s="32" t="str">
        <x:v>Probability rows with sum ≠ 1</x:v>
      </x:c>
      <x:c r="B12" s="35" t="n">
        <x:f>SUM('Arrival Probabilities'!$N$2:$N$193)</x:f>
        <x:v>0</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7" hidden="0" customWidth="1"/>
    <x:col min="3" max="3" width="7" hidden="0" customWidth="1"/>
    <x:col min="4" max="4" width="15" hidden="0" customWidth="1"/>
    <x:col min="5" max="5" width="48" hidden="0" customWidth="1"/>
    <x:col min="6" max="6" width="14" hidden="0" customWidth="1"/>
    <x:col min="7" max="7" width="48" hidden="0" customWidth="1"/>
    <x:col min="8" max="8" width="16" hidden="0" customWidth="1"/>
    <x:col min="9" max="9" width="42" hidden="0" customWidth="1"/>
  </x:cols>
  <x:sheetData>
    <x:row r="1" ht="28" customHeight="1">
      <x:c r="A1" s="3" t="str">
        <x:v>Published Corrected Table 11 (2015 Corrigendum)</x:v>
      </x:c>
      <x:c r="B1" s="3"/>
      <x:c r="C1" s="3"/>
      <x:c r="D1" s="3"/>
      <x:c r="E1" s="3"/>
      <x:c r="F1" s="3"/>
      <x:c r="G1" s="3"/>
      <x:c r="H1" s="3"/>
      <x:c r="I1" s="3"/>
    </x:row>
    <x:row r="3">
      <x:c r="A3" s="26" t="str">
        <x:v>E</x:v>
      </x:c>
      <x:c r="B3" s="39" t="str">
        <x:v>D</x:v>
      </x:c>
      <x:c r="C3" s="39" t="str">
        <x:v>L</x:v>
      </x:c>
      <x:c r="D3" s="39" t="str">
        <x:v>Unpriced PSNE</x:v>
      </x:c>
      <x:c r="E3" s="39" t="str">
        <x:v>Unpriced solution patterns</x:v>
      </x:c>
      <x:c r="F3" s="39" t="str">
        <x:v>Priced PSNE</x:v>
      </x:c>
      <x:c r="G3" s="39" t="str">
        <x:v>Priced solution patterns</x:v>
      </x:c>
      <x:c r="H3" s="39" t="str">
        <x:v>Lowest total cost</x:v>
      </x:c>
      <x:c r="I3" s="27" t="str">
        <x:v>Source</x:v>
      </x:c>
    </x:row>
    <x:row r="4">
      <x:c r="A4" s="42" t="n">
        <x:v>0</x:v>
      </x:c>
      <x:c r="B4" s="42" t="n">
        <x:v>0</x:v>
      </x:c>
      <x:c r="C4" s="42" t="n">
        <x:v>0</x:v>
      </x:c>
      <x:c r="D4" s="42" t="n">
        <x:v>64</x:v>
      </x:c>
      <x:c r="E4" s="43" t="str">
        <x:v>all 64 profiles</x:v>
      </x:c>
      <x:c r="F4" s="44" t="n">
        <x:v>64</x:v>
      </x:c>
      <x:c r="G4" s="44" t="str">
        <x:v>all 64 profiles</x:v>
      </x:c>
      <x:c r="H4" s="42" t="n">
        <x:v>0</x:v>
      </x:c>
      <x:c r="I4" t="str">
        <x:v>https://doi.org/10.1016/j.tra.2015.05.009</x:v>
      </x:c>
    </x:row>
    <x:row r="5">
      <x:c r="A5" s="42" t="n">
        <x:v>0</x:v>
      </x:c>
      <x:c r="B5" s="42" t="n">
        <x:v>1</x:v>
      </x:c>
      <x:c r="C5" s="42" t="n">
        <x:v>0</x:v>
      </x:c>
      <x:c r="D5" s="42" t="n">
        <x:v>24</x:v>
      </x:c>
      <x:c r="E5" s="43" t="str">
        <x:v>eol (6 permutations); vel (6 permutations); veo (6 permutations); vol (6 permutations)</x:v>
      </x:c>
      <x:c r="F5" s="44" t="n">
        <x:v>24</x:v>
      </x:c>
      <x:c r="G5" s="44" t="str">
        <x:v>eol (6 permutations); vel (6 permutations); veo (6 permutations); vol (6 permutations)</x:v>
      </x:c>
      <x:c r="H5" s="42" t="n">
        <x:v>0</x:v>
      </x:c>
      <x:c r="I5" t="str">
        <x:v>https://doi.org/10.1016/j.tra.2015.05.009</x:v>
      </x:c>
    </x:row>
    <x:row r="6">
      <x:c r="A6" s="42" t="n">
        <x:v>0</x:v>
      </x:c>
      <x:c r="B6" s="42" t="n">
        <x:v>0</x:v>
      </x:c>
      <x:c r="C6" s="42" t="n">
        <x:v>1</x:v>
      </x:c>
      <x:c r="D6" s="42" t="n">
        <x:v>16</x:v>
      </x:c>
      <x:c r="E6" s="43" t="str">
        <x:v>vee (3 permutations); veo (6 permutations); vve (3 permutations); vvo (3 permutations); vvv</x:v>
      </x:c>
      <x:c r="F6" s="44" t="n">
        <x:v>16</x:v>
      </x:c>
      <x:c r="G6" s="44" t="str">
        <x:v>vee (3 permutations); veo (6 permutations); vve (3 permutations); vvo (3 permutations); vvv</x:v>
      </x:c>
      <x:c r="H6" s="42" t="n">
        <x:v>0</x:v>
      </x:c>
      <x:c r="I6" t="str">
        <x:v>https://doi.org/10.1016/j.tra.2015.05.009</x:v>
      </x:c>
    </x:row>
    <x:row r="7">
      <x:c r="A7" s="42" t="n">
        <x:v>0</x:v>
      </x:c>
      <x:c r="B7" s="42" t="n">
        <x:v>1</x:v>
      </x:c>
      <x:c r="C7" s="42" t="n">
        <x:v>1</x:v>
      </x:c>
      <x:c r="D7" s="42" t="n">
        <x:v>6</x:v>
      </x:c>
      <x:c r="E7" s="43" t="str">
        <x:v>veo (6 permutations)</x:v>
      </x:c>
      <x:c r="F7" s="44" t="n">
        <x:v>6</x:v>
      </x:c>
      <x:c r="G7" s="44" t="str">
        <x:v>veo (6 permutations)</x:v>
      </x:c>
      <x:c r="H7" s="42" t="n">
        <x:v>0</x:v>
      </x:c>
      <x:c r="I7" t="str">
        <x:v>https://doi.org/10.1016/j.tra.2015.05.009</x:v>
      </x:c>
    </x:row>
    <x:row r="8">
      <x:c r="A8" s="42" t="n">
        <x:v>1</x:v>
      </x:c>
      <x:c r="B8" s="42" t="n">
        <x:v>0</x:v>
      </x:c>
      <x:c r="C8" s="42" t="n">
        <x:v>0</x:v>
      </x:c>
      <x:c r="D8" s="42" t="n">
        <x:v>8</x:v>
      </x:c>
      <x:c r="E8" s="43" t="str">
        <x:v>lll; oll (3 permutations); ool (3 permutations); ooo</x:v>
      </x:c>
      <x:c r="F8" s="44" t="n">
        <x:v>8</x:v>
      </x:c>
      <x:c r="G8" s="44" t="str">
        <x:v>lll; oll (3 permutations); ool (3 permutations); ooo</x:v>
      </x:c>
      <x:c r="H8" s="42" t="n">
        <x:v>0</x:v>
      </x:c>
      <x:c r="I8" t="str">
        <x:v>https://doi.org/10.1016/j.tra.2015.05.009</x:v>
      </x:c>
    </x:row>
    <x:row r="9">
      <x:c r="A9" s="42" t="n">
        <x:v>1</x:v>
      </x:c>
      <x:c r="B9" s="42" t="n">
        <x:v>1</x:v>
      </x:c>
      <x:c r="C9" s="42" t="n">
        <x:v>0</x:v>
      </x:c>
      <x:c r="D9" s="42" t="n">
        <x:v>7</x:v>
      </x:c>
      <x:c r="E9" s="43" t="str">
        <x:v>oll (3 permutations); ool (3 permutations); ooo</x:v>
      </x:c>
      <x:c r="F9" s="44" t="n">
        <x:v>9</x:v>
      </x:c>
      <x:c r="G9" s="44" t="str">
        <x:v>eol (6 permutations); oll (3 permutations)</x:v>
      </x:c>
      <x:c r="H9" s="42" t="n">
        <x:v>1</x:v>
      </x:c>
      <x:c r="I9" t="str">
        <x:v>https://doi.org/10.1016/j.tra.2015.05.009</x:v>
      </x:c>
    </x:row>
    <x:row r="10">
      <x:c r="A10" s="42" t="n">
        <x:v>1</x:v>
      </x:c>
      <x:c r="B10" s="42" t="n">
        <x:v>0</x:v>
      </x:c>
      <x:c r="C10" s="42" t="n">
        <x:v>1</x:v>
      </x:c>
      <x:c r="D10" s="42" t="n">
        <x:v>5</x:v>
      </x:c>
      <x:c r="E10" s="43" t="str">
        <x:v>eee; eoo (3 permutations); ooo</x:v>
      </x:c>
      <x:c r="F10" s="44" t="n">
        <x:v>10</x:v>
      </x:c>
      <x:c r="G10" s="44" t="str">
        <x:v>eee; eeo (3 permutations); eol (6 permutations)</x:v>
      </x:c>
      <x:c r="H10" s="42" t="n">
        <x:v>2</x:v>
      </x:c>
      <x:c r="I10" t="str">
        <x:v>https://doi.org/10.1016/j.tra.2015.05.009</x:v>
      </x:c>
    </x:row>
    <x:row r="11">
      <x:c r="A11" s="42" t="n">
        <x:v>1</x:v>
      </x:c>
      <x:c r="B11" s="42" t="n">
        <x:v>1</x:v>
      </x:c>
      <x:c r="C11" s="42" t="n">
        <x:v>1</x:v>
      </x:c>
      <x:c r="D11" s="42" t="n">
        <x:v>9</x:v>
      </x:c>
      <x:c r="E11" s="43" t="str">
        <x:v>eol (6 permutations); eoo (3 permutations)</x:v>
      </x:c>
      <x:c r="F11" s="44" t="n">
        <x:v>6</x:v>
      </x:c>
      <x:c r="G11" s="44" t="str">
        <x:v>eol (6 permutations)</x:v>
      </x:c>
      <x:c r="H11" s="42" t="n">
        <x:v>2</x:v>
      </x:c>
      <x:c r="I11" t="str">
        <x:v>https://doi.org/10.1016/j.tra.2015.05.009</x:v>
      </x:c>
    </x:row>
    <x:row r="12">
      <x:c r="A12" s="42" t="n">
        <x:v>3</x:v>
      </x:c>
      <x:c r="B12" s="42" t="n">
        <x:v>1</x:v>
      </x:c>
      <x:c r="C12" s="42" t="n">
        <x:v>4</x:v>
      </x:c>
      <x:c r="D12" s="42" t="n">
        <x:v>1</x:v>
      </x:c>
      <x:c r="E12" s="43" t="str">
        <x:v>eee</x:v>
      </x:c>
      <x:c r="F12" s="44" t="n">
        <x:v>6</x:v>
      </x:c>
      <x:c r="G12" s="44" t="str">
        <x:v>eol (6 permutations)</x:v>
      </x:c>
      <x:c r="H12" s="42" t="n">
        <x:v>7</x:v>
      </x:c>
      <x:c r="I12" t="str">
        <x:v>https://doi.org/10.1016/j.tra.2015.05.009</x:v>
      </x:c>
    </x:row>
    <x:row r="13">
      <x:c r="A13" s="42" t="n">
        <x:v>4</x:v>
      </x:c>
      <x:c r="B13" s="42" t="n">
        <x:v>0</x:v>
      </x:c>
      <x:c r="C13" s="42" t="n">
        <x:v>3</x:v>
      </x:c>
      <x:c r="D13" s="42" t="n">
        <x:v>2</x:v>
      </x:c>
      <x:c r="E13" s="43" t="str">
        <x:v>eee; ooo</x:v>
      </x:c>
      <x:c r="F13" s="44" t="n">
        <x:v>10</x:v>
      </x:c>
      <x:c r="G13" s="44" t="str">
        <x:v>eee; eol (6 permutations); eoo (3 permutations)</x:v>
      </x:c>
      <x:c r="H13" s="42" t="n">
        <x:v>7</x:v>
      </x:c>
      <x:c r="I13" t="str">
        <x:v>https://doi.org/10.1016/j.tra.2015.05.009</x:v>
      </x:c>
    </x:row>
    <x:row r="14">
      <x:c r="A14" s="42" t="n">
        <x:v>4</x:v>
      </x:c>
      <x:c r="B14" s="42" t="n">
        <x:v>1</x:v>
      </x:c>
      <x:c r="C14" s="42" t="n">
        <x:v>3</x:v>
      </x:c>
      <x:c r="D14" s="42" t="n">
        <x:v>4</x:v>
      </x:c>
      <x:c r="E14" s="43" t="str">
        <x:v>eoo (3 permutations); ooo</x:v>
      </x:c>
      <x:c r="F14" s="44" t="n">
        <x:v>6</x:v>
      </x:c>
      <x:c r="G14" s="44" t="str">
        <x:v>eol (6 permutations)</x:v>
      </x:c>
      <x:c r="H14" s="42" t="n">
        <x:v>7</x:v>
      </x:c>
      <x:c r="I14" t="str">
        <x:v>https://doi.org/10.1016/j.tra.2015.05.009</x:v>
      </x:c>
    </x:row>
    <x:row r="15">
      <x:c r="A15" s="42" t="n">
        <x:v>3</x:v>
      </x:c>
      <x:c r="B15" s="42" t="n">
        <x:v>0</x:v>
      </x:c>
      <x:c r="C15" s="42" t="n">
        <x:v>4</x:v>
      </x:c>
      <x:c r="D15" s="42" t="n">
        <x:v>1</x:v>
      </x:c>
      <x:c r="E15" s="43" t="str">
        <x:v>eee</x:v>
      </x:c>
      <x:c r="F15" s="44" t="n">
        <x:v>13</x:v>
      </x:c>
      <x:c r="G15" s="44" t="str">
        <x:v>eee; eeo (3 permutations); eol (6 permutations); eoo (3 permutations)</x:v>
      </x:c>
      <x:c r="H15" s="42" t="n">
        <x:v>7</x:v>
      </x:c>
      <x:c r="I15" t="str">
        <x:v>https://doi.org/10.1016/j.tra.2015.05.009</x:v>
      </x:c>
    </x:row>
  </x:sheetData>
  <x:mergeCells>
    <x:mergeCell ref="A1:I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7" hidden="0" customWidth="1"/>
    <x:col min="3" max="3" width="7" hidden="0" customWidth="1"/>
    <x:col min="4" max="4" width="7"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54" hidden="0" customWidth="1"/>
    <x:col min="17" max="17" width="66" hidden="0" customWidth="1"/>
  </x:cols>
  <x:sheetData>
    <x:row r="1" ht="28" customHeight="1">
      <x:c r="A1" s="3" t="str">
        <x:v>ISC-IPC Audit Against Published Corrected Table 11</x:v>
      </x:c>
      <x:c r="B1" s="3"/>
      <x:c r="C1" s="3"/>
      <x:c r="D1" s="3"/>
      <x:c r="E1" s="3"/>
      <x:c r="F1" s="3"/>
      <x:c r="G1" s="3"/>
      <x:c r="H1" s="3"/>
      <x:c r="I1" s="3"/>
      <x:c r="J1" s="3"/>
      <x:c r="K1" s="3"/>
      <x:c r="L1" s="3"/>
      <x:c r="M1" s="3"/>
      <x:c r="N1" s="3"/>
      <x:c r="O1" s="3"/>
      <x:c r="P1" s="3"/>
      <x:c r="Q1" s="3"/>
    </x:row>
    <x:row r="3">
      <x:c r="A3" s="26" t="str">
        <x:v>Case</x:v>
      </x:c>
      <x:c r="B3" s="39" t="str">
        <x:v>E</x:v>
      </x:c>
      <x:c r="C3" s="39" t="str">
        <x:v>D</x:v>
      </x:c>
      <x:c r="D3" s="39" t="str">
        <x:v>L</x:v>
      </x:c>
      <x:c r="E3" s="39" t="str">
        <x:v>Published U</x:v>
      </x:c>
      <x:c r="F3" s="39" t="str">
        <x:v>Calculated U</x:v>
      </x:c>
      <x:c r="G3" s="39" t="str">
        <x:v>U check</x:v>
      </x:c>
      <x:c r="H3" s="39" t="str">
        <x:v>Published P</x:v>
      </x:c>
      <x:c r="I3" s="39" t="str">
        <x:v>ISC-IPC P</x:v>
      </x:c>
      <x:c r="J3" s="39" t="str">
        <x:v>P check</x:v>
      </x:c>
      <x:c r="K3" s="39" t="str">
        <x:v>Printed +0.5E P</x:v>
      </x:c>
      <x:c r="L3" s="39" t="str">
        <x:v>Published min</x:v>
      </x:c>
      <x:c r="M3" s="39" t="str">
        <x:v>Calculated min</x:v>
      </x:c>
      <x:c r="N3" s="39" t="str">
        <x:v>Min check</x:v>
      </x:c>
      <x:c r="O3" s="39" t="str">
        <x:v>Exact row</x:v>
      </x:c>
      <x:c r="P3" s="39" t="str">
        <x:v>Published patterns</x:v>
      </x:c>
      <x:c r="Q3" s="27" t="str">
        <x:v>Finding</x:v>
      </x:c>
    </x:row>
    <x:row r="4">
      <x:c r="A4" s="42" t="n">
        <x:v>1</x:v>
      </x:c>
      <x:c r="B4" s="42" t="n">
        <x:v>0</x:v>
      </x:c>
      <x:c r="C4" s="42" t="n">
        <x:v>0</x:v>
      </x:c>
      <x:c r="D4" s="42" t="n">
        <x:v>0</x:v>
      </x:c>
      <x:c r="E4" s="42" t="n">
        <x:v>64</x:v>
      </x:c>
      <x:c r="F4" s="42" t="n">
        <x:f>SUM('Benchmark Profiles'!$P$2:$P$65)</x:f>
        <x:v>64</x:v>
      </x:c>
      <x:c r="G4" s="42" t="str">
        <x:f>IF(E4=F4,"PASS","FAIL")</x:f>
        <x:v>PASS</x:v>
      </x:c>
      <x:c r="H4" s="42" t="n">
        <x:v>64</x:v>
      </x:c>
      <x:c r="I4" s="42" t="n">
        <x:f>SUM('Benchmark Profiles'!$Q$2:$Q$65)</x:f>
        <x:v>64</x:v>
      </x:c>
      <x:c r="J4" s="42" t="str">
        <x:f>IF(H4=I4,"PASS","FAIL")</x:f>
        <x:v>PASS</x:v>
      </x:c>
      <x:c r="K4" s="42" t="n">
        <x:v>64</x:v>
      </x:c>
      <x:c r="L4" s="42" t="n">
        <x:v>0</x:v>
      </x:c>
      <x:c r="M4" s="42" t="n">
        <x:f>MIN('Benchmark Profiles'!$O$2:$O$65)</x:f>
        <x:v>0</x:v>
      </x:c>
      <x:c r="N4" s="42" t="str">
        <x:f>IF(L4=M4,"PASS","FAIL")</x:f>
        <x:v>PASS</x:v>
      </x:c>
      <x:c r="O4" s="42" t="str">
        <x:f>IF(AND(G4="PASS",J4="PASS",N4="PASS"),"PASS","FAIL")</x:f>
        <x:v>PASS</x:v>
      </x:c>
      <x:c r="P4" s="43" t="str">
        <x:v>U: all 64 profiles | P: all 64 profiles</x:v>
      </x:c>
      <x:c r="Q4" s="43" t="str"/>
    </x:row>
    <x:row r="5">
      <x:c r="A5" s="42" t="n">
        <x:v>2</x:v>
      </x:c>
      <x:c r="B5" s="42" t="n">
        <x:v>0</x:v>
      </x:c>
      <x:c r="C5" s="42" t="n">
        <x:v>1</x:v>
      </x:c>
      <x:c r="D5" s="42" t="n">
        <x:v>0</x:v>
      </x:c>
      <x:c r="E5" s="42" t="n">
        <x:v>24</x:v>
      </x:c>
      <x:c r="F5" s="42" t="n">
        <x:f>SUM('Benchmark Profiles'!$P$66:$P$129)</x:f>
        <x:v>24</x:v>
      </x:c>
      <x:c r="G5" s="42" t="str">
        <x:f>IF(E5=F5,"PASS","FAIL")</x:f>
        <x:v>PASS</x:v>
      </x:c>
      <x:c r="H5" s="42" t="n">
        <x:v>24</x:v>
      </x:c>
      <x:c r="I5" s="42" t="n">
        <x:f>SUM('Benchmark Profiles'!$Q$66:$Q$129)</x:f>
        <x:v>24</x:v>
      </x:c>
      <x:c r="J5" s="42" t="str">
        <x:f>IF(H5=I5,"PASS","FAIL")</x:f>
        <x:v>PASS</x:v>
      </x:c>
      <x:c r="K5" s="42" t="n">
        <x:v>24</x:v>
      </x:c>
      <x:c r="L5" s="42" t="n">
        <x:v>0</x:v>
      </x:c>
      <x:c r="M5" s="42" t="n">
        <x:f>MIN('Benchmark Profiles'!$O$66:$O$129)</x:f>
        <x:v>0</x:v>
      </x:c>
      <x:c r="N5" s="42" t="str">
        <x:f>IF(L5=M5,"PASS","FAIL")</x:f>
        <x:v>PASS</x:v>
      </x:c>
      <x:c r="O5" s="42" t="str">
        <x:f>IF(AND(G5="PASS",J5="PASS",N5="PASS"),"PASS","FAIL")</x:f>
        <x:v>PASS</x:v>
      </x:c>
      <x:c r="P5" s="43" t="str">
        <x:v>U: eol (6 permutations); vel (6 permutations); veo (6 permutations); vol (6 permutations) | P: eol (6 permutations); vel (6 permutations); veo (6 permutations); vol (6 permutations)</x:v>
      </x:c>
      <x:c r="Q5" s="43" t="str"/>
    </x:row>
    <x:row r="6">
      <x:c r="A6" s="42" t="n">
        <x:v>3</x:v>
      </x:c>
      <x:c r="B6" s="42" t="n">
        <x:v>0</x:v>
      </x:c>
      <x:c r="C6" s="42" t="n">
        <x:v>0</x:v>
      </x:c>
      <x:c r="D6" s="42" t="n">
        <x:v>1</x:v>
      </x:c>
      <x:c r="E6" s="42" t="n">
        <x:v>16</x:v>
      </x:c>
      <x:c r="F6" s="42" t="n">
        <x:f>SUM('Benchmark Profiles'!$P$130:$P$193)</x:f>
        <x:v>16</x:v>
      </x:c>
      <x:c r="G6" s="42" t="str">
        <x:f>IF(E6=F6,"PASS","FAIL")</x:f>
        <x:v>PASS</x:v>
      </x:c>
      <x:c r="H6" s="42" t="n">
        <x:v>16</x:v>
      </x:c>
      <x:c r="I6" s="42" t="n">
        <x:f>SUM('Benchmark Profiles'!$Q$130:$Q$193)</x:f>
        <x:v>16</x:v>
      </x:c>
      <x:c r="J6" s="42" t="str">
        <x:f>IF(H6=I6,"PASS","FAIL")</x:f>
        <x:v>PASS</x:v>
      </x:c>
      <x:c r="K6" s="42" t="n">
        <x:v>16</x:v>
      </x:c>
      <x:c r="L6" s="42" t="n">
        <x:v>0</x:v>
      </x:c>
      <x:c r="M6" s="42" t="n">
        <x:f>MIN('Benchmark Profiles'!$O$130:$O$193)</x:f>
        <x:v>0</x:v>
      </x:c>
      <x:c r="N6" s="42" t="str">
        <x:f>IF(L6=M6,"PASS","FAIL")</x:f>
        <x:v>PASS</x:v>
      </x:c>
      <x:c r="O6" s="42" t="str">
        <x:f>IF(AND(G6="PASS",J6="PASS",N6="PASS"),"PASS","FAIL")</x:f>
        <x:v>PASS</x:v>
      </x:c>
      <x:c r="P6" s="43" t="str">
        <x:v>U: vee (3 permutations); veo (6 permutations); vve (3 permutations); vvo (3 permutations); vvv | P: vee (3 permutations); veo (6 permutations); vve (3 permutations); vvo (3 permutations); vvv</x:v>
      </x:c>
      <x:c r="Q6" s="43" t="str"/>
    </x:row>
    <x:row r="7">
      <x:c r="A7" s="42" t="n">
        <x:v>4</x:v>
      </x:c>
      <x:c r="B7" s="42" t="n">
        <x:v>0</x:v>
      </x:c>
      <x:c r="C7" s="42" t="n">
        <x:v>1</x:v>
      </x:c>
      <x:c r="D7" s="42" t="n">
        <x:v>1</x:v>
      </x:c>
      <x:c r="E7" s="42" t="n">
        <x:v>6</x:v>
      </x:c>
      <x:c r="F7" s="42" t="n">
        <x:f>SUM('Benchmark Profiles'!$P$194:$P$257)</x:f>
        <x:v>6</x:v>
      </x:c>
      <x:c r="G7" s="42" t="str">
        <x:f>IF(E7=F7,"PASS","FAIL")</x:f>
        <x:v>PASS</x:v>
      </x:c>
      <x:c r="H7" s="42" t="n">
        <x:v>6</x:v>
      </x:c>
      <x:c r="I7" s="42" t="n">
        <x:f>SUM('Benchmark Profiles'!$Q$194:$Q$257)</x:f>
        <x:v>6</x:v>
      </x:c>
      <x:c r="J7" s="42" t="str">
        <x:f>IF(H7=I7,"PASS","FAIL")</x:f>
        <x:v>PASS</x:v>
      </x:c>
      <x:c r="K7" s="42" t="n">
        <x:v>6</x:v>
      </x:c>
      <x:c r="L7" s="42" t="n">
        <x:v>0</x:v>
      </x:c>
      <x:c r="M7" s="42" t="n">
        <x:f>MIN('Benchmark Profiles'!$O$194:$O$257)</x:f>
        <x:v>0</x:v>
      </x:c>
      <x:c r="N7" s="42" t="str">
        <x:f>IF(L7=M7,"PASS","FAIL")</x:f>
        <x:v>PASS</x:v>
      </x:c>
      <x:c r="O7" s="42" t="str">
        <x:f>IF(AND(G7="PASS",J7="PASS",N7="PASS"),"PASS","FAIL")</x:f>
        <x:v>PASS</x:v>
      </x:c>
      <x:c r="P7" s="43" t="str">
        <x:v>U: veo (6 permutations) | P: veo (6 permutations)</x:v>
      </x:c>
      <x:c r="Q7" s="43" t="str"/>
    </x:row>
    <x:row r="8">
      <x:c r="A8" s="42" t="n">
        <x:v>5</x:v>
      </x:c>
      <x:c r="B8" s="42" t="n">
        <x:v>1</x:v>
      </x:c>
      <x:c r="C8" s="42" t="n">
        <x:v>0</x:v>
      </x:c>
      <x:c r="D8" s="42" t="n">
        <x:v>0</x:v>
      </x:c>
      <x:c r="E8" s="42" t="n">
        <x:v>8</x:v>
      </x:c>
      <x:c r="F8" s="42" t="n">
        <x:f>SUM('Benchmark Profiles'!$P$258:$P$321)</x:f>
        <x:v>8</x:v>
      </x:c>
      <x:c r="G8" s="42" t="str">
        <x:f>IF(E8=F8,"PASS","FAIL")</x:f>
        <x:v>PASS</x:v>
      </x:c>
      <x:c r="H8" s="42" t="n">
        <x:v>8</x:v>
      </x:c>
      <x:c r="I8" s="42" t="n">
        <x:f>SUM('Benchmark Profiles'!$Q$258:$Q$321)</x:f>
        <x:v>8</x:v>
      </x:c>
      <x:c r="J8" s="42" t="str">
        <x:f>IF(H8=I8,"PASS","FAIL")</x:f>
        <x:v>PASS</x:v>
      </x:c>
      <x:c r="K8" s="42" t="n">
        <x:v>8</x:v>
      </x:c>
      <x:c r="L8" s="42" t="n">
        <x:v>0</x:v>
      </x:c>
      <x:c r="M8" s="42" t="n">
        <x:f>MIN('Benchmark Profiles'!$O$258:$O$321)</x:f>
        <x:v>0</x:v>
      </x:c>
      <x:c r="N8" s="42" t="str">
        <x:f>IF(L8=M8,"PASS","FAIL")</x:f>
        <x:v>PASS</x:v>
      </x:c>
      <x:c r="O8" s="42" t="str">
        <x:f>IF(AND(G8="PASS",J8="PASS",N8="PASS"),"PASS","FAIL")</x:f>
        <x:v>PASS</x:v>
      </x:c>
      <x:c r="P8" s="43" t="str">
        <x:v>U: lll; oll (3 permutations); ool (3 permutations); ooo | P: lll; oll (3 permutations); ool (3 permutations); ooo</x:v>
      </x:c>
      <x:c r="Q8" s="43" t="str"/>
    </x:row>
    <x:row r="9">
      <x:c r="A9" s="42" t="n">
        <x:v>6</x:v>
      </x:c>
      <x:c r="B9" s="42" t="n">
        <x:v>1</x:v>
      </x:c>
      <x:c r="C9" s="42" t="n">
        <x:v>1</x:v>
      </x:c>
      <x:c r="D9" s="42" t="n">
        <x:v>0</x:v>
      </x:c>
      <x:c r="E9" s="42" t="n">
        <x:v>7</x:v>
      </x:c>
      <x:c r="F9" s="42" t="n">
        <x:f>SUM('Benchmark Profiles'!$P$322:$P$385)</x:f>
        <x:v>7</x:v>
      </x:c>
      <x:c r="G9" s="42" t="str">
        <x:f>IF(E9=F9,"PASS","FAIL")</x:f>
        <x:v>PASS</x:v>
      </x:c>
      <x:c r="H9" s="42" t="n">
        <x:v>9</x:v>
      </x:c>
      <x:c r="I9" s="42" t="n">
        <x:f>SUM('Benchmark Profiles'!$Q$322:$Q$385)</x:f>
        <x:v>9</x:v>
      </x:c>
      <x:c r="J9" s="42" t="str">
        <x:f>IF(H9=I9,"PASS","FAIL")</x:f>
        <x:v>PASS</x:v>
      </x:c>
      <x:c r="K9" s="42" t="n">
        <x:v>9</x:v>
      </x:c>
      <x:c r="L9" s="42" t="n">
        <x:v>1</x:v>
      </x:c>
      <x:c r="M9" s="42" t="n">
        <x:f>MIN('Benchmark Profiles'!$O$322:$O$385)</x:f>
        <x:v>1</x:v>
      </x:c>
      <x:c r="N9" s="42" t="str">
        <x:f>IF(L9=M9,"PASS","FAIL")</x:f>
        <x:v>PASS</x:v>
      </x:c>
      <x:c r="O9" s="42" t="str">
        <x:f>IF(AND(G9="PASS",J9="PASS",N9="PASS"),"PASS","FAIL")</x:f>
        <x:v>PASS</x:v>
      </x:c>
      <x:c r="P9" s="43" t="str">
        <x:v>U: oll (3 permutations); ool (3 permutations); ooo | P: eol (6 permutations); oll (3 permutations)</x:v>
      </x:c>
      <x:c r="Q9" s="43" t="str"/>
    </x:row>
    <x:row r="10">
      <x:c r="A10" s="42" t="n">
        <x:v>7</x:v>
      </x:c>
      <x:c r="B10" s="42" t="n">
        <x:v>1</x:v>
      </x:c>
      <x:c r="C10" s="42" t="n">
        <x:v>0</x:v>
      </x:c>
      <x:c r="D10" s="42" t="n">
        <x:v>1</x:v>
      </x:c>
      <x:c r="E10" s="42" t="n">
        <x:v>5</x:v>
      </x:c>
      <x:c r="F10" s="42" t="n">
        <x:f>SUM('Benchmark Profiles'!$P$386:$P$449)</x:f>
        <x:v>5</x:v>
      </x:c>
      <x:c r="G10" s="42" t="str">
        <x:f>IF(E10=F10,"PASS","FAIL")</x:f>
        <x:v>PASS</x:v>
      </x:c>
      <x:c r="H10" s="42" t="n">
        <x:v>10</x:v>
      </x:c>
      <x:c r="I10" s="42" t="n">
        <x:f>SUM('Benchmark Profiles'!$Q$386:$Q$449)</x:f>
        <x:v>13</x:v>
      </x:c>
      <x:c r="J10" s="42" t="str">
        <x:f>IF(H10=I10,"PASS","FAIL")</x:f>
        <x:v>FAIL</x:v>
      </x:c>
      <x:c r="K10" s="42" t="n">
        <x:v>10</x:v>
      </x:c>
      <x:c r="L10" s="42" t="n">
        <x:v>2</x:v>
      </x:c>
      <x:c r="M10" s="42" t="n">
        <x:f>MIN('Benchmark Profiles'!$O$386:$O$449)</x:f>
        <x:v>2</x:v>
      </x:c>
      <x:c r="N10" s="42" t="str">
        <x:f>IF(L10=M10,"PASS","FAIL")</x:f>
        <x:v>PASS</x:v>
      </x:c>
      <x:c r="O10" s="42" t="str">
        <x:f>IF(AND(G10="PASS",J10="PASS",N10="PASS"),"PASS","FAIL")</x:f>
        <x:v>FAIL</x:v>
      </x:c>
      <x:c r="P10" s="43" t="str">
        <x:v>U: eee; eoo (3 permutations); ooo | P: eee; eeo (3 permutations); eol (6 permutations)</x:v>
      </x:c>
      <x:c r="Q10" s="43" t="str">
        <x:v>ISC-IPC gives 13: Table 11 omits eoo. The printed +0.5E sign gives 10, but substitutes eoo for the reported eeo.</x:v>
      </x:c>
    </x:row>
    <x:row r="11">
      <x:c r="A11" s="42" t="n">
        <x:v>8</x:v>
      </x:c>
      <x:c r="B11" s="42" t="n">
        <x:v>1</x:v>
      </x:c>
      <x:c r="C11" s="42" t="n">
        <x:v>1</x:v>
      </x:c>
      <x:c r="D11" s="42" t="n">
        <x:v>1</x:v>
      </x:c>
      <x:c r="E11" s="42" t="n">
        <x:v>9</x:v>
      </x:c>
      <x:c r="F11" s="42" t="n">
        <x:f>SUM('Benchmark Profiles'!$P$450:$P$513)</x:f>
        <x:v>9</x:v>
      </x:c>
      <x:c r="G11" s="42" t="str">
        <x:f>IF(E11=F11,"PASS","FAIL")</x:f>
        <x:v>PASS</x:v>
      </x:c>
      <x:c r="H11" s="42" t="n">
        <x:v>6</x:v>
      </x:c>
      <x:c r="I11" s="42" t="n">
        <x:f>SUM('Benchmark Profiles'!$Q$450:$Q$513)</x:f>
        <x:v>6</x:v>
      </x:c>
      <x:c r="J11" s="42" t="str">
        <x:f>IF(H11=I11,"PASS","FAIL")</x:f>
        <x:v>PASS</x:v>
      </x:c>
      <x:c r="K11" s="42" t="n">
        <x:v>6</x:v>
      </x:c>
      <x:c r="L11" s="42" t="n">
        <x:v>2</x:v>
      </x:c>
      <x:c r="M11" s="42" t="n">
        <x:f>MIN('Benchmark Profiles'!$O$450:$O$513)</x:f>
        <x:v>2</x:v>
      </x:c>
      <x:c r="N11" s="42" t="str">
        <x:f>IF(L11=M11,"PASS","FAIL")</x:f>
        <x:v>PASS</x:v>
      </x:c>
      <x:c r="O11" s="42" t="str">
        <x:f>IF(AND(G11="PASS",J11="PASS",N11="PASS"),"PASS","FAIL")</x:f>
        <x:v>PASS</x:v>
      </x:c>
      <x:c r="P11" s="43" t="str">
        <x:v>U: eol (6 permutations); eoo (3 permutations) | P: eol (6 permutations)</x:v>
      </x:c>
      <x:c r="Q11" s="43" t="str"/>
    </x:row>
    <x:row r="12">
      <x:c r="A12" s="42" t="n">
        <x:v>9</x:v>
      </x:c>
      <x:c r="B12" s="42" t="n">
        <x:v>3</x:v>
      </x:c>
      <x:c r="C12" s="42" t="n">
        <x:v>1</x:v>
      </x:c>
      <x:c r="D12" s="42" t="n">
        <x:v>4</x:v>
      </x:c>
      <x:c r="E12" s="42" t="n">
        <x:v>1</x:v>
      </x:c>
      <x:c r="F12" s="42" t="n">
        <x:f>SUM('Benchmark Profiles'!$P$514:$P$577)</x:f>
        <x:v>1</x:v>
      </x:c>
      <x:c r="G12" s="42" t="str">
        <x:f>IF(E12=F12,"PASS","FAIL")</x:f>
        <x:v>PASS</x:v>
      </x:c>
      <x:c r="H12" s="42" t="n">
        <x:v>6</x:v>
      </x:c>
      <x:c r="I12" s="42" t="n">
        <x:f>SUM('Benchmark Profiles'!$Q$514:$Q$577)</x:f>
        <x:v>6</x:v>
      </x:c>
      <x:c r="J12" s="42" t="str">
        <x:f>IF(H12=I12,"PASS","FAIL")</x:f>
        <x:v>PASS</x:v>
      </x:c>
      <x:c r="K12" s="42" t="n">
        <x:v>6</x:v>
      </x:c>
      <x:c r="L12" s="42" t="n">
        <x:v>7</x:v>
      </x:c>
      <x:c r="M12" s="42" t="n">
        <x:f>MIN('Benchmark Profiles'!$O$514:$O$577)</x:f>
        <x:v>7</x:v>
      </x:c>
      <x:c r="N12" s="42" t="str">
        <x:f>IF(L12=M12,"PASS","FAIL")</x:f>
        <x:v>PASS</x:v>
      </x:c>
      <x:c r="O12" s="42" t="str">
        <x:f>IF(AND(G12="PASS",J12="PASS",N12="PASS"),"PASS","FAIL")</x:f>
        <x:v>PASS</x:v>
      </x:c>
      <x:c r="P12" s="43" t="str">
        <x:v>U: eee | P: eol (6 permutations)</x:v>
      </x:c>
      <x:c r="Q12" s="43" t="str"/>
    </x:row>
    <x:row r="13">
      <x:c r="A13" s="42" t="n">
        <x:v>10</x:v>
      </x:c>
      <x:c r="B13" s="42" t="n">
        <x:v>4</x:v>
      </x:c>
      <x:c r="C13" s="42" t="n">
        <x:v>0</x:v>
      </x:c>
      <x:c r="D13" s="42" t="n">
        <x:v>3</x:v>
      </x:c>
      <x:c r="E13" s="42" t="n">
        <x:v>2</x:v>
      </x:c>
      <x:c r="F13" s="42" t="n">
        <x:f>SUM('Benchmark Profiles'!$P$578:$P$641)</x:f>
        <x:v>2</x:v>
      </x:c>
      <x:c r="G13" s="42" t="str">
        <x:f>IF(E13=F13,"PASS","FAIL")</x:f>
        <x:v>PASS</x:v>
      </x:c>
      <x:c r="H13" s="42" t="n">
        <x:v>10</x:v>
      </x:c>
      <x:c r="I13" s="42" t="n">
        <x:f>SUM('Benchmark Profiles'!$Q$578:$Q$641)</x:f>
        <x:v>13</x:v>
      </x:c>
      <x:c r="J13" s="42" t="str">
        <x:f>IF(H13=I13,"PASS","FAIL")</x:f>
        <x:v>FAIL</x:v>
      </x:c>
      <x:c r="K13" s="42" t="n">
        <x:v>10</x:v>
      </x:c>
      <x:c r="L13" s="42" t="n">
        <x:v>7</x:v>
      </x:c>
      <x:c r="M13" s="42" t="n">
        <x:f>MIN('Benchmark Profiles'!$O$578:$O$641)</x:f>
        <x:v>6.999999999999999</x:v>
      </x:c>
      <x:c r="N13" s="42" t="str">
        <x:f>IF(L13=M13,"PASS","FAIL")</x:f>
        <x:v>PASS</x:v>
      </x:c>
      <x:c r="O13" s="42" t="str">
        <x:f>IF(AND(G13="PASS",J13="PASS",N13="PASS"),"PASS","FAIL")</x:f>
        <x:v>FAIL</x:v>
      </x:c>
      <x:c r="P13" s="43" t="str">
        <x:v>U: eee; ooo | P: eee; eol (6 permutations); eoo (3 permutations)</x:v>
      </x:c>
      <x:c r="Q13" s="43" t="str">
        <x:v>ISC-IPC gives 13: Table 11 omits eeo. The printed +0.5E sign happens to reproduce the published 10.</x:v>
      </x:c>
    </x:row>
    <x:row r="14">
      <x:c r="A14" s="42" t="n">
        <x:v>11</x:v>
      </x:c>
      <x:c r="B14" s="42" t="n">
        <x:v>4</x:v>
      </x:c>
      <x:c r="C14" s="42" t="n">
        <x:v>1</x:v>
      </x:c>
      <x:c r="D14" s="42" t="n">
        <x:v>3</x:v>
      </x:c>
      <x:c r="E14" s="42" t="n">
        <x:v>4</x:v>
      </x:c>
      <x:c r="F14" s="42" t="n">
        <x:f>SUM('Benchmark Profiles'!$P$642:$P$705)</x:f>
        <x:v>4</x:v>
      </x:c>
      <x:c r="G14" s="42" t="str">
        <x:f>IF(E14=F14,"PASS","FAIL")</x:f>
        <x:v>PASS</x:v>
      </x:c>
      <x:c r="H14" s="42" t="n">
        <x:v>6</x:v>
      </x:c>
      <x:c r="I14" s="42" t="n">
        <x:f>SUM('Benchmark Profiles'!$Q$642:$Q$705)</x:f>
        <x:v>6</x:v>
      </x:c>
      <x:c r="J14" s="42" t="str">
        <x:f>IF(H14=I14,"PASS","FAIL")</x:f>
        <x:v>PASS</x:v>
      </x:c>
      <x:c r="K14" s="42" t="n">
        <x:v>6</x:v>
      </x:c>
      <x:c r="L14" s="42" t="n">
        <x:v>7</x:v>
      </x:c>
      <x:c r="M14" s="42" t="n">
        <x:f>MIN('Benchmark Profiles'!$O$642:$O$705)</x:f>
        <x:v>7</x:v>
      </x:c>
      <x:c r="N14" s="42" t="str">
        <x:f>IF(L14=M14,"PASS","FAIL")</x:f>
        <x:v>PASS</x:v>
      </x:c>
      <x:c r="O14" s="42" t="str">
        <x:f>IF(AND(G14="PASS",J14="PASS",N14="PASS"),"PASS","FAIL")</x:f>
        <x:v>PASS</x:v>
      </x:c>
      <x:c r="P14" s="43" t="str">
        <x:v>U: eoo (3 permutations); ooo | P: eol (6 permutations)</x:v>
      </x:c>
      <x:c r="Q14" s="43" t="str"/>
    </x:row>
    <x:row r="15">
      <x:c r="A15" s="42" t="n">
        <x:v>12</x:v>
      </x:c>
      <x:c r="B15" s="42" t="n">
        <x:v>3</x:v>
      </x:c>
      <x:c r="C15" s="42" t="n">
        <x:v>0</x:v>
      </x:c>
      <x:c r="D15" s="42" t="n">
        <x:v>4</x:v>
      </x:c>
      <x:c r="E15" s="42" t="n">
        <x:v>1</x:v>
      </x:c>
      <x:c r="F15" s="42" t="n">
        <x:f>SUM('Benchmark Profiles'!$P$706:$P$769)</x:f>
        <x:v>1</x:v>
      </x:c>
      <x:c r="G15" s="42" t="str">
        <x:f>IF(E15=F15,"PASS","FAIL")</x:f>
        <x:v>PASS</x:v>
      </x:c>
      <x:c r="H15" s="42" t="n">
        <x:v>13</x:v>
      </x:c>
      <x:c r="I15" s="42" t="n">
        <x:f>SUM('Benchmark Profiles'!$Q$706:$Q$769)</x:f>
        <x:v>13</x:v>
      </x:c>
      <x:c r="J15" s="42" t="str">
        <x:f>IF(H15=I15,"PASS","FAIL")</x:f>
        <x:v>PASS</x:v>
      </x:c>
      <x:c r="K15" s="42" t="n">
        <x:v>10</x:v>
      </x:c>
      <x:c r="L15" s="42" t="n">
        <x:v>7</x:v>
      </x:c>
      <x:c r="M15" s="42" t="n">
        <x:f>MIN('Benchmark Profiles'!$O$706:$O$769)</x:f>
        <x:v>6.999999999999999</x:v>
      </x:c>
      <x:c r="N15" s="42" t="str">
        <x:f>IF(L15=M15,"PASS","FAIL")</x:f>
        <x:v>PASS</x:v>
      </x:c>
      <x:c r="O15" s="42" t="str">
        <x:f>IF(AND(G15="PASS",J15="PASS",N15="PASS"),"PASS","FAIL")</x:f>
        <x:v>PASS</x:v>
      </x:c>
      <x:c r="P15" s="43" t="str">
        <x:v>U: eee | P: eee; eeo (3 permutations); eol (6 permutations); eoo (3 permutations)</x:v>
      </x:c>
      <x:c r="Q15" s="43" t="str">
        <x:v>ISC-IPC reproduces the published 13; the printed +0.5E sign would incorrectly omit eeo and give 10.</x:v>
      </x:c>
    </x:row>
  </x:sheetData>
  <x:mergeCells>
    <x:mergeCell ref="A1:Q1"/>
  </x:mergeCells>
  <x:conditionalFormatting sqref="G4:G15">
    <x:cfRule type="containsText" dxfId="1" priority="1" operator="containsText" text="PASS"/>
    <x:cfRule type="containsText" dxfId="2" priority="2" operator="containsText" text="FAIL"/>
  </x:conditionalFormatting>
  <x:conditionalFormatting sqref="J4:J15">
    <x:cfRule type="containsText" dxfId="3" priority="3" operator="containsText" text="PASS"/>
    <x:cfRule type="containsText" dxfId="4" priority="4" operator="containsText" text="FAIL"/>
  </x:conditionalFormatting>
  <x:conditionalFormatting sqref="N4:N15">
    <x:cfRule type="containsText" dxfId="5" priority="5" operator="containsText" text="PASS"/>
    <x:cfRule type="containsText" dxfId="6" priority="6" operator="containsText" text="FAIL"/>
  </x:conditionalFormatting>
  <x:conditionalFormatting sqref="O4:O15">
    <x:cfRule type="containsText" dxfId="7" priority="7" operator="containsText" text="PASS"/>
    <x:cfRule type="containsText" dxfId="8" priority="8" operator="containsText" text="FAIL"/>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9" hidden="0" customWidth="1"/>
    <x:col min="3" max="3" width="9" hidden="0" customWidth="1"/>
    <x:col min="4" max="4" width="9"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5" hidden="0" customWidth="1"/>
    <x:col min="16" max="16" width="15" hidden="0" customWidth="1"/>
  </x:cols>
  <x:sheetData>
    <x:row r="1">
      <x:c r="A1" s="26" t="str">
        <x:v>Profile</x:v>
      </x:c>
      <x:c r="B1" s="39" t="str">
        <x:v>A</x:v>
      </x:c>
      <x:c r="C1" s="39" t="str">
        <x:v>B</x:v>
      </x:c>
      <x:c r="D1" s="39" t="str">
        <x:v>C</x:v>
      </x:c>
      <x:c r="E1" s="39" t="str">
        <x:v>Private A</x:v>
      </x:c>
      <x:c r="F1" s="39" t="str">
        <x:v>Private B</x:v>
      </x:c>
      <x:c r="G1" s="39" t="str">
        <x:v>Private C</x:v>
      </x:c>
      <x:c r="H1" s="39" t="str">
        <x:v>Toll A</x:v>
      </x:c>
      <x:c r="I1" s="39" t="str">
        <x:v>Toll B</x:v>
      </x:c>
      <x:c r="J1" s="39" t="str">
        <x:v>Toll C</x:v>
      </x:c>
      <x:c r="K1" s="39" t="str">
        <x:v>Priced A</x:v>
      </x:c>
      <x:c r="L1" s="39" t="str">
        <x:v>Priced B</x:v>
      </x:c>
      <x:c r="M1" s="39" t="str">
        <x:v>Priced C</x:v>
      </x:c>
      <x:c r="N1" s="39" t="str">
        <x:v>Total private</x:v>
      </x:c>
      <x:c r="O1" s="39" t="str">
        <x:v>Unpriced PSNE</x:v>
      </x:c>
      <x:c r="P1" s="27" t="str">
        <x:v>Priced PSNE</x:v>
      </x:c>
    </x:row>
    <x:row r="2">
      <x:c r="A2" t="str">
        <x:v>eee</x:v>
      </x:c>
      <x:c r="B2" t="str">
        <x:v>e</x:v>
      </x:c>
      <x:c r="C2" t="str">
        <x:v>e</x:v>
      </x:c>
      <x:c r="D2" t="str">
        <x:v>e</x:v>
      </x:c>
      <x:c r="E2" s="45" t="n">
        <x:f>(1/3)*'Inputs'!$B$4+1*'Inputs'!$B$5+(1/3)*'Inputs'!$B$6</x:f>
        <x:v>3.333333333333333</x:v>
      </x:c>
      <x:c r="F2" s="45" t="n">
        <x:f>(1/3)*'Inputs'!$B$4+1*'Inputs'!$B$5+(1/3)*'Inputs'!$B$6</x:f>
        <x:v>3.333333333333333</x:v>
      </x:c>
      <x:c r="G2" s="45" t="n">
        <x:f>(1/3)*'Inputs'!$B$4+1*'Inputs'!$B$5+(1/3)*'Inputs'!$B$6</x:f>
        <x:v>3.333333333333333</x:v>
      </x:c>
      <x:c r="H2" s="45" t="n">
        <x:f>'Toll Rules'!$B$7</x:f>
        <x:v>2.6666666666666665</x:v>
      </x:c>
      <x:c r="I2" s="45" t="n">
        <x:f>'Toll Rules'!$B$7</x:f>
        <x:v>2.6666666666666665</x:v>
      </x:c>
      <x:c r="J2" s="45" t="n">
        <x:f>'Toll Rules'!$B$7</x:f>
        <x:v>2.6666666666666665</x:v>
      </x:c>
      <x:c r="K2" s="45" t="n">
        <x:f>E2+H2</x:f>
        <x:v>6</x:v>
      </x:c>
      <x:c r="L2" s="45" t="n">
        <x:f>F2+I2</x:f>
        <x:v>6</x:v>
      </x:c>
      <x:c r="M2" s="45" t="n">
        <x:f>G2+J2</x:f>
        <x:v>6</x:v>
      </x:c>
      <x:c r="N2" s="45" t="n">
        <x:f>SUM(E2:G2)</x:f>
        <x:v>10</x:v>
      </x:c>
      <x:c r="O2" s="42" t="n">
        <x:f>IF(AND(E2&lt;=E50,E2&lt;=E34,E2&lt;=E18,F2&lt;=F14,F2&lt;=F10,F2&lt;=F6,G2&lt;=G5,G2&lt;=G4,G2&lt;=G3),1,0)</x:f>
        <x:v>1</x:v>
      </x:c>
      <x:c r="P2" s="42" t="n">
        <x:f>IF(AND(K2&lt;=K50,K2&lt;=K34,K2&lt;=K18,L2&lt;=L14,L2&lt;=L10,L2&lt;=L6,M2&lt;=M5,M2&lt;=M4,M2&lt;=M3),1,0)</x:f>
        <x:v>0</x:v>
      </x:c>
    </x:row>
    <x:row r="3">
      <x:c r="A3" t="str">
        <x:v>eel</x:v>
      </x:c>
      <x:c r="B3" t="str">
        <x:v>e</x:v>
      </x:c>
      <x:c r="C3" t="str">
        <x:v>e</x:v>
      </x:c>
      <x:c r="D3" t="str">
        <x:v>l</x:v>
      </x:c>
      <x:c r="E3" s="45" t="n">
        <x:f>(1/2)*'Inputs'!$B$4+(1/2)*'Inputs'!$B$5</x:f>
        <x:v>2</x:v>
      </x:c>
      <x:c r="F3" s="45" t="n">
        <x:f>(1/2)*'Inputs'!$B$4+(1/2)*'Inputs'!$B$5</x:f>
        <x:v>2</x:v>
      </x:c>
      <x:c r="G3" s="45" t="n">
        <x:f>1*'Inputs'!$B$6</x:f>
        <x:v>4</x:v>
      </x:c>
      <x:c r="H3" s="45" t="n">
        <x:f>'Toll Rules'!$B$6</x:f>
        <x:v>0</x:v>
      </x:c>
      <x:c r="I3" s="45" t="n">
        <x:f>'Toll Rules'!$B$6</x:f>
        <x:v>0</x:v>
      </x:c>
      <x:c r="J3" s="45" t="n">
        <x:f>0</x:f>
        <x:v>0</x:v>
      </x:c>
      <x:c r="K3" s="45" t="n">
        <x:f>E3+H3</x:f>
        <x:v>2</x:v>
      </x:c>
      <x:c r="L3" s="45" t="n">
        <x:f>F3+I3</x:f>
        <x:v>2</x:v>
      </x:c>
      <x:c r="M3" s="45" t="n">
        <x:f>G3+J3</x:f>
        <x:v>4</x:v>
      </x:c>
      <x:c r="N3" s="45" t="n">
        <x:f>SUM(E3:G3)</x:f>
        <x:v>8</x:v>
      </x:c>
      <x:c r="O3" s="42" t="n">
        <x:f>IF(AND(E3&lt;=E51,E3&lt;=E35,E3&lt;=E19,F3&lt;=F15,F3&lt;=F11,F3&lt;=F7,G3&lt;=G5,G3&lt;=G2,G3&lt;=G4),1,0)</x:f>
        <x:v>0</x:v>
      </x:c>
      <x:c r="P3" s="42" t="n">
        <x:f>IF(AND(K3&lt;=K51,K3&lt;=K35,K3&lt;=K19,L3&lt;=L15,L3&lt;=L11,L3&lt;=L7,M3&lt;=M5,M3&lt;=M2,M3&lt;=M4),1,0)</x:f>
        <x:v>0</x:v>
      </x:c>
    </x:row>
    <x:row r="4">
      <x:c r="A4" t="str">
        <x:v>eeo</x:v>
      </x:c>
      <x:c r="B4" t="str">
        <x:v>e</x:v>
      </x:c>
      <x:c r="C4" t="str">
        <x:v>e</x:v>
      </x:c>
      <x:c r="D4" t="str">
        <x:v>o</x:v>
      </x:c>
      <x:c r="E4" s="45" t="n">
        <x:f>(1/2)*'Inputs'!$B$4+(1/2)*'Inputs'!$B$5</x:f>
        <x:v>2</x:v>
      </x:c>
      <x:c r="F4" s="45" t="n">
        <x:f>(1/2)*'Inputs'!$B$4+(1/2)*'Inputs'!$B$5</x:f>
        <x:v>2</x:v>
      </x:c>
      <x:c r="G4" s="45" t="n">
        <x:f>1*'Inputs'!$B$5+1*'Inputs'!$B$6</x:f>
        <x:v>5</x:v>
      </x:c>
      <x:c r="H4" s="45" t="n">
        <x:f>'Toll Rules'!$B$8</x:f>
        <x:v>4</x:v>
      </x:c>
      <x:c r="I4" s="45" t="n">
        <x:f>'Toll Rules'!$B$8</x:f>
        <x:v>4</x:v>
      </x:c>
      <x:c r="J4" s="45" t="n">
        <x:f>0</x:f>
        <x:v>0</x:v>
      </x:c>
      <x:c r="K4" s="45" t="n">
        <x:f>E4+H4</x:f>
        <x:v>6</x:v>
      </x:c>
      <x:c r="L4" s="45" t="n">
        <x:f>F4+I4</x:f>
        <x:v>6</x:v>
      </x:c>
      <x:c r="M4" s="45" t="n">
        <x:f>G4+J4</x:f>
        <x:v>5</x:v>
      </x:c>
      <x:c r="N4" s="45" t="n">
        <x:f>SUM(E4:G4)</x:f>
        <x:v>9</x:v>
      </x:c>
      <x:c r="O4" s="42" t="n">
        <x:f>IF(AND(E4&lt;=E52,E4&lt;=E36,E4&lt;=E20,F4&lt;=F16,F4&lt;=F12,F4&lt;=F8,G4&lt;=G5,G4&lt;=G2,G4&lt;=G3),1,0)</x:f>
        <x:v>0</x:v>
      </x:c>
      <x:c r="P4" s="42" t="n">
        <x:f>IF(AND(K4&lt;=K52,K4&lt;=K36,K4&lt;=K20,L4&lt;=L16,L4&lt;=L12,L4&lt;=L8,M4&lt;=M5,M4&lt;=M2,M4&lt;=M3),1,0)</x:f>
        <x:v>0</x:v>
      </x:c>
    </x:row>
    <x:row r="5">
      <x:c r="A5" t="str">
        <x:v>eev</x:v>
      </x:c>
      <x:c r="B5" t="str">
        <x:v>e</x:v>
      </x:c>
      <x:c r="C5" t="str">
        <x:v>e</x:v>
      </x:c>
      <x:c r="D5" t="str">
        <x:v>v</x:v>
      </x:c>
      <x:c r="E5" s="45" t="n">
        <x:f>(1/2)*'Inputs'!$B$4+(1/2)*'Inputs'!$B$5</x:f>
        <x:v>2</x:v>
      </x:c>
      <x:c r="F5" s="45" t="n">
        <x:f>(1/2)*'Inputs'!$B$4+(1/2)*'Inputs'!$B$5</x:f>
        <x:v>2</x:v>
      </x:c>
      <x:c r="G5" s="45" t="n">
        <x:f>2*'Inputs'!$B$4</x:f>
        <x:v>6</x:v>
      </x:c>
      <x:c r="H5" s="45" t="n">
        <x:f>'Toll Rules'!$B$6</x:f>
        <x:v>0</x:v>
      </x:c>
      <x:c r="I5" s="45" t="n">
        <x:f>'Toll Rules'!$B$6</x:f>
        <x:v>0</x:v>
      </x:c>
      <x:c r="J5" s="45" t="n">
        <x:f>0</x:f>
        <x:v>0</x:v>
      </x:c>
      <x:c r="K5" s="45" t="n">
        <x:f>E5+H5</x:f>
        <x:v>2</x:v>
      </x:c>
      <x:c r="L5" s="45" t="n">
        <x:f>F5+I5</x:f>
        <x:v>2</x:v>
      </x:c>
      <x:c r="M5" s="45" t="n">
        <x:f>G5+J5</x:f>
        <x:v>6</x:v>
      </x:c>
      <x:c r="N5" s="45" t="n">
        <x:f>SUM(E5:G5)</x:f>
        <x:v>10</x:v>
      </x:c>
      <x:c r="O5" s="42" t="n">
        <x:f>IF(AND(E5&lt;=E53,E5&lt;=E37,E5&lt;=E21,F5&lt;=F17,F5&lt;=F13,F5&lt;=F9,G5&lt;=G2,G5&lt;=G4,G5&lt;=G3),1,0)</x:f>
        <x:v>0</x:v>
      </x:c>
      <x:c r="P5" s="42" t="n">
        <x:f>IF(AND(K5&lt;=K53,K5&lt;=K37,K5&lt;=K21,L5&lt;=L17,L5&lt;=L13,L5&lt;=L9,M5&lt;=M2,M5&lt;=M4,M5&lt;=M3),1,0)</x:f>
        <x:v>0</x:v>
      </x:c>
    </x:row>
    <x:row r="6">
      <x:c r="A6" t="str">
        <x:v>ele</x:v>
      </x:c>
      <x:c r="B6" t="str">
        <x:v>e</x:v>
      </x:c>
      <x:c r="C6" t="str">
        <x:v>l</x:v>
      </x:c>
      <x:c r="D6" t="str">
        <x:v>e</x:v>
      </x:c>
      <x:c r="E6" s="45" t="n">
        <x:f>(1/2)*'Inputs'!$B$4+(1/2)*'Inputs'!$B$5</x:f>
        <x:v>2</x:v>
      </x:c>
      <x:c r="F6" s="45" t="n">
        <x:f>1*'Inputs'!$B$6</x:f>
        <x:v>4</x:v>
      </x:c>
      <x:c r="G6" s="45" t="n">
        <x:f>(1/2)*'Inputs'!$B$4+(1/2)*'Inputs'!$B$5</x:f>
        <x:v>2</x:v>
      </x:c>
      <x:c r="H6" s="45" t="n">
        <x:f>'Toll Rules'!$B$6</x:f>
        <x:v>0</x:v>
      </x:c>
      <x:c r="I6" s="45" t="n">
        <x:f>0</x:f>
        <x:v>0</x:v>
      </x:c>
      <x:c r="J6" s="45" t="n">
        <x:f>'Toll Rules'!$B$6</x:f>
        <x:v>0</x:v>
      </x:c>
      <x:c r="K6" s="45" t="n">
        <x:f>E6+H6</x:f>
        <x:v>2</x:v>
      </x:c>
      <x:c r="L6" s="45" t="n">
        <x:f>F6+I6</x:f>
        <x:v>4</x:v>
      </x:c>
      <x:c r="M6" s="45" t="n">
        <x:f>G6+J6</x:f>
        <x:v>2</x:v>
      </x:c>
      <x:c r="N6" s="45" t="n">
        <x:f>SUM(E6:G6)</x:f>
        <x:v>8</x:v>
      </x:c>
      <x:c r="O6" s="42" t="n">
        <x:f>IF(AND(E6&lt;=E54,E6&lt;=E38,E6&lt;=E22,F6&lt;=F14,F6&lt;=F2,F6&lt;=F10,G6&lt;=G9,G6&lt;=G8,G6&lt;=G7),1,0)</x:f>
        <x:v>0</x:v>
      </x:c>
      <x:c r="P6" s="42" t="n">
        <x:f>IF(AND(K6&lt;=K54,K6&lt;=K38,K6&lt;=K22,L6&lt;=L14,L6&lt;=L2,L6&lt;=L10,M6&lt;=M9,M6&lt;=M8,M6&lt;=M7),1,0)</x:f>
        <x:v>0</x:v>
      </x:c>
    </x:row>
    <x:row r="7">
      <x:c r="A7" t="str">
        <x:v>ell</x:v>
      </x:c>
      <x:c r="B7" t="str">
        <x:v>e</x:v>
      </x:c>
      <x:c r="C7" t="str">
        <x:v>l</x:v>
      </x:c>
      <x:c r="D7" t="str">
        <x:v>l</x:v>
      </x:c>
      <x:c r="E7" s="45" t="n">
        <x:f>1*'Inputs'!$B$4</x:f>
        <x:v>3</x:v>
      </x:c>
      <x:c r="F7" s="45" t="n">
        <x:f>(1/2)*'Inputs'!$B$5+(3/2)*'Inputs'!$B$6</x:f>
        <x:v>6.5</x:v>
      </x:c>
      <x:c r="G7" s="45" t="n">
        <x:f>(1/2)*'Inputs'!$B$5+(3/2)*'Inputs'!$B$6</x:f>
        <x:v>6.5</x:v>
      </x:c>
      <x:c r="H7" s="45" t="n">
        <x:f>0</x:f>
        <x:v>0</x:v>
      </x:c>
      <x:c r="I7" s="45" t="n">
        <x:f>'Toll Rules'!$B$9</x:f>
        <x:v>2.5</x:v>
      </x:c>
      <x:c r="J7" s="45" t="n">
        <x:f>'Toll Rules'!$B$9</x:f>
        <x:v>2.5</x:v>
      </x:c>
      <x:c r="K7" s="45" t="n">
        <x:f>E7+H7</x:f>
        <x:v>3</x:v>
      </x:c>
      <x:c r="L7" s="45" t="n">
        <x:f>F7+I7</x:f>
        <x:v>9</x:v>
      </x:c>
      <x:c r="M7" s="45" t="n">
        <x:f>G7+J7</x:f>
        <x:v>9</x:v>
      </x:c>
      <x:c r="N7" s="45" t="n">
        <x:f>SUM(E7:G7)</x:f>
        <x:v>16</x:v>
      </x:c>
      <x:c r="O7" s="42" t="n">
        <x:f>IF(AND(E7&lt;=E55,E7&lt;=E39,E7&lt;=E23,F7&lt;=F15,F7&lt;=F3,F7&lt;=F11,G7&lt;=G9,G7&lt;=G6,G7&lt;=G8),1,0)</x:f>
        <x:v>0</x:v>
      </x:c>
      <x:c r="P7" s="42" t="n">
        <x:f>IF(AND(K7&lt;=K55,K7&lt;=K39,K7&lt;=K23,L7&lt;=L15,L7&lt;=L3,L7&lt;=L11,M7&lt;=M9,M7&lt;=M6,M7&lt;=M8),1,0)</x:f>
        <x:v>0</x:v>
      </x:c>
    </x:row>
    <x:row r="8">
      <x:c r="A8" t="str">
        <x:v>elo</x:v>
      </x:c>
      <x:c r="B8" t="str">
        <x:v>e</x:v>
      </x:c>
      <x:c r="C8" t="str">
        <x:v>l</x:v>
      </x:c>
      <x:c r="D8" t="str">
        <x:v>o</x:v>
      </x:c>
      <x:c r="E8" s="45" t="n">
        <x:f>1*'Inputs'!$B$4</x:f>
        <x:v>3</x:v>
      </x:c>
      <x:c r="F8" s="45" t="n">
        <x:f>1*'Inputs'!$B$6</x:f>
        <x:v>4</x:v>
      </x:c>
      <x:c r="G8" s="45" t="n">
        <x:f>0</x:f>
        <x:v>0</x:v>
      </x:c>
      <x:c r="H8" s="45" t="n">
        <x:f>0</x:f>
        <x:v>0</x:v>
      </x:c>
      <x:c r="I8" s="45" t="n">
        <x:f>0</x:f>
        <x:v>0</x:v>
      </x:c>
      <x:c r="J8" s="45" t="n">
        <x:f>0</x:f>
        <x:v>0</x:v>
      </x:c>
      <x:c r="K8" s="45" t="n">
        <x:f>E8+H8</x:f>
        <x:v>3</x:v>
      </x:c>
      <x:c r="L8" s="45" t="n">
        <x:f>F8+I8</x:f>
        <x:v>4</x:v>
      </x:c>
      <x:c r="M8" s="45" t="n">
        <x:f>G8+J8</x:f>
        <x:v>0</x:v>
      </x:c>
      <x:c r="N8" s="45" t="n">
        <x:f>SUM(E8:G8)</x:f>
        <x:v>7</x:v>
      </x:c>
      <x:c r="O8" s="42" t="n">
        <x:f>IF(AND(E8&lt;=E56,E8&lt;=E40,E8&lt;=E24,F8&lt;=F16,F8&lt;=F4,F8&lt;=F12,G8&lt;=G9,G8&lt;=G6,G8&lt;=G7),1,0)</x:f>
        <x:v>0</x:v>
      </x:c>
      <x:c r="P8" s="42" t="n">
        <x:f>IF(AND(K8&lt;=K56,K8&lt;=K40,K8&lt;=K24,L8&lt;=L16,L8&lt;=L4,L8&lt;=L12,M8&lt;=M9,M8&lt;=M6,M8&lt;=M7),1,0)</x:f>
        <x:v>1</x:v>
      </x:c>
    </x:row>
    <x:row r="9">
      <x:c r="A9" t="str">
        <x:v>elv</x:v>
      </x:c>
      <x:c r="B9" t="str">
        <x:v>e</x:v>
      </x:c>
      <x:c r="C9" t="str">
        <x:v>l</x:v>
      </x:c>
      <x:c r="D9" t="str">
        <x:v>v</x:v>
      </x:c>
      <x:c r="E9" s="45" t="n">
        <x:f>1*'Inputs'!$B$4</x:f>
        <x:v>3</x:v>
      </x:c>
      <x:c r="F9" s="45" t="n">
        <x:f>1*'Inputs'!$B$6</x:f>
        <x:v>4</x:v>
      </x:c>
      <x:c r="G9" s="45" t="n">
        <x:f>2*'Inputs'!$B$4</x:f>
        <x:v>6</x:v>
      </x:c>
      <x:c r="H9" s="45" t="n">
        <x:f>0</x:f>
        <x:v>0</x:v>
      </x:c>
      <x:c r="I9" s="45" t="n">
        <x:f>0</x:f>
        <x:v>0</x:v>
      </x:c>
      <x:c r="J9" s="45" t="n">
        <x:f>0</x:f>
        <x:v>0</x:v>
      </x:c>
      <x:c r="K9" s="45" t="n">
        <x:f>E9+H9</x:f>
        <x:v>3</x:v>
      </x:c>
      <x:c r="L9" s="45" t="n">
        <x:f>F9+I9</x:f>
        <x:v>4</x:v>
      </x:c>
      <x:c r="M9" s="45" t="n">
        <x:f>G9+J9</x:f>
        <x:v>6</x:v>
      </x:c>
      <x:c r="N9" s="45" t="n">
        <x:f>SUM(E9:G9)</x:f>
        <x:v>13</x:v>
      </x:c>
      <x:c r="O9" s="42" t="n">
        <x:f>IF(AND(E9&lt;=E57,E9&lt;=E41,E9&lt;=E25,F9&lt;=F17,F9&lt;=F5,F9&lt;=F13,G9&lt;=G6,G9&lt;=G8,G9&lt;=G7),1,0)</x:f>
        <x:v>0</x:v>
      </x:c>
      <x:c r="P9" s="42" t="n">
        <x:f>IF(AND(K9&lt;=K57,K9&lt;=K41,K9&lt;=K25,L9&lt;=L17,L9&lt;=L5,L9&lt;=L13,M9&lt;=M6,M9&lt;=M8,M9&lt;=M7),1,0)</x:f>
        <x:v>0</x:v>
      </x:c>
    </x:row>
    <x:row r="10">
      <x:c r="A10" t="str">
        <x:v>eoe</x:v>
      </x:c>
      <x:c r="B10" t="str">
        <x:v>e</x:v>
      </x:c>
      <x:c r="C10" t="str">
        <x:v>o</x:v>
      </x:c>
      <x:c r="D10" t="str">
        <x:v>e</x:v>
      </x:c>
      <x:c r="E10" s="45" t="n">
        <x:f>(1/2)*'Inputs'!$B$4+(1/2)*'Inputs'!$B$5</x:f>
        <x:v>2</x:v>
      </x:c>
      <x:c r="F10" s="45" t="n">
        <x:f>1*'Inputs'!$B$5+1*'Inputs'!$B$6</x:f>
        <x:v>5</x:v>
      </x:c>
      <x:c r="G10" s="45" t="n">
        <x:f>(1/2)*'Inputs'!$B$4+(1/2)*'Inputs'!$B$5</x:f>
        <x:v>2</x:v>
      </x:c>
      <x:c r="H10" s="45" t="n">
        <x:f>'Toll Rules'!$B$8</x:f>
        <x:v>4</x:v>
      </x:c>
      <x:c r="I10" s="45" t="n">
        <x:f>0</x:f>
        <x:v>0</x:v>
      </x:c>
      <x:c r="J10" s="45" t="n">
        <x:f>'Toll Rules'!$B$8</x:f>
        <x:v>4</x:v>
      </x:c>
      <x:c r="K10" s="45" t="n">
        <x:f>E10+H10</x:f>
        <x:v>6</x:v>
      </x:c>
      <x:c r="L10" s="45" t="n">
        <x:f>F10+I10</x:f>
        <x:v>5</x:v>
      </x:c>
      <x:c r="M10" s="45" t="n">
        <x:f>G10+J10</x:f>
        <x:v>6</x:v>
      </x:c>
      <x:c r="N10" s="45" t="n">
        <x:f>SUM(E10:G10)</x:f>
        <x:v>9</x:v>
      </x:c>
      <x:c r="O10" s="42" t="n">
        <x:f>IF(AND(E10&lt;=E58,E10&lt;=E42,E10&lt;=E26,F10&lt;=F14,F10&lt;=F2,F10&lt;=F6,G10&lt;=G13,G10&lt;=G12,G10&lt;=G11),1,0)</x:f>
        <x:v>0</x:v>
      </x:c>
      <x:c r="P10" s="42" t="n">
        <x:f>IF(AND(K10&lt;=K58,K10&lt;=K42,K10&lt;=K26,L10&lt;=L14,L10&lt;=L2,L10&lt;=L6,M10&lt;=M13,M10&lt;=M12,M10&lt;=M11),1,0)</x:f>
        <x:v>0</x:v>
      </x:c>
    </x:row>
    <x:row r="11">
      <x:c r="A11" t="str">
        <x:v>eol</x:v>
      </x:c>
      <x:c r="B11" t="str">
        <x:v>e</x:v>
      </x:c>
      <x:c r="C11" t="str">
        <x:v>o</x:v>
      </x:c>
      <x:c r="D11" t="str">
        <x:v>l</x:v>
      </x:c>
      <x:c r="E11" s="45" t="n">
        <x:f>1*'Inputs'!$B$4</x:f>
        <x:v>3</x:v>
      </x:c>
      <x:c r="F11" s="45" t="n">
        <x:f>0</x:f>
        <x:v>0</x:v>
      </x:c>
      <x:c r="G11" s="45" t="n">
        <x:f>1*'Inputs'!$B$6</x:f>
        <x:v>4</x:v>
      </x:c>
      <x:c r="H11" s="45" t="n">
        <x:f>0</x:f>
        <x:v>0</x:v>
      </x:c>
      <x:c r="I11" s="45" t="n">
        <x:f>0</x:f>
        <x:v>0</x:v>
      </x:c>
      <x:c r="J11" s="45" t="n">
        <x:f>0</x:f>
        <x:v>0</x:v>
      </x:c>
      <x:c r="K11" s="45" t="n">
        <x:f>E11+H11</x:f>
        <x:v>3</x:v>
      </x:c>
      <x:c r="L11" s="45" t="n">
        <x:f>F11+I11</x:f>
        <x:v>0</x:v>
      </x:c>
      <x:c r="M11" s="45" t="n">
        <x:f>G11+J11</x:f>
        <x:v>4</x:v>
      </x:c>
      <x:c r="N11" s="45" t="n">
        <x:f>SUM(E11:G11)</x:f>
        <x:v>7</x:v>
      </x:c>
      <x:c r="O11" s="42" t="n">
        <x:f>IF(AND(E11&lt;=E59,E11&lt;=E43,E11&lt;=E27,F11&lt;=F15,F11&lt;=F3,F11&lt;=F7,G11&lt;=G13,G11&lt;=G10,G11&lt;=G12),1,0)</x:f>
        <x:v>0</x:v>
      </x:c>
      <x:c r="P11" s="42" t="n">
        <x:f>IF(AND(K11&lt;=K59,K11&lt;=K43,K11&lt;=K27,L11&lt;=L15,L11&lt;=L3,L11&lt;=L7,M11&lt;=M13,M11&lt;=M10,M11&lt;=M12),1,0)</x:f>
        <x:v>1</x:v>
      </x:c>
    </x:row>
    <x:row r="12">
      <x:c r="A12" t="str">
        <x:v>eoo</x:v>
      </x:c>
      <x:c r="B12" t="str">
        <x:v>e</x:v>
      </x:c>
      <x:c r="C12" t="str">
        <x:v>o</x:v>
      </x:c>
      <x:c r="D12" t="str">
        <x:v>o</x:v>
      </x:c>
      <x:c r="E12" s="45" t="n">
        <x:f>1*'Inputs'!$B$4</x:f>
        <x:v>3</x:v>
      </x:c>
      <x:c r="F12" s="45" t="n">
        <x:f>(1/2)*'Inputs'!$B$5+(1/2)*'Inputs'!$B$6</x:f>
        <x:v>2.5</x:v>
      </x:c>
      <x:c r="G12" s="45" t="n">
        <x:f>(1/2)*'Inputs'!$B$5+(1/2)*'Inputs'!$B$6</x:f>
        <x:v>2.5</x:v>
      </x:c>
      <x:c r="H12" s="45" t="n">
        <x:f>0</x:f>
        <x:v>0</x:v>
      </x:c>
      <x:c r="I12" s="45" t="n">
        <x:f>'Toll Rules'!$B$9</x:f>
        <x:v>2.5</x:v>
      </x:c>
      <x:c r="J12" s="45" t="n">
        <x:f>'Toll Rules'!$B$9</x:f>
        <x:v>2.5</x:v>
      </x:c>
      <x:c r="K12" s="45" t="n">
        <x:f>E12+H12</x:f>
        <x:v>3</x:v>
      </x:c>
      <x:c r="L12" s="45" t="n">
        <x:f>F12+I12</x:f>
        <x:v>5</x:v>
      </x:c>
      <x:c r="M12" s="45" t="n">
        <x:f>G12+J12</x:f>
        <x:v>5</x:v>
      </x:c>
      <x:c r="N12" s="45" t="n">
        <x:f>SUM(E12:G12)</x:f>
        <x:v>8</x:v>
      </x:c>
      <x:c r="O12" s="42" t="n">
        <x:f>IF(AND(E12&lt;=E60,E12&lt;=E44,E12&lt;=E28,F12&lt;=F16,F12&lt;=F4,F12&lt;=F8,G12&lt;=G13,G12&lt;=G10,G12&lt;=G11),1,0)</x:f>
        <x:v>0</x:v>
      </x:c>
      <x:c r="P12" s="42" t="n">
        <x:f>IF(AND(K12&lt;=K60,K12&lt;=K44,K12&lt;=K28,L12&lt;=L16,L12&lt;=L4,L12&lt;=L8,M12&lt;=M13,M12&lt;=M10,M12&lt;=M11),1,0)</x:f>
        <x:v>0</x:v>
      </x:c>
    </x:row>
    <x:row r="13">
      <x:c r="A13" t="str">
        <x:v>eov</x:v>
      </x:c>
      <x:c r="B13" t="str">
        <x:v>e</x:v>
      </x:c>
      <x:c r="C13" t="str">
        <x:v>o</x:v>
      </x:c>
      <x:c r="D13" t="str">
        <x:v>v</x:v>
      </x:c>
      <x:c r="E13" s="45" t="n">
        <x:f>1*'Inputs'!$B$4</x:f>
        <x:v>3</x:v>
      </x:c>
      <x:c r="F13" s="45" t="n">
        <x:f>0</x:f>
        <x:v>0</x:v>
      </x:c>
      <x:c r="G13" s="45" t="n">
        <x:f>2*'Inputs'!$B$4</x:f>
        <x:v>6</x:v>
      </x:c>
      <x:c r="H13" s="45" t="n">
        <x:f>0</x:f>
        <x:v>0</x:v>
      </x:c>
      <x:c r="I13" s="45" t="n">
        <x:f>0</x:f>
        <x:v>0</x:v>
      </x:c>
      <x:c r="J13" s="45" t="n">
        <x:f>0</x:f>
        <x:v>0</x:v>
      </x:c>
      <x:c r="K13" s="45" t="n">
        <x:f>E13+H13</x:f>
        <x:v>3</x:v>
      </x:c>
      <x:c r="L13" s="45" t="n">
        <x:f>F13+I13</x:f>
        <x:v>0</x:v>
      </x:c>
      <x:c r="M13" s="45" t="n">
        <x:f>G13+J13</x:f>
        <x:v>6</x:v>
      </x:c>
      <x:c r="N13" s="45" t="n">
        <x:f>SUM(E13:G13)</x:f>
        <x:v>9</x:v>
      </x:c>
      <x:c r="O13" s="42" t="n">
        <x:f>IF(AND(E13&lt;=E61,E13&lt;=E45,E13&lt;=E29,F13&lt;=F17,F13&lt;=F5,F13&lt;=F9,G13&lt;=G10,G13&lt;=G12,G13&lt;=G11),1,0)</x:f>
        <x:v>0</x:v>
      </x:c>
      <x:c r="P13" s="42" t="n">
        <x:f>IF(AND(K13&lt;=K61,K13&lt;=K45,K13&lt;=K29,L13&lt;=L17,L13&lt;=L5,L13&lt;=L9,M13&lt;=M10,M13&lt;=M12,M13&lt;=M11),1,0)</x:f>
        <x:v>0</x:v>
      </x:c>
    </x:row>
    <x:row r="14">
      <x:c r="A14" t="str">
        <x:v>eve</x:v>
      </x:c>
      <x:c r="B14" t="str">
        <x:v>e</x:v>
      </x:c>
      <x:c r="C14" t="str">
        <x:v>v</x:v>
      </x:c>
      <x:c r="D14" t="str">
        <x:v>e</x:v>
      </x:c>
      <x:c r="E14" s="45" t="n">
        <x:f>(1/2)*'Inputs'!$B$4+(1/2)*'Inputs'!$B$5</x:f>
        <x:v>2</x:v>
      </x:c>
      <x:c r="F14" s="45" t="n">
        <x:f>2*'Inputs'!$B$4</x:f>
        <x:v>6</x:v>
      </x:c>
      <x:c r="G14" s="45" t="n">
        <x:f>(1/2)*'Inputs'!$B$4+(1/2)*'Inputs'!$B$5</x:f>
        <x:v>2</x:v>
      </x:c>
      <x:c r="H14" s="45" t="n">
        <x:f>'Toll Rules'!$B$6</x:f>
        <x:v>0</x:v>
      </x:c>
      <x:c r="I14" s="45" t="n">
        <x:f>0</x:f>
        <x:v>0</x:v>
      </x:c>
      <x:c r="J14" s="45" t="n">
        <x:f>'Toll Rules'!$B$6</x:f>
        <x:v>0</x:v>
      </x:c>
      <x:c r="K14" s="45" t="n">
        <x:f>E14+H14</x:f>
        <x:v>2</x:v>
      </x:c>
      <x:c r="L14" s="45" t="n">
        <x:f>F14+I14</x:f>
        <x:v>6</x:v>
      </x:c>
      <x:c r="M14" s="45" t="n">
        <x:f>G14+J14</x:f>
        <x:v>2</x:v>
      </x:c>
      <x:c r="N14" s="45" t="n">
        <x:f>SUM(E14:G14)</x:f>
        <x:v>10</x:v>
      </x:c>
      <x:c r="O14" s="42" t="n">
        <x:f>IF(AND(E14&lt;=E62,E14&lt;=E46,E14&lt;=E30,F14&lt;=F2,F14&lt;=F10,F14&lt;=F6,G14&lt;=G17,G14&lt;=G16,G14&lt;=G15),1,0)</x:f>
        <x:v>0</x:v>
      </x:c>
      <x:c r="P14" s="42" t="n">
        <x:f>IF(AND(K14&lt;=K62,K14&lt;=K46,K14&lt;=K30,L14&lt;=L2,L14&lt;=L10,L14&lt;=L6,M14&lt;=M17,M14&lt;=M16,M14&lt;=M15),1,0)</x:f>
        <x:v>0</x:v>
      </x:c>
    </x:row>
    <x:row r="15">
      <x:c r="A15" t="str">
        <x:v>evl</x:v>
      </x:c>
      <x:c r="B15" t="str">
        <x:v>e</x:v>
      </x:c>
      <x:c r="C15" t="str">
        <x:v>v</x:v>
      </x:c>
      <x:c r="D15" t="str">
        <x:v>l</x:v>
      </x:c>
      <x:c r="E15" s="45" t="n">
        <x:f>1*'Inputs'!$B$4</x:f>
        <x:v>3</x:v>
      </x:c>
      <x:c r="F15" s="45" t="n">
        <x:f>2*'Inputs'!$B$4</x:f>
        <x:v>6</x:v>
      </x:c>
      <x:c r="G15" s="45" t="n">
        <x:f>1*'Inputs'!$B$6</x:f>
        <x:v>4</x:v>
      </x:c>
      <x:c r="H15" s="45" t="n">
        <x:f>0</x:f>
        <x:v>0</x:v>
      </x:c>
      <x:c r="I15" s="45" t="n">
        <x:f>0</x:f>
        <x:v>0</x:v>
      </x:c>
      <x:c r="J15" s="45" t="n">
        <x:f>0</x:f>
        <x:v>0</x:v>
      </x:c>
      <x:c r="K15" s="45" t="n">
        <x:f>E15+H15</x:f>
        <x:v>3</x:v>
      </x:c>
      <x:c r="L15" s="45" t="n">
        <x:f>F15+I15</x:f>
        <x:v>6</x:v>
      </x:c>
      <x:c r="M15" s="45" t="n">
        <x:f>G15+J15</x:f>
        <x:v>4</x:v>
      </x:c>
      <x:c r="N15" s="45" t="n">
        <x:f>SUM(E15:G15)</x:f>
        <x:v>13</x:v>
      </x:c>
      <x:c r="O15" s="42" t="n">
        <x:f>IF(AND(E15&lt;=E63,E15&lt;=E47,E15&lt;=E31,F15&lt;=F3,F15&lt;=F11,F15&lt;=F7,G15&lt;=G17,G15&lt;=G14,G15&lt;=G16),1,0)</x:f>
        <x:v>0</x:v>
      </x:c>
      <x:c r="P15" s="42" t="n">
        <x:f>IF(AND(K15&lt;=K63,K15&lt;=K47,K15&lt;=K31,L15&lt;=L3,L15&lt;=L11,L15&lt;=L7,M15&lt;=M17,M15&lt;=M14,M15&lt;=M16),1,0)</x:f>
        <x:v>0</x:v>
      </x:c>
    </x:row>
    <x:row r="16">
      <x:c r="A16" t="str">
        <x:v>evo</x:v>
      </x:c>
      <x:c r="B16" t="str">
        <x:v>e</x:v>
      </x:c>
      <x:c r="C16" t="str">
        <x:v>v</x:v>
      </x:c>
      <x:c r="D16" t="str">
        <x:v>o</x:v>
      </x:c>
      <x:c r="E16" s="45" t="n">
        <x:f>1*'Inputs'!$B$4</x:f>
        <x:v>3</x:v>
      </x:c>
      <x:c r="F16" s="45" t="n">
        <x:f>2*'Inputs'!$B$4</x:f>
        <x:v>6</x:v>
      </x:c>
      <x:c r="G16" s="45" t="n">
        <x:f>0</x:f>
        <x:v>0</x:v>
      </x:c>
      <x:c r="H16" s="45" t="n">
        <x:f>0</x:f>
        <x:v>0</x:v>
      </x:c>
      <x:c r="I16" s="45" t="n">
        <x:f>0</x:f>
        <x:v>0</x:v>
      </x:c>
      <x:c r="J16" s="45" t="n">
        <x:f>0</x:f>
        <x:v>0</x:v>
      </x:c>
      <x:c r="K16" s="45" t="n">
        <x:f>E16+H16</x:f>
        <x:v>3</x:v>
      </x:c>
      <x:c r="L16" s="45" t="n">
        <x:f>F16+I16</x:f>
        <x:v>6</x:v>
      </x:c>
      <x:c r="M16" s="45" t="n">
        <x:f>G16+J16</x:f>
        <x:v>0</x:v>
      </x:c>
      <x:c r="N16" s="45" t="n">
        <x:f>SUM(E16:G16)</x:f>
        <x:v>9</x:v>
      </x:c>
      <x:c r="O16" s="42" t="n">
        <x:f>IF(AND(E16&lt;=E64,E16&lt;=E48,E16&lt;=E32,F16&lt;=F4,F16&lt;=F12,F16&lt;=F8,G16&lt;=G17,G16&lt;=G14,G16&lt;=G15),1,0)</x:f>
        <x:v>0</x:v>
      </x:c>
      <x:c r="P16" s="42" t="n">
        <x:f>IF(AND(K16&lt;=K64,K16&lt;=K48,K16&lt;=K32,L16&lt;=L4,L16&lt;=L12,L16&lt;=L8,M16&lt;=M17,M16&lt;=M14,M16&lt;=M15),1,0)</x:f>
        <x:v>0</x:v>
      </x:c>
    </x:row>
    <x:row r="17">
      <x:c r="A17" t="str">
        <x:v>evv</x:v>
      </x:c>
      <x:c r="B17" t="str">
        <x:v>e</x:v>
      </x:c>
      <x:c r="C17" t="str">
        <x:v>v</x:v>
      </x:c>
      <x:c r="D17" t="str">
        <x:v>v</x:v>
      </x:c>
      <x:c r="E17" s="45" t="n">
        <x:f>1*'Inputs'!$B$5</x:f>
        <x:v>1</x:v>
      </x:c>
      <x:c r="F17" s="45" t="n">
        <x:f>(3/2)*'Inputs'!$B$4+(1/2)*'Inputs'!$B$5</x:f>
        <x:v>5</x:v>
      </x:c>
      <x:c r="G17" s="45" t="n">
        <x:f>(3/2)*'Inputs'!$B$4+(1/2)*'Inputs'!$B$5</x:f>
        <x:v>5</x:v>
      </x:c>
      <x:c r="H17" s="45" t="n">
        <x:f>0</x:f>
        <x:v>0</x:v>
      </x:c>
      <x:c r="I17" s="45" t="n">
        <x:f>'Toll Rules'!$B$5</x:f>
        <x:v>0</x:v>
      </x:c>
      <x:c r="J17" s="45" t="n">
        <x:f>'Toll Rules'!$B$5</x:f>
        <x:v>0</x:v>
      </x:c>
      <x:c r="K17" s="45" t="n">
        <x:f>E17+H17</x:f>
        <x:v>1</x:v>
      </x:c>
      <x:c r="L17" s="45" t="n">
        <x:f>F17+I17</x:f>
        <x:v>5</x:v>
      </x:c>
      <x:c r="M17" s="45" t="n">
        <x:f>G17+J17</x:f>
        <x:v>5</x:v>
      </x:c>
      <x:c r="N17" s="45" t="n">
        <x:f>SUM(E17:G17)</x:f>
        <x:v>11</x:v>
      </x:c>
      <x:c r="O17" s="42" t="n">
        <x:f>IF(AND(E17&lt;=E65,E17&lt;=E49,E17&lt;=E33,F17&lt;=F5,F17&lt;=F13,F17&lt;=F9,G17&lt;=G14,G17&lt;=G16,G17&lt;=G15),1,0)</x:f>
        <x:v>0</x:v>
      </x:c>
      <x:c r="P17" s="42" t="n">
        <x:f>IF(AND(K17&lt;=K65,K17&lt;=K49,K17&lt;=K33,L17&lt;=L5,L17&lt;=L13,L17&lt;=L9,M17&lt;=M14,M17&lt;=M16,M17&lt;=M15),1,0)</x:f>
        <x:v>0</x:v>
      </x:c>
    </x:row>
    <x:row r="18">
      <x:c r="A18" t="str">
        <x:v>lee</x:v>
      </x:c>
      <x:c r="B18" t="str">
        <x:v>l</x:v>
      </x:c>
      <x:c r="C18" t="str">
        <x:v>e</x:v>
      </x:c>
      <x:c r="D18" t="str">
        <x:v>e</x:v>
      </x:c>
      <x:c r="E18" s="45" t="n">
        <x:f>1*'Inputs'!$B$6</x:f>
        <x:v>4</x:v>
      </x:c>
      <x:c r="F18" s="45" t="n">
        <x:f>(1/2)*'Inputs'!$B$4+(1/2)*'Inputs'!$B$5</x:f>
        <x:v>2</x:v>
      </x:c>
      <x:c r="G18" s="45" t="n">
        <x:f>(1/2)*'Inputs'!$B$4+(1/2)*'Inputs'!$B$5</x:f>
        <x:v>2</x:v>
      </x:c>
      <x:c r="H18" s="45" t="n">
        <x:f>0</x:f>
        <x:v>0</x:v>
      </x:c>
      <x:c r="I18" s="45" t="n">
        <x:f>'Toll Rules'!$B$6</x:f>
        <x:v>0</x:v>
      </x:c>
      <x:c r="J18" s="45" t="n">
        <x:f>'Toll Rules'!$B$6</x:f>
        <x:v>0</x:v>
      </x:c>
      <x:c r="K18" s="45" t="n">
        <x:f>E18+H18</x:f>
        <x:v>4</x:v>
      </x:c>
      <x:c r="L18" s="45" t="n">
        <x:f>F18+I18</x:f>
        <x:v>2</x:v>
      </x:c>
      <x:c r="M18" s="45" t="n">
        <x:f>G18+J18</x:f>
        <x:v>2</x:v>
      </x:c>
      <x:c r="N18" s="45" t="n">
        <x:f>SUM(E18:G18)</x:f>
        <x:v>8</x:v>
      </x:c>
      <x:c r="O18" s="42" t="n">
        <x:f>IF(AND(E18&lt;=E50,E18&lt;=E2,E18&lt;=E34,F18&lt;=F30,F18&lt;=F26,F18&lt;=F22,G18&lt;=G21,G18&lt;=G20,G18&lt;=G19),1,0)</x:f>
        <x:v>0</x:v>
      </x:c>
      <x:c r="P18" s="42" t="n">
        <x:f>IF(AND(K18&lt;=K50,K18&lt;=K2,K18&lt;=K34,L18&lt;=L30,L18&lt;=L26,L18&lt;=L22,M18&lt;=M21,M18&lt;=M20,M18&lt;=M19),1,0)</x:f>
        <x:v>0</x:v>
      </x:c>
    </x:row>
    <x:row r="19">
      <x:c r="A19" t="str">
        <x:v>lel</x:v>
      </x:c>
      <x:c r="B19" t="str">
        <x:v>l</x:v>
      </x:c>
      <x:c r="C19" t="str">
        <x:v>e</x:v>
      </x:c>
      <x:c r="D19" t="str">
        <x:v>l</x:v>
      </x:c>
      <x:c r="E19" s="45" t="n">
        <x:f>(1/2)*'Inputs'!$B$5+(3/2)*'Inputs'!$B$6</x:f>
        <x:v>6.5</x:v>
      </x:c>
      <x:c r="F19" s="45" t="n">
        <x:f>1*'Inputs'!$B$4</x:f>
        <x:v>3</x:v>
      </x:c>
      <x:c r="G19" s="45" t="n">
        <x:f>(1/2)*'Inputs'!$B$5+(3/2)*'Inputs'!$B$6</x:f>
        <x:v>6.5</x:v>
      </x:c>
      <x:c r="H19" s="45" t="n">
        <x:f>'Toll Rules'!$B$9</x:f>
        <x:v>2.5</x:v>
      </x:c>
      <x:c r="I19" s="45" t="n">
        <x:f>0</x:f>
        <x:v>0</x:v>
      </x:c>
      <x:c r="J19" s="45" t="n">
        <x:f>'Toll Rules'!$B$9</x:f>
        <x:v>2.5</x:v>
      </x:c>
      <x:c r="K19" s="45" t="n">
        <x:f>E19+H19</x:f>
        <x:v>9</x:v>
      </x:c>
      <x:c r="L19" s="45" t="n">
        <x:f>F19+I19</x:f>
        <x:v>3</x:v>
      </x:c>
      <x:c r="M19" s="45" t="n">
        <x:f>G19+J19</x:f>
        <x:v>9</x:v>
      </x:c>
      <x:c r="N19" s="45" t="n">
        <x:f>SUM(E19:G19)</x:f>
        <x:v>16</x:v>
      </x:c>
      <x:c r="O19" s="42" t="n">
        <x:f>IF(AND(E19&lt;=E51,E19&lt;=E3,E19&lt;=E35,F19&lt;=F31,F19&lt;=F27,F19&lt;=F23,G19&lt;=G21,G19&lt;=G18,G19&lt;=G20),1,0)</x:f>
        <x:v>0</x:v>
      </x:c>
      <x:c r="P19" s="42" t="n">
        <x:f>IF(AND(K19&lt;=K51,K19&lt;=K3,K19&lt;=K35,L19&lt;=L31,L19&lt;=L27,L19&lt;=L23,M19&lt;=M21,M19&lt;=M18,M19&lt;=M20),1,0)</x:f>
        <x:v>0</x:v>
      </x:c>
    </x:row>
    <x:row r="20">
      <x:c r="A20" t="str">
        <x:v>leo</x:v>
      </x:c>
      <x:c r="B20" t="str">
        <x:v>l</x:v>
      </x:c>
      <x:c r="C20" t="str">
        <x:v>e</x:v>
      </x:c>
      <x:c r="D20" t="str">
        <x:v>o</x:v>
      </x:c>
      <x:c r="E20" s="45" t="n">
        <x:f>1*'Inputs'!$B$6</x:f>
        <x:v>4</x:v>
      </x:c>
      <x:c r="F20" s="45" t="n">
        <x:f>1*'Inputs'!$B$4</x:f>
        <x:v>3</x:v>
      </x:c>
      <x:c r="G20" s="45" t="n">
        <x:f>0</x:f>
        <x:v>0</x:v>
      </x:c>
      <x:c r="H20" s="45" t="n">
        <x:f>0</x:f>
        <x:v>0</x:v>
      </x:c>
      <x:c r="I20" s="45" t="n">
        <x:f>0</x:f>
        <x:v>0</x:v>
      </x:c>
      <x:c r="J20" s="45" t="n">
        <x:f>0</x:f>
        <x:v>0</x:v>
      </x:c>
      <x:c r="K20" s="45" t="n">
        <x:f>E20+H20</x:f>
        <x:v>4</x:v>
      </x:c>
      <x:c r="L20" s="45" t="n">
        <x:f>F20+I20</x:f>
        <x:v>3</x:v>
      </x:c>
      <x:c r="M20" s="45" t="n">
        <x:f>G20+J20</x:f>
        <x:v>0</x:v>
      </x:c>
      <x:c r="N20" s="45" t="n">
        <x:f>SUM(E20:G20)</x:f>
        <x:v>7</x:v>
      </x:c>
      <x:c r="O20" s="42" t="n">
        <x:f>IF(AND(E20&lt;=E52,E20&lt;=E4,E20&lt;=E36,F20&lt;=F32,F20&lt;=F28,F20&lt;=F24,G20&lt;=G21,G20&lt;=G18,G20&lt;=G19),1,0)</x:f>
        <x:v>0</x:v>
      </x:c>
      <x:c r="P20" s="42" t="n">
        <x:f>IF(AND(K20&lt;=K52,K20&lt;=K4,K20&lt;=K36,L20&lt;=L32,L20&lt;=L28,L20&lt;=L24,M20&lt;=M21,M20&lt;=M18,M20&lt;=M19),1,0)</x:f>
        <x:v>1</x:v>
      </x:c>
    </x:row>
    <x:row r="21">
      <x:c r="A21" t="str">
        <x:v>lev</x:v>
      </x:c>
      <x:c r="B21" t="str">
        <x:v>l</x:v>
      </x:c>
      <x:c r="C21" t="str">
        <x:v>e</x:v>
      </x:c>
      <x:c r="D21" t="str">
        <x:v>v</x:v>
      </x:c>
      <x:c r="E21" s="45" t="n">
        <x:f>1*'Inputs'!$B$6</x:f>
        <x:v>4</x:v>
      </x:c>
      <x:c r="F21" s="45" t="n">
        <x:f>1*'Inputs'!$B$4</x:f>
        <x:v>3</x:v>
      </x:c>
      <x:c r="G21" s="45" t="n">
        <x:f>2*'Inputs'!$B$4</x:f>
        <x:v>6</x:v>
      </x:c>
      <x:c r="H21" s="45" t="n">
        <x:f>0</x:f>
        <x:v>0</x:v>
      </x:c>
      <x:c r="I21" s="45" t="n">
        <x:f>0</x:f>
        <x:v>0</x:v>
      </x:c>
      <x:c r="J21" s="45" t="n">
        <x:f>0</x:f>
        <x:v>0</x:v>
      </x:c>
      <x:c r="K21" s="45" t="n">
        <x:f>E21+H21</x:f>
        <x:v>4</x:v>
      </x:c>
      <x:c r="L21" s="45" t="n">
        <x:f>F21+I21</x:f>
        <x:v>3</x:v>
      </x:c>
      <x:c r="M21" s="45" t="n">
        <x:f>G21+J21</x:f>
        <x:v>6</x:v>
      </x:c>
      <x:c r="N21" s="45" t="n">
        <x:f>SUM(E21:G21)</x:f>
        <x:v>13</x:v>
      </x:c>
      <x:c r="O21" s="42" t="n">
        <x:f>IF(AND(E21&lt;=E53,E21&lt;=E5,E21&lt;=E37,F21&lt;=F33,F21&lt;=F29,F21&lt;=F25,G21&lt;=G18,G21&lt;=G20,G21&lt;=G19),1,0)</x:f>
        <x:v>0</x:v>
      </x:c>
      <x:c r="P21" s="42" t="n">
        <x:f>IF(AND(K21&lt;=K53,K21&lt;=K5,K21&lt;=K37,L21&lt;=L33,L21&lt;=L29,L21&lt;=L25,M21&lt;=M18,M21&lt;=M20,M21&lt;=M19),1,0)</x:f>
        <x:v>0</x:v>
      </x:c>
    </x:row>
    <x:row r="22">
      <x:c r="A22" t="str">
        <x:v>lle</x:v>
      </x:c>
      <x:c r="B22" t="str">
        <x:v>l</x:v>
      </x:c>
      <x:c r="C22" t="str">
        <x:v>l</x:v>
      </x:c>
      <x:c r="D22" t="str">
        <x:v>e</x:v>
      </x:c>
      <x:c r="E22" s="45" t="n">
        <x:f>(1/2)*'Inputs'!$B$5+(3/2)*'Inputs'!$B$6</x:f>
        <x:v>6.5</x:v>
      </x:c>
      <x:c r="F22" s="45" t="n">
        <x:f>(1/2)*'Inputs'!$B$5+(3/2)*'Inputs'!$B$6</x:f>
        <x:v>6.5</x:v>
      </x:c>
      <x:c r="G22" s="45" t="n">
        <x:f>1*'Inputs'!$B$4</x:f>
        <x:v>3</x:v>
      </x:c>
      <x:c r="H22" s="45" t="n">
        <x:f>'Toll Rules'!$B$9</x:f>
        <x:v>2.5</x:v>
      </x:c>
      <x:c r="I22" s="45" t="n">
        <x:f>'Toll Rules'!$B$9</x:f>
        <x:v>2.5</x:v>
      </x:c>
      <x:c r="J22" s="45" t="n">
        <x:f>0</x:f>
        <x:v>0</x:v>
      </x:c>
      <x:c r="K22" s="45" t="n">
        <x:f>E22+H22</x:f>
        <x:v>9</x:v>
      </x:c>
      <x:c r="L22" s="45" t="n">
        <x:f>F22+I22</x:f>
        <x:v>9</x:v>
      </x:c>
      <x:c r="M22" s="45" t="n">
        <x:f>G22+J22</x:f>
        <x:v>3</x:v>
      </x:c>
      <x:c r="N22" s="45" t="n">
        <x:f>SUM(E22:G22)</x:f>
        <x:v>16</x:v>
      </x:c>
      <x:c r="O22" s="42" t="n">
        <x:f>IF(AND(E22&lt;=E54,E22&lt;=E6,E22&lt;=E38,F22&lt;=F30,F22&lt;=F18,F22&lt;=F26,G22&lt;=G25,G22&lt;=G24,G22&lt;=G23),1,0)</x:f>
        <x:v>0</x:v>
      </x:c>
      <x:c r="P22" s="42" t="n">
        <x:f>IF(AND(K22&lt;=K54,K22&lt;=K6,K22&lt;=K38,L22&lt;=L30,L22&lt;=L18,L22&lt;=L26,M22&lt;=M25,M22&lt;=M24,M22&lt;=M23),1,0)</x:f>
        <x:v>0</x:v>
      </x:c>
    </x:row>
    <x:row r="23">
      <x:c r="A23" t="str">
        <x:v>lll</x:v>
      </x:c>
      <x:c r="B23" t="str">
        <x:v>l</x:v>
      </x:c>
      <x:c r="C23" t="str">
        <x:v>l</x:v>
      </x:c>
      <x:c r="D23" t="str">
        <x:v>l</x:v>
      </x:c>
      <x:c r="E23" s="45" t="n">
        <x:f>1*'Inputs'!$B$5+2*'Inputs'!$B$6</x:f>
        <x:v>9</x:v>
      </x:c>
      <x:c r="F23" s="45" t="n">
        <x:f>1*'Inputs'!$B$5+2*'Inputs'!$B$6</x:f>
        <x:v>9</x:v>
      </x:c>
      <x:c r="G23" s="45" t="n">
        <x:f>1*'Inputs'!$B$5+2*'Inputs'!$B$6</x:f>
        <x:v>9</x:v>
      </x:c>
      <x:c r="H23" s="45" t="n">
        <x:f>'Toll Rules'!$B$10</x:f>
        <x:v>5</x:v>
      </x:c>
      <x:c r="I23" s="45" t="n">
        <x:f>'Toll Rules'!$B$10</x:f>
        <x:v>5</x:v>
      </x:c>
      <x:c r="J23" s="45" t="n">
        <x:f>'Toll Rules'!$B$10</x:f>
        <x:v>5</x:v>
      </x:c>
      <x:c r="K23" s="45" t="n">
        <x:f>E23+H23</x:f>
        <x:v>14</x:v>
      </x:c>
      <x:c r="L23" s="45" t="n">
        <x:f>F23+I23</x:f>
        <x:v>14</x:v>
      </x:c>
      <x:c r="M23" s="45" t="n">
        <x:f>G23+J23</x:f>
        <x:v>14</x:v>
      </x:c>
      <x:c r="N23" s="45" t="n">
        <x:f>SUM(E23:G23)</x:f>
        <x:v>27</x:v>
      </x:c>
      <x:c r="O23" s="42" t="n">
        <x:f>IF(AND(E23&lt;=E55,E23&lt;=E7,E23&lt;=E39,F23&lt;=F31,F23&lt;=F19,F23&lt;=F27,G23&lt;=G25,G23&lt;=G22,G23&lt;=G24),1,0)</x:f>
        <x:v>0</x:v>
      </x:c>
      <x:c r="P23" s="42" t="n">
        <x:f>IF(AND(K23&lt;=K55,K23&lt;=K7,K23&lt;=K39,L23&lt;=L31,L23&lt;=L19,L23&lt;=L27,M23&lt;=M25,M23&lt;=M22,M23&lt;=M24),1,0)</x:f>
        <x:v>0</x:v>
      </x:c>
    </x:row>
    <x:row r="24">
      <x:c r="A24" t="str">
        <x:v>llo</x:v>
      </x:c>
      <x:c r="B24" t="str">
        <x:v>l</x:v>
      </x:c>
      <x:c r="C24" t="str">
        <x:v>l</x:v>
      </x:c>
      <x:c r="D24" t="str">
        <x:v>o</x:v>
      </x:c>
      <x:c r="E24" s="45" t="n">
        <x:f>(1/2)*'Inputs'!$B$5+(3/2)*'Inputs'!$B$6</x:f>
        <x:v>6.5</x:v>
      </x:c>
      <x:c r="F24" s="45" t="n">
        <x:f>(1/2)*'Inputs'!$B$5+(3/2)*'Inputs'!$B$6</x:f>
        <x:v>6.5</x:v>
      </x:c>
      <x:c r="G24" s="45" t="n">
        <x:f>0</x:f>
        <x:v>0</x:v>
      </x:c>
      <x:c r="H24" s="45" t="n">
        <x:f>'Toll Rules'!$B$9</x:f>
        <x:v>2.5</x:v>
      </x:c>
      <x:c r="I24" s="45" t="n">
        <x:f>'Toll Rules'!$B$9</x:f>
        <x:v>2.5</x:v>
      </x:c>
      <x:c r="J24" s="45" t="n">
        <x:f>0</x:f>
        <x:v>0</x:v>
      </x:c>
      <x:c r="K24" s="45" t="n">
        <x:f>E24+H24</x:f>
        <x:v>9</x:v>
      </x:c>
      <x:c r="L24" s="45" t="n">
        <x:f>F24+I24</x:f>
        <x:v>9</x:v>
      </x:c>
      <x:c r="M24" s="45" t="n">
        <x:f>G24+J24</x:f>
        <x:v>0</x:v>
      </x:c>
      <x:c r="N24" s="45" t="n">
        <x:f>SUM(E24:G24)</x:f>
        <x:v>13</x:v>
      </x:c>
      <x:c r="O24" s="42" t="n">
        <x:f>IF(AND(E24&lt;=E56,E24&lt;=E8,E24&lt;=E40,F24&lt;=F32,F24&lt;=F20,F24&lt;=F28,G24&lt;=G25,G24&lt;=G22,G24&lt;=G23),1,0)</x:f>
        <x:v>0</x:v>
      </x:c>
      <x:c r="P24" s="42" t="n">
        <x:f>IF(AND(K24&lt;=K56,K24&lt;=K8,K24&lt;=K40,L24&lt;=L32,L24&lt;=L20,L24&lt;=L28,M24&lt;=M25,M24&lt;=M22,M24&lt;=M23),1,0)</x:f>
        <x:v>0</x:v>
      </x:c>
    </x:row>
    <x:row r="25">
      <x:c r="A25" t="str">
        <x:v>llv</x:v>
      </x:c>
      <x:c r="B25" t="str">
        <x:v>l</x:v>
      </x:c>
      <x:c r="C25" t="str">
        <x:v>l</x:v>
      </x:c>
      <x:c r="D25" t="str">
        <x:v>v</x:v>
      </x:c>
      <x:c r="E25" s="45" t="n">
        <x:f>(1/2)*'Inputs'!$B$5+(3/2)*'Inputs'!$B$6</x:f>
        <x:v>6.5</x:v>
      </x:c>
      <x:c r="F25" s="45" t="n">
        <x:f>(1/2)*'Inputs'!$B$5+(3/2)*'Inputs'!$B$6</x:f>
        <x:v>6.5</x:v>
      </x:c>
      <x:c r="G25" s="45" t="n">
        <x:f>2*'Inputs'!$B$4</x:f>
        <x:v>6</x:v>
      </x:c>
      <x:c r="H25" s="45" t="n">
        <x:f>'Toll Rules'!$B$9</x:f>
        <x:v>2.5</x:v>
      </x:c>
      <x:c r="I25" s="45" t="n">
        <x:f>'Toll Rules'!$B$9</x:f>
        <x:v>2.5</x:v>
      </x:c>
      <x:c r="J25" s="45" t="n">
        <x:f>0</x:f>
        <x:v>0</x:v>
      </x:c>
      <x:c r="K25" s="45" t="n">
        <x:f>E25+H25</x:f>
        <x:v>9</x:v>
      </x:c>
      <x:c r="L25" s="45" t="n">
        <x:f>F25+I25</x:f>
        <x:v>9</x:v>
      </x:c>
      <x:c r="M25" s="45" t="n">
        <x:f>G25+J25</x:f>
        <x:v>6</x:v>
      </x:c>
      <x:c r="N25" s="45" t="n">
        <x:f>SUM(E25:G25)</x:f>
        <x:v>19</x:v>
      </x:c>
      <x:c r="O25" s="42" t="n">
        <x:f>IF(AND(E25&lt;=E57,E25&lt;=E9,E25&lt;=E41,F25&lt;=F33,F25&lt;=F21,F25&lt;=F29,G25&lt;=G22,G25&lt;=G24,G25&lt;=G23),1,0)</x:f>
        <x:v>0</x:v>
      </x:c>
      <x:c r="P25" s="42" t="n">
        <x:f>IF(AND(K25&lt;=K57,K25&lt;=K9,K25&lt;=K41,L25&lt;=L33,L25&lt;=L21,L25&lt;=L29,M25&lt;=M22,M25&lt;=M24,M25&lt;=M23),1,0)</x:f>
        <x:v>0</x:v>
      </x:c>
    </x:row>
    <x:row r="26">
      <x:c r="A26" t="str">
        <x:v>loe</x:v>
      </x:c>
      <x:c r="B26" t="str">
        <x:v>l</x:v>
      </x:c>
      <x:c r="C26" t="str">
        <x:v>o</x:v>
      </x:c>
      <x:c r="D26" t="str">
        <x:v>e</x:v>
      </x:c>
      <x:c r="E26" s="45" t="n">
        <x:f>1*'Inputs'!$B$6</x:f>
        <x:v>4</x:v>
      </x:c>
      <x:c r="F26" s="45" t="n">
        <x:f>0</x:f>
        <x:v>0</x:v>
      </x:c>
      <x:c r="G26" s="45" t="n">
        <x:f>1*'Inputs'!$B$4</x:f>
        <x:v>3</x:v>
      </x:c>
      <x:c r="H26" s="45" t="n">
        <x:f>0</x:f>
        <x:v>0</x:v>
      </x:c>
      <x:c r="I26" s="45" t="n">
        <x:f>0</x:f>
        <x:v>0</x:v>
      </x:c>
      <x:c r="J26" s="45" t="n">
        <x:f>0</x:f>
        <x:v>0</x:v>
      </x:c>
      <x:c r="K26" s="45" t="n">
        <x:f>E26+H26</x:f>
        <x:v>4</x:v>
      </x:c>
      <x:c r="L26" s="45" t="n">
        <x:f>F26+I26</x:f>
        <x:v>0</x:v>
      </x:c>
      <x:c r="M26" s="45" t="n">
        <x:f>G26+J26</x:f>
        <x:v>3</x:v>
      </x:c>
      <x:c r="N26" s="45" t="n">
        <x:f>SUM(E26:G26)</x:f>
        <x:v>7</x:v>
      </x:c>
      <x:c r="O26" s="42" t="n">
        <x:f>IF(AND(E26&lt;=E58,E26&lt;=E10,E26&lt;=E42,F26&lt;=F30,F26&lt;=F18,F26&lt;=F22,G26&lt;=G29,G26&lt;=G28,G26&lt;=G27),1,0)</x:f>
        <x:v>0</x:v>
      </x:c>
      <x:c r="P26" s="42" t="n">
        <x:f>IF(AND(K26&lt;=K58,K26&lt;=K10,K26&lt;=K42,L26&lt;=L30,L26&lt;=L18,L26&lt;=L22,M26&lt;=M29,M26&lt;=M28,M26&lt;=M27),1,0)</x:f>
        <x:v>1</x:v>
      </x:c>
    </x:row>
    <x:row r="27">
      <x:c r="A27" t="str">
        <x:v>lol</x:v>
      </x:c>
      <x:c r="B27" t="str">
        <x:v>l</x:v>
      </x:c>
      <x:c r="C27" t="str">
        <x:v>o</x:v>
      </x:c>
      <x:c r="D27" t="str">
        <x:v>l</x:v>
      </x:c>
      <x:c r="E27" s="45" t="n">
        <x:f>(1/2)*'Inputs'!$B$5+(3/2)*'Inputs'!$B$6</x:f>
        <x:v>6.5</x:v>
      </x:c>
      <x:c r="F27" s="45" t="n">
        <x:f>0</x:f>
        <x:v>0</x:v>
      </x:c>
      <x:c r="G27" s="45" t="n">
        <x:f>(1/2)*'Inputs'!$B$5+(3/2)*'Inputs'!$B$6</x:f>
        <x:v>6.5</x:v>
      </x:c>
      <x:c r="H27" s="45" t="n">
        <x:f>'Toll Rules'!$B$9</x:f>
        <x:v>2.5</x:v>
      </x:c>
      <x:c r="I27" s="45" t="n">
        <x:f>0</x:f>
        <x:v>0</x:v>
      </x:c>
      <x:c r="J27" s="45" t="n">
        <x:f>'Toll Rules'!$B$9</x:f>
        <x:v>2.5</x:v>
      </x:c>
      <x:c r="K27" s="45" t="n">
        <x:f>E27+H27</x:f>
        <x:v>9</x:v>
      </x:c>
      <x:c r="L27" s="45" t="n">
        <x:f>F27+I27</x:f>
        <x:v>0</x:v>
      </x:c>
      <x:c r="M27" s="45" t="n">
        <x:f>G27+J27</x:f>
        <x:v>9</x:v>
      </x:c>
      <x:c r="N27" s="45" t="n">
        <x:f>SUM(E27:G27)</x:f>
        <x:v>13</x:v>
      </x:c>
      <x:c r="O27" s="42" t="n">
        <x:f>IF(AND(E27&lt;=E59,E27&lt;=E11,E27&lt;=E43,F27&lt;=F31,F27&lt;=F19,F27&lt;=F23,G27&lt;=G29,G27&lt;=G26,G27&lt;=G28),1,0)</x:f>
        <x:v>0</x:v>
      </x:c>
      <x:c r="P27" s="42" t="n">
        <x:f>IF(AND(K27&lt;=K59,K27&lt;=K11,K27&lt;=K43,L27&lt;=L31,L27&lt;=L19,L27&lt;=L23,M27&lt;=M29,M27&lt;=M26,M27&lt;=M28),1,0)</x:f>
        <x:v>0</x:v>
      </x:c>
    </x:row>
    <x:row r="28">
      <x:c r="A28" t="str">
        <x:v>loo</x:v>
      </x:c>
      <x:c r="B28" t="str">
        <x:v>l</x:v>
      </x:c>
      <x:c r="C28" t="str">
        <x:v>o</x:v>
      </x:c>
      <x:c r="D28" t="str">
        <x:v>o</x:v>
      </x:c>
      <x:c r="E28" s="45" t="n">
        <x:f>1*'Inputs'!$B$5+2*'Inputs'!$B$6</x:f>
        <x:v>9</x:v>
      </x:c>
      <x:c r="F28" s="45" t="n">
        <x:f>(1/2)*'Inputs'!$B$5+(1/2)*'Inputs'!$B$6</x:f>
        <x:v>2.5</x:v>
      </x:c>
      <x:c r="G28" s="45" t="n">
        <x:f>(1/2)*'Inputs'!$B$5+(1/2)*'Inputs'!$B$6</x:f>
        <x:v>2.5</x:v>
      </x:c>
      <x:c r="H28" s="45" t="n">
        <x:f>0</x:f>
        <x:v>0</x:v>
      </x:c>
      <x:c r="I28" s="45" t="n">
        <x:f>'Toll Rules'!$B$11</x:f>
        <x:v>7.5</x:v>
      </x:c>
      <x:c r="J28" s="45" t="n">
        <x:f>'Toll Rules'!$B$11</x:f>
        <x:v>7.5</x:v>
      </x:c>
      <x:c r="K28" s="45" t="n">
        <x:f>E28+H28</x:f>
        <x:v>9</x:v>
      </x:c>
      <x:c r="L28" s="45" t="n">
        <x:f>F28+I28</x:f>
        <x:v>10</x:v>
      </x:c>
      <x:c r="M28" s="45" t="n">
        <x:f>G28+J28</x:f>
        <x:v>10</x:v>
      </x:c>
      <x:c r="N28" s="45" t="n">
        <x:f>SUM(E28:G28)</x:f>
        <x:v>14</x:v>
      </x:c>
      <x:c r="O28" s="42" t="n">
        <x:f>IF(AND(E28&lt;=E60,E28&lt;=E12,E28&lt;=E44,F28&lt;=F32,F28&lt;=F20,F28&lt;=F24,G28&lt;=G29,G28&lt;=G26,G28&lt;=G27),1,0)</x:f>
        <x:v>0</x:v>
      </x:c>
      <x:c r="P28" s="42" t="n">
        <x:f>IF(AND(K28&lt;=K60,K28&lt;=K12,K28&lt;=K44,L28&lt;=L32,L28&lt;=L20,L28&lt;=L24,M28&lt;=M29,M28&lt;=M26,M28&lt;=M27),1,0)</x:f>
        <x:v>0</x:v>
      </x:c>
    </x:row>
    <x:row r="29">
      <x:c r="A29" t="str">
        <x:v>lov</x:v>
      </x:c>
      <x:c r="B29" t="str">
        <x:v>l</x:v>
      </x:c>
      <x:c r="C29" t="str">
        <x:v>o</x:v>
      </x:c>
      <x:c r="D29" t="str">
        <x:v>v</x:v>
      </x:c>
      <x:c r="E29" s="45" t="n">
        <x:f>1*'Inputs'!$B$6</x:f>
        <x:v>4</x:v>
      </x:c>
      <x:c r="F29" s="45" t="n">
        <x:f>0</x:f>
        <x:v>0</x:v>
      </x:c>
      <x:c r="G29" s="45" t="n">
        <x:f>2*'Inputs'!$B$4</x:f>
        <x:v>6</x:v>
      </x:c>
      <x:c r="H29" s="45" t="n">
        <x:f>0</x:f>
        <x:v>0</x:v>
      </x:c>
      <x:c r="I29" s="45" t="n">
        <x:f>0</x:f>
        <x:v>0</x:v>
      </x:c>
      <x:c r="J29" s="45" t="n">
        <x:f>0</x:f>
        <x:v>0</x:v>
      </x:c>
      <x:c r="K29" s="45" t="n">
        <x:f>E29+H29</x:f>
        <x:v>4</x:v>
      </x:c>
      <x:c r="L29" s="45" t="n">
        <x:f>F29+I29</x:f>
        <x:v>0</x:v>
      </x:c>
      <x:c r="M29" s="45" t="n">
        <x:f>G29+J29</x:f>
        <x:v>6</x:v>
      </x:c>
      <x:c r="N29" s="45" t="n">
        <x:f>SUM(E29:G29)</x:f>
        <x:v>10</x:v>
      </x:c>
      <x:c r="O29" s="42" t="n">
        <x:f>IF(AND(E29&lt;=E61,E29&lt;=E13,E29&lt;=E45,F29&lt;=F33,F29&lt;=F21,F29&lt;=F25,G29&lt;=G26,G29&lt;=G28,G29&lt;=G27),1,0)</x:f>
        <x:v>0</x:v>
      </x:c>
      <x:c r="P29" s="42" t="n">
        <x:f>IF(AND(K29&lt;=K61,K29&lt;=K13,K29&lt;=K45,L29&lt;=L33,L29&lt;=L21,L29&lt;=L25,M29&lt;=M26,M29&lt;=M28,M29&lt;=M27),1,0)</x:f>
        <x:v>0</x:v>
      </x:c>
    </x:row>
    <x:row r="30">
      <x:c r="A30" t="str">
        <x:v>lve</x:v>
      </x:c>
      <x:c r="B30" t="str">
        <x:v>l</x:v>
      </x:c>
      <x:c r="C30" t="str">
        <x:v>v</x:v>
      </x:c>
      <x:c r="D30" t="str">
        <x:v>e</x:v>
      </x:c>
      <x:c r="E30" s="45" t="n">
        <x:f>1*'Inputs'!$B$6</x:f>
        <x:v>4</x:v>
      </x:c>
      <x:c r="F30" s="45" t="n">
        <x:f>2*'Inputs'!$B$4</x:f>
        <x:v>6</x:v>
      </x:c>
      <x:c r="G30" s="45" t="n">
        <x:f>1*'Inputs'!$B$4</x:f>
        <x:v>3</x:v>
      </x:c>
      <x:c r="H30" s="45" t="n">
        <x:f>0</x:f>
        <x:v>0</x:v>
      </x:c>
      <x:c r="I30" s="45" t="n">
        <x:f>0</x:f>
        <x:v>0</x:v>
      </x:c>
      <x:c r="J30" s="45" t="n">
        <x:f>0</x:f>
        <x:v>0</x:v>
      </x:c>
      <x:c r="K30" s="45" t="n">
        <x:f>E30+H30</x:f>
        <x:v>4</x:v>
      </x:c>
      <x:c r="L30" s="45" t="n">
        <x:f>F30+I30</x:f>
        <x:v>6</x:v>
      </x:c>
      <x:c r="M30" s="45" t="n">
        <x:f>G30+J30</x:f>
        <x:v>3</x:v>
      </x:c>
      <x:c r="N30" s="45" t="n">
        <x:f>SUM(E30:G30)</x:f>
        <x:v>13</x:v>
      </x:c>
      <x:c r="O30" s="42" t="n">
        <x:f>IF(AND(E30&lt;=E62,E30&lt;=E14,E30&lt;=E46,F30&lt;=F18,F30&lt;=F26,F30&lt;=F22,G30&lt;=G33,G30&lt;=G32,G30&lt;=G31),1,0)</x:f>
        <x:v>0</x:v>
      </x:c>
      <x:c r="P30" s="42" t="n">
        <x:f>IF(AND(K30&lt;=K62,K30&lt;=K14,K30&lt;=K46,L30&lt;=L18,L30&lt;=L26,L30&lt;=L22,M30&lt;=M33,M30&lt;=M32,M30&lt;=M31),1,0)</x:f>
        <x:v>0</x:v>
      </x:c>
    </x:row>
    <x:row r="31">
      <x:c r="A31" t="str">
        <x:v>lvl</x:v>
      </x:c>
      <x:c r="B31" t="str">
        <x:v>l</x:v>
      </x:c>
      <x:c r="C31" t="str">
        <x:v>v</x:v>
      </x:c>
      <x:c r="D31" t="str">
        <x:v>l</x:v>
      </x:c>
      <x:c r="E31" s="45" t="n">
        <x:f>(1/2)*'Inputs'!$B$5+(3/2)*'Inputs'!$B$6</x:f>
        <x:v>6.5</x:v>
      </x:c>
      <x:c r="F31" s="45" t="n">
        <x:f>2*'Inputs'!$B$4</x:f>
        <x:v>6</x:v>
      </x:c>
      <x:c r="G31" s="45" t="n">
        <x:f>(1/2)*'Inputs'!$B$5+(3/2)*'Inputs'!$B$6</x:f>
        <x:v>6.5</x:v>
      </x:c>
      <x:c r="H31" s="45" t="n">
        <x:f>'Toll Rules'!$B$9</x:f>
        <x:v>2.5</x:v>
      </x:c>
      <x:c r="I31" s="45" t="n">
        <x:f>0</x:f>
        <x:v>0</x:v>
      </x:c>
      <x:c r="J31" s="45" t="n">
        <x:f>'Toll Rules'!$B$9</x:f>
        <x:v>2.5</x:v>
      </x:c>
      <x:c r="K31" s="45" t="n">
        <x:f>E31+H31</x:f>
        <x:v>9</x:v>
      </x:c>
      <x:c r="L31" s="45" t="n">
        <x:f>F31+I31</x:f>
        <x:v>6</x:v>
      </x:c>
      <x:c r="M31" s="45" t="n">
        <x:f>G31+J31</x:f>
        <x:v>9</x:v>
      </x:c>
      <x:c r="N31" s="45" t="n">
        <x:f>SUM(E31:G31)</x:f>
        <x:v>19</x:v>
      </x:c>
      <x:c r="O31" s="42" t="n">
        <x:f>IF(AND(E31&lt;=E63,E31&lt;=E15,E31&lt;=E47,F31&lt;=F19,F31&lt;=F27,F31&lt;=F23,G31&lt;=G33,G31&lt;=G30,G31&lt;=G32),1,0)</x:f>
        <x:v>0</x:v>
      </x:c>
      <x:c r="P31" s="42" t="n">
        <x:f>IF(AND(K31&lt;=K63,K31&lt;=K15,K31&lt;=K47,L31&lt;=L19,L31&lt;=L27,L31&lt;=L23,M31&lt;=M33,M31&lt;=M30,M31&lt;=M32),1,0)</x:f>
        <x:v>0</x:v>
      </x:c>
    </x:row>
    <x:row r="32">
      <x:c r="A32" t="str">
        <x:v>lvo</x:v>
      </x:c>
      <x:c r="B32" t="str">
        <x:v>l</x:v>
      </x:c>
      <x:c r="C32" t="str">
        <x:v>v</x:v>
      </x:c>
      <x:c r="D32" t="str">
        <x:v>o</x:v>
      </x:c>
      <x:c r="E32" s="45" t="n">
        <x:f>1*'Inputs'!$B$6</x:f>
        <x:v>4</x:v>
      </x:c>
      <x:c r="F32" s="45" t="n">
        <x:f>2*'Inputs'!$B$4</x:f>
        <x:v>6</x:v>
      </x:c>
      <x:c r="G32" s="45" t="n">
        <x:f>0</x:f>
        <x:v>0</x:v>
      </x:c>
      <x:c r="H32" s="45" t="n">
        <x:f>0</x:f>
        <x:v>0</x:v>
      </x:c>
      <x:c r="I32" s="45" t="n">
        <x:f>0</x:f>
        <x:v>0</x:v>
      </x:c>
      <x:c r="J32" s="45" t="n">
        <x:f>0</x:f>
        <x:v>0</x:v>
      </x:c>
      <x:c r="K32" s="45" t="n">
        <x:f>E32+H32</x:f>
        <x:v>4</x:v>
      </x:c>
      <x:c r="L32" s="45" t="n">
        <x:f>F32+I32</x:f>
        <x:v>6</x:v>
      </x:c>
      <x:c r="M32" s="45" t="n">
        <x:f>G32+J32</x:f>
        <x:v>0</x:v>
      </x:c>
      <x:c r="N32" s="45" t="n">
        <x:f>SUM(E32:G32)</x:f>
        <x:v>10</x:v>
      </x:c>
      <x:c r="O32" s="42" t="n">
        <x:f>IF(AND(E32&lt;=E64,E32&lt;=E16,E32&lt;=E48,F32&lt;=F20,F32&lt;=F28,F32&lt;=F24,G32&lt;=G33,G32&lt;=G30,G32&lt;=G31),1,0)</x:f>
        <x:v>0</x:v>
      </x:c>
      <x:c r="P32" s="42" t="n">
        <x:f>IF(AND(K32&lt;=K64,K32&lt;=K16,K32&lt;=K48,L32&lt;=L20,L32&lt;=L28,L32&lt;=L24,M32&lt;=M33,M32&lt;=M30,M32&lt;=M31),1,0)</x:f>
        <x:v>0</x:v>
      </x:c>
    </x:row>
    <x:row r="33">
      <x:c r="A33" t="str">
        <x:v>lvv</x:v>
      </x:c>
      <x:c r="B33" t="str">
        <x:v>l</x:v>
      </x:c>
      <x:c r="C33" t="str">
        <x:v>v</x:v>
      </x:c>
      <x:c r="D33" t="str">
        <x:v>v</x:v>
      </x:c>
      <x:c r="E33" s="45" t="n">
        <x:f>1*'Inputs'!$B$6</x:f>
        <x:v>4</x:v>
      </x:c>
      <x:c r="F33" s="45" t="n">
        <x:f>(3/2)*'Inputs'!$B$4+(1/2)*'Inputs'!$B$5</x:f>
        <x:v>5</x:v>
      </x:c>
      <x:c r="G33" s="45" t="n">
        <x:f>(3/2)*'Inputs'!$B$4+(1/2)*'Inputs'!$B$5</x:f>
        <x:v>5</x:v>
      </x:c>
      <x:c r="H33" s="45" t="n">
        <x:f>0</x:f>
        <x:v>0</x:v>
      </x:c>
      <x:c r="I33" s="45" t="n">
        <x:f>'Toll Rules'!$B$6</x:f>
        <x:v>0</x:v>
      </x:c>
      <x:c r="J33" s="45" t="n">
        <x:f>'Toll Rules'!$B$6</x:f>
        <x:v>0</x:v>
      </x:c>
      <x:c r="K33" s="45" t="n">
        <x:f>E33+H33</x:f>
        <x:v>4</x:v>
      </x:c>
      <x:c r="L33" s="45" t="n">
        <x:f>F33+I33</x:f>
        <x:v>5</x:v>
      </x:c>
      <x:c r="M33" s="45" t="n">
        <x:f>G33+J33</x:f>
        <x:v>5</x:v>
      </x:c>
      <x:c r="N33" s="45" t="n">
        <x:f>SUM(E33:G33)</x:f>
        <x:v>14</x:v>
      </x:c>
      <x:c r="O33" s="42" t="n">
        <x:f>IF(AND(E33&lt;=E65,E33&lt;=E17,E33&lt;=E49,F33&lt;=F21,F33&lt;=F29,F33&lt;=F25,G33&lt;=G30,G33&lt;=G32,G33&lt;=G31),1,0)</x:f>
        <x:v>0</x:v>
      </x:c>
      <x:c r="P33" s="42" t="n">
        <x:f>IF(AND(K33&lt;=K65,K33&lt;=K17,K33&lt;=K49,L33&lt;=L21,L33&lt;=L29,L33&lt;=L25,M33&lt;=M30,M33&lt;=M32,M33&lt;=M31),1,0)</x:f>
        <x:v>0</x:v>
      </x:c>
    </x:row>
    <x:row r="34">
      <x:c r="A34" t="str">
        <x:v>oee</x:v>
      </x:c>
      <x:c r="B34" t="str">
        <x:v>o</x:v>
      </x:c>
      <x:c r="C34" t="str">
        <x:v>e</x:v>
      </x:c>
      <x:c r="D34" t="str">
        <x:v>e</x:v>
      </x:c>
      <x:c r="E34" s="45" t="n">
        <x:f>1*'Inputs'!$B$5+1*'Inputs'!$B$6</x:f>
        <x:v>5</x:v>
      </x:c>
      <x:c r="F34" s="45" t="n">
        <x:f>(1/2)*'Inputs'!$B$4+(1/2)*'Inputs'!$B$5</x:f>
        <x:v>2</x:v>
      </x:c>
      <x:c r="G34" s="45" t="n">
        <x:f>(1/2)*'Inputs'!$B$4+(1/2)*'Inputs'!$B$5</x:f>
        <x:v>2</x:v>
      </x:c>
      <x:c r="H34" s="45" t="n">
        <x:f>0</x:f>
        <x:v>0</x:v>
      </x:c>
      <x:c r="I34" s="45" t="n">
        <x:f>'Toll Rules'!$B$8</x:f>
        <x:v>4</x:v>
      </x:c>
      <x:c r="J34" s="45" t="n">
        <x:f>'Toll Rules'!$B$8</x:f>
        <x:v>4</x:v>
      </x:c>
      <x:c r="K34" s="45" t="n">
        <x:f>E34+H34</x:f>
        <x:v>5</x:v>
      </x:c>
      <x:c r="L34" s="45" t="n">
        <x:f>F34+I34</x:f>
        <x:v>6</x:v>
      </x:c>
      <x:c r="M34" s="45" t="n">
        <x:f>G34+J34</x:f>
        <x:v>6</x:v>
      </x:c>
      <x:c r="N34" s="45" t="n">
        <x:f>SUM(E34:G34)</x:f>
        <x:v>9</x:v>
      </x:c>
      <x:c r="O34" s="42" t="n">
        <x:f>IF(AND(E34&lt;=E50,E34&lt;=E2,E34&lt;=E18,F34&lt;=F46,F34&lt;=F42,F34&lt;=F38,G34&lt;=G37,G34&lt;=G36,G34&lt;=G35),1,0)</x:f>
        <x:v>0</x:v>
      </x:c>
      <x:c r="P34" s="42" t="n">
        <x:f>IF(AND(K34&lt;=K50,K34&lt;=K2,K34&lt;=K18,L34&lt;=L46,L34&lt;=L42,L34&lt;=L38,M34&lt;=M37,M34&lt;=M36,M34&lt;=M35),1,0)</x:f>
        <x:v>0</x:v>
      </x:c>
    </x:row>
    <x:row r="35">
      <x:c r="A35" t="str">
        <x:v>oel</x:v>
      </x:c>
      <x:c r="B35" t="str">
        <x:v>o</x:v>
      </x:c>
      <x:c r="C35" t="str">
        <x:v>e</x:v>
      </x:c>
      <x:c r="D35" t="str">
        <x:v>l</x:v>
      </x:c>
      <x:c r="E35" s="45" t="n">
        <x:f>0</x:f>
        <x:v>0</x:v>
      </x:c>
      <x:c r="F35" s="45" t="n">
        <x:f>1*'Inputs'!$B$4</x:f>
        <x:v>3</x:v>
      </x:c>
      <x:c r="G35" s="45" t="n">
        <x:f>1*'Inputs'!$B$6</x:f>
        <x:v>4</x:v>
      </x:c>
      <x:c r="H35" s="45" t="n">
        <x:f>0</x:f>
        <x:v>0</x:v>
      </x:c>
      <x:c r="I35" s="45" t="n">
        <x:f>0</x:f>
        <x:v>0</x:v>
      </x:c>
      <x:c r="J35" s="45" t="n">
        <x:f>0</x:f>
        <x:v>0</x:v>
      </x:c>
      <x:c r="K35" s="45" t="n">
        <x:f>E35+H35</x:f>
        <x:v>0</x:v>
      </x:c>
      <x:c r="L35" s="45" t="n">
        <x:f>F35+I35</x:f>
        <x:v>3</x:v>
      </x:c>
      <x:c r="M35" s="45" t="n">
        <x:f>G35+J35</x:f>
        <x:v>4</x:v>
      </x:c>
      <x:c r="N35" s="45" t="n">
        <x:f>SUM(E35:G35)</x:f>
        <x:v>7</x:v>
      </x:c>
      <x:c r="O35" s="42" t="n">
        <x:f>IF(AND(E35&lt;=E51,E35&lt;=E3,E35&lt;=E19,F35&lt;=F47,F35&lt;=F43,F35&lt;=F39,G35&lt;=G37,G35&lt;=G34,G35&lt;=G36),1,0)</x:f>
        <x:v>0</x:v>
      </x:c>
      <x:c r="P35" s="42" t="n">
        <x:f>IF(AND(K35&lt;=K51,K35&lt;=K3,K35&lt;=K19,L35&lt;=L47,L35&lt;=L43,L35&lt;=L39,M35&lt;=M37,M35&lt;=M34,M35&lt;=M36),1,0)</x:f>
        <x:v>1</x:v>
      </x:c>
    </x:row>
    <x:row r="36">
      <x:c r="A36" t="str">
        <x:v>oeo</x:v>
      </x:c>
      <x:c r="B36" t="str">
        <x:v>o</x:v>
      </x:c>
      <x:c r="C36" t="str">
        <x:v>e</x:v>
      </x:c>
      <x:c r="D36" t="str">
        <x:v>o</x:v>
      </x:c>
      <x:c r="E36" s="45" t="n">
        <x:f>(1/2)*'Inputs'!$B$5+(1/2)*'Inputs'!$B$6</x:f>
        <x:v>2.5</x:v>
      </x:c>
      <x:c r="F36" s="45" t="n">
        <x:f>1*'Inputs'!$B$4</x:f>
        <x:v>3</x:v>
      </x:c>
      <x:c r="G36" s="45" t="n">
        <x:f>(1/2)*'Inputs'!$B$5+(1/2)*'Inputs'!$B$6</x:f>
        <x:v>2.5</x:v>
      </x:c>
      <x:c r="H36" s="45" t="n">
        <x:f>'Toll Rules'!$B$9</x:f>
        <x:v>2.5</x:v>
      </x:c>
      <x:c r="I36" s="45" t="n">
        <x:f>0</x:f>
        <x:v>0</x:v>
      </x:c>
      <x:c r="J36" s="45" t="n">
        <x:f>'Toll Rules'!$B$9</x:f>
        <x:v>2.5</x:v>
      </x:c>
      <x:c r="K36" s="45" t="n">
        <x:f>E36+H36</x:f>
        <x:v>5</x:v>
      </x:c>
      <x:c r="L36" s="45" t="n">
        <x:f>F36+I36</x:f>
        <x:v>3</x:v>
      </x:c>
      <x:c r="M36" s="45" t="n">
        <x:f>G36+J36</x:f>
        <x:v>5</x:v>
      </x:c>
      <x:c r="N36" s="45" t="n">
        <x:f>SUM(E36:G36)</x:f>
        <x:v>8</x:v>
      </x:c>
      <x:c r="O36" s="42" t="n">
        <x:f>IF(AND(E36&lt;=E52,E36&lt;=E4,E36&lt;=E20,F36&lt;=F48,F36&lt;=F44,F36&lt;=F40,G36&lt;=G37,G36&lt;=G34,G36&lt;=G35),1,0)</x:f>
        <x:v>0</x:v>
      </x:c>
      <x:c r="P36" s="42" t="n">
        <x:f>IF(AND(K36&lt;=K52,K36&lt;=K4,K36&lt;=K20,L36&lt;=L48,L36&lt;=L44,L36&lt;=L40,M36&lt;=M37,M36&lt;=M34,M36&lt;=M35),1,0)</x:f>
        <x:v>0</x:v>
      </x:c>
    </x:row>
    <x:row r="37">
      <x:c r="A37" t="str">
        <x:v>oev</x:v>
      </x:c>
      <x:c r="B37" t="str">
        <x:v>o</x:v>
      </x:c>
      <x:c r="C37" t="str">
        <x:v>e</x:v>
      </x:c>
      <x:c r="D37" t="str">
        <x:v>v</x:v>
      </x:c>
      <x:c r="E37" s="45" t="n">
        <x:f>0</x:f>
        <x:v>0</x:v>
      </x:c>
      <x:c r="F37" s="45" t="n">
        <x:f>1*'Inputs'!$B$4</x:f>
        <x:v>3</x:v>
      </x:c>
      <x:c r="G37" s="45" t="n">
        <x:f>2*'Inputs'!$B$4</x:f>
        <x:v>6</x:v>
      </x:c>
      <x:c r="H37" s="45" t="n">
        <x:f>0</x:f>
        <x:v>0</x:v>
      </x:c>
      <x:c r="I37" s="45" t="n">
        <x:f>0</x:f>
        <x:v>0</x:v>
      </x:c>
      <x:c r="J37" s="45" t="n">
        <x:f>0</x:f>
        <x:v>0</x:v>
      </x:c>
      <x:c r="K37" s="45" t="n">
        <x:f>E37+H37</x:f>
        <x:v>0</x:v>
      </x:c>
      <x:c r="L37" s="45" t="n">
        <x:f>F37+I37</x:f>
        <x:v>3</x:v>
      </x:c>
      <x:c r="M37" s="45" t="n">
        <x:f>G37+J37</x:f>
        <x:v>6</x:v>
      </x:c>
      <x:c r="N37" s="45" t="n">
        <x:f>SUM(E37:G37)</x:f>
        <x:v>9</x:v>
      </x:c>
      <x:c r="O37" s="42" t="n">
        <x:f>IF(AND(E37&lt;=E53,E37&lt;=E5,E37&lt;=E21,F37&lt;=F49,F37&lt;=F45,F37&lt;=F41,G37&lt;=G34,G37&lt;=G36,G37&lt;=G35),1,0)</x:f>
        <x:v>0</x:v>
      </x:c>
      <x:c r="P37" s="42" t="n">
        <x:f>IF(AND(K37&lt;=K53,K37&lt;=K5,K37&lt;=K21,L37&lt;=L49,L37&lt;=L45,L37&lt;=L41,M37&lt;=M34,M37&lt;=M36,M37&lt;=M35),1,0)</x:f>
        <x:v>0</x:v>
      </x:c>
    </x:row>
    <x:row r="38">
      <x:c r="A38" t="str">
        <x:v>ole</x:v>
      </x:c>
      <x:c r="B38" t="str">
        <x:v>o</x:v>
      </x:c>
      <x:c r="C38" t="str">
        <x:v>l</x:v>
      </x:c>
      <x:c r="D38" t="str">
        <x:v>e</x:v>
      </x:c>
      <x:c r="E38" s="45" t="n">
        <x:f>0</x:f>
        <x:v>0</x:v>
      </x:c>
      <x:c r="F38" s="45" t="n">
        <x:f>1*'Inputs'!$B$6</x:f>
        <x:v>4</x:v>
      </x:c>
      <x:c r="G38" s="45" t="n">
        <x:f>1*'Inputs'!$B$4</x:f>
        <x:v>3</x:v>
      </x:c>
      <x:c r="H38" s="45" t="n">
        <x:f>0</x:f>
        <x:v>0</x:v>
      </x:c>
      <x:c r="I38" s="45" t="n">
        <x:f>0</x:f>
        <x:v>0</x:v>
      </x:c>
      <x:c r="J38" s="45" t="n">
        <x:f>0</x:f>
        <x:v>0</x:v>
      </x:c>
      <x:c r="K38" s="45" t="n">
        <x:f>E38+H38</x:f>
        <x:v>0</x:v>
      </x:c>
      <x:c r="L38" s="45" t="n">
        <x:f>F38+I38</x:f>
        <x:v>4</x:v>
      </x:c>
      <x:c r="M38" s="45" t="n">
        <x:f>G38+J38</x:f>
        <x:v>3</x:v>
      </x:c>
      <x:c r="N38" s="45" t="n">
        <x:f>SUM(E38:G38)</x:f>
        <x:v>7</x:v>
      </x:c>
      <x:c r="O38" s="42" t="n">
        <x:f>IF(AND(E38&lt;=E54,E38&lt;=E6,E38&lt;=E22,F38&lt;=F46,F38&lt;=F34,F38&lt;=F42,G38&lt;=G41,G38&lt;=G40,G38&lt;=G39),1,0)</x:f>
        <x:v>0</x:v>
      </x:c>
      <x:c r="P38" s="42" t="n">
        <x:f>IF(AND(K38&lt;=K54,K38&lt;=K6,K38&lt;=K22,L38&lt;=L46,L38&lt;=L34,L38&lt;=L42,M38&lt;=M41,M38&lt;=M40,M38&lt;=M39),1,0)</x:f>
        <x:v>1</x:v>
      </x:c>
    </x:row>
    <x:row r="39">
      <x:c r="A39" t="str">
        <x:v>oll</x:v>
      </x:c>
      <x:c r="B39" t="str">
        <x:v>o</x:v>
      </x:c>
      <x:c r="C39" t="str">
        <x:v>l</x:v>
      </x:c>
      <x:c r="D39" t="str">
        <x:v>l</x:v>
      </x:c>
      <x:c r="E39" s="45" t="n">
        <x:f>0</x:f>
        <x:v>0</x:v>
      </x:c>
      <x:c r="F39" s="45" t="n">
        <x:f>(1/2)*'Inputs'!$B$5+(3/2)*'Inputs'!$B$6</x:f>
        <x:v>6.5</x:v>
      </x:c>
      <x:c r="G39" s="45" t="n">
        <x:f>(1/2)*'Inputs'!$B$5+(3/2)*'Inputs'!$B$6</x:f>
        <x:v>6.5</x:v>
      </x:c>
      <x:c r="H39" s="45" t="n">
        <x:f>0</x:f>
        <x:v>0</x:v>
      </x:c>
      <x:c r="I39" s="45" t="n">
        <x:f>'Toll Rules'!$B$9</x:f>
        <x:v>2.5</x:v>
      </x:c>
      <x:c r="J39" s="45" t="n">
        <x:f>'Toll Rules'!$B$9</x:f>
        <x:v>2.5</x:v>
      </x:c>
      <x:c r="K39" s="45" t="n">
        <x:f>E39+H39</x:f>
        <x:v>0</x:v>
      </x:c>
      <x:c r="L39" s="45" t="n">
        <x:f>F39+I39</x:f>
        <x:v>9</x:v>
      </x:c>
      <x:c r="M39" s="45" t="n">
        <x:f>G39+J39</x:f>
        <x:v>9</x:v>
      </x:c>
      <x:c r="N39" s="45" t="n">
        <x:f>SUM(E39:G39)</x:f>
        <x:v>13</x:v>
      </x:c>
      <x:c r="O39" s="42" t="n">
        <x:f>IF(AND(E39&lt;=E55,E39&lt;=E7,E39&lt;=E23,F39&lt;=F47,F39&lt;=F35,F39&lt;=F43,G39&lt;=G41,G39&lt;=G38,G39&lt;=G40),1,0)</x:f>
        <x:v>0</x:v>
      </x:c>
      <x:c r="P39" s="42" t="n">
        <x:f>IF(AND(K39&lt;=K55,K39&lt;=K7,K39&lt;=K23,L39&lt;=L47,L39&lt;=L35,L39&lt;=L43,M39&lt;=M41,M39&lt;=M38,M39&lt;=M40),1,0)</x:f>
        <x:v>0</x:v>
      </x:c>
    </x:row>
    <x:row r="40">
      <x:c r="A40" t="str">
        <x:v>olo</x:v>
      </x:c>
      <x:c r="B40" t="str">
        <x:v>o</x:v>
      </x:c>
      <x:c r="C40" t="str">
        <x:v>l</x:v>
      </x:c>
      <x:c r="D40" t="str">
        <x:v>o</x:v>
      </x:c>
      <x:c r="E40" s="45" t="n">
        <x:f>(1/2)*'Inputs'!$B$5+(1/2)*'Inputs'!$B$6</x:f>
        <x:v>2.5</x:v>
      </x:c>
      <x:c r="F40" s="45" t="n">
        <x:f>1*'Inputs'!$B$5+2*'Inputs'!$B$6</x:f>
        <x:v>9</x:v>
      </x:c>
      <x:c r="G40" s="45" t="n">
        <x:f>(1/2)*'Inputs'!$B$5+(1/2)*'Inputs'!$B$6</x:f>
        <x:v>2.5</x:v>
      </x:c>
      <x:c r="H40" s="45" t="n">
        <x:f>'Toll Rules'!$B$11</x:f>
        <x:v>7.5</x:v>
      </x:c>
      <x:c r="I40" s="45" t="n">
        <x:f>0</x:f>
        <x:v>0</x:v>
      </x:c>
      <x:c r="J40" s="45" t="n">
        <x:f>'Toll Rules'!$B$11</x:f>
        <x:v>7.5</x:v>
      </x:c>
      <x:c r="K40" s="45" t="n">
        <x:f>E40+H40</x:f>
        <x:v>10</x:v>
      </x:c>
      <x:c r="L40" s="45" t="n">
        <x:f>F40+I40</x:f>
        <x:v>9</x:v>
      </x:c>
      <x:c r="M40" s="45" t="n">
        <x:f>G40+J40</x:f>
        <x:v>10</x:v>
      </x:c>
      <x:c r="N40" s="45" t="n">
        <x:f>SUM(E40:G40)</x:f>
        <x:v>14</x:v>
      </x:c>
      <x:c r="O40" s="42" t="n">
        <x:f>IF(AND(E40&lt;=E56,E40&lt;=E8,E40&lt;=E24,F40&lt;=F48,F40&lt;=F36,F40&lt;=F44,G40&lt;=G41,G40&lt;=G38,G40&lt;=G39),1,0)</x:f>
        <x:v>0</x:v>
      </x:c>
      <x:c r="P40" s="42" t="n">
        <x:f>IF(AND(K40&lt;=K56,K40&lt;=K8,K40&lt;=K24,L40&lt;=L48,L40&lt;=L36,L40&lt;=L44,M40&lt;=M41,M40&lt;=M38,M40&lt;=M39),1,0)</x:f>
        <x:v>0</x:v>
      </x:c>
    </x:row>
    <x:row r="41">
      <x:c r="A41" t="str">
        <x:v>olv</x:v>
      </x:c>
      <x:c r="B41" t="str">
        <x:v>o</x:v>
      </x:c>
      <x:c r="C41" t="str">
        <x:v>l</x:v>
      </x:c>
      <x:c r="D41" t="str">
        <x:v>v</x:v>
      </x:c>
      <x:c r="E41" s="45" t="n">
        <x:f>0</x:f>
        <x:v>0</x:v>
      </x:c>
      <x:c r="F41" s="45" t="n">
        <x:f>1*'Inputs'!$B$6</x:f>
        <x:v>4</x:v>
      </x:c>
      <x:c r="G41" s="45" t="n">
        <x:f>2*'Inputs'!$B$4</x:f>
        <x:v>6</x:v>
      </x:c>
      <x:c r="H41" s="45" t="n">
        <x:f>0</x:f>
        <x:v>0</x:v>
      </x:c>
      <x:c r="I41" s="45" t="n">
        <x:f>0</x:f>
        <x:v>0</x:v>
      </x:c>
      <x:c r="J41" s="45" t="n">
        <x:f>0</x:f>
        <x:v>0</x:v>
      </x:c>
      <x:c r="K41" s="45" t="n">
        <x:f>E41+H41</x:f>
        <x:v>0</x:v>
      </x:c>
      <x:c r="L41" s="45" t="n">
        <x:f>F41+I41</x:f>
        <x:v>4</x:v>
      </x:c>
      <x:c r="M41" s="45" t="n">
        <x:f>G41+J41</x:f>
        <x:v>6</x:v>
      </x:c>
      <x:c r="N41" s="45" t="n">
        <x:f>SUM(E41:G41)</x:f>
        <x:v>10</x:v>
      </x:c>
      <x:c r="O41" s="42" t="n">
        <x:f>IF(AND(E41&lt;=E57,E41&lt;=E9,E41&lt;=E25,F41&lt;=F49,F41&lt;=F37,F41&lt;=F45,G41&lt;=G38,G41&lt;=G40,G41&lt;=G39),1,0)</x:f>
        <x:v>0</x:v>
      </x:c>
      <x:c r="P41" s="42" t="n">
        <x:f>IF(AND(K41&lt;=K57,K41&lt;=K9,K41&lt;=K25,L41&lt;=L49,L41&lt;=L37,L41&lt;=L45,M41&lt;=M38,M41&lt;=M40,M41&lt;=M39),1,0)</x:f>
        <x:v>0</x:v>
      </x:c>
    </x:row>
    <x:row r="42">
      <x:c r="A42" t="str">
        <x:v>ooe</x:v>
      </x:c>
      <x:c r="B42" t="str">
        <x:v>o</x:v>
      </x:c>
      <x:c r="C42" t="str">
        <x:v>o</x:v>
      </x:c>
      <x:c r="D42" t="str">
        <x:v>e</x:v>
      </x:c>
      <x:c r="E42" s="45" t="n">
        <x:f>(1/2)*'Inputs'!$B$5+(1/2)*'Inputs'!$B$6</x:f>
        <x:v>2.5</x:v>
      </x:c>
      <x:c r="F42" s="45" t="n">
        <x:f>(1/2)*'Inputs'!$B$5+(1/2)*'Inputs'!$B$6</x:f>
        <x:v>2.5</x:v>
      </x:c>
      <x:c r="G42" s="45" t="n">
        <x:f>1*'Inputs'!$B$4</x:f>
        <x:v>3</x:v>
      </x:c>
      <x:c r="H42" s="45" t="n">
        <x:f>'Toll Rules'!$B$9</x:f>
        <x:v>2.5</x:v>
      </x:c>
      <x:c r="I42" s="45" t="n">
        <x:f>'Toll Rules'!$B$9</x:f>
        <x:v>2.5</x:v>
      </x:c>
      <x:c r="J42" s="45" t="n">
        <x:f>0</x:f>
        <x:v>0</x:v>
      </x:c>
      <x:c r="K42" s="45" t="n">
        <x:f>E42+H42</x:f>
        <x:v>5</x:v>
      </x:c>
      <x:c r="L42" s="45" t="n">
        <x:f>F42+I42</x:f>
        <x:v>5</x:v>
      </x:c>
      <x:c r="M42" s="45" t="n">
        <x:f>G42+J42</x:f>
        <x:v>3</x:v>
      </x:c>
      <x:c r="N42" s="45" t="n">
        <x:f>SUM(E42:G42)</x:f>
        <x:v>8</x:v>
      </x:c>
      <x:c r="O42" s="42" t="n">
        <x:f>IF(AND(E42&lt;=E58,E42&lt;=E10,E42&lt;=E26,F42&lt;=F46,F42&lt;=F34,F42&lt;=F38,G42&lt;=G45,G42&lt;=G44,G42&lt;=G43),1,0)</x:f>
        <x:v>0</x:v>
      </x:c>
      <x:c r="P42" s="42" t="n">
        <x:f>IF(AND(K42&lt;=K58,K42&lt;=K10,K42&lt;=K26,L42&lt;=L46,L42&lt;=L34,L42&lt;=L38,M42&lt;=M45,M42&lt;=M44,M42&lt;=M43),1,0)</x:f>
        <x:v>0</x:v>
      </x:c>
    </x:row>
    <x:row r="43">
      <x:c r="A43" t="str">
        <x:v>ool</x:v>
      </x:c>
      <x:c r="B43" t="str">
        <x:v>o</x:v>
      </x:c>
      <x:c r="C43" t="str">
        <x:v>o</x:v>
      </x:c>
      <x:c r="D43" t="str">
        <x:v>l</x:v>
      </x:c>
      <x:c r="E43" s="45" t="n">
        <x:f>(1/2)*'Inputs'!$B$5+(1/2)*'Inputs'!$B$6</x:f>
        <x:v>2.5</x:v>
      </x:c>
      <x:c r="F43" s="45" t="n">
        <x:f>(1/2)*'Inputs'!$B$5+(1/2)*'Inputs'!$B$6</x:f>
        <x:v>2.5</x:v>
      </x:c>
      <x:c r="G43" s="45" t="n">
        <x:f>1*'Inputs'!$B$5+2*'Inputs'!$B$6</x:f>
        <x:v>9</x:v>
      </x:c>
      <x:c r="H43" s="45" t="n">
        <x:f>'Toll Rules'!$B$11</x:f>
        <x:v>7.5</x:v>
      </x:c>
      <x:c r="I43" s="45" t="n">
        <x:f>'Toll Rules'!$B$11</x:f>
        <x:v>7.5</x:v>
      </x:c>
      <x:c r="J43" s="45" t="n">
        <x:f>0</x:f>
        <x:v>0</x:v>
      </x:c>
      <x:c r="K43" s="45" t="n">
        <x:f>E43+H43</x:f>
        <x:v>10</x:v>
      </x:c>
      <x:c r="L43" s="45" t="n">
        <x:f>F43+I43</x:f>
        <x:v>10</x:v>
      </x:c>
      <x:c r="M43" s="45" t="n">
        <x:f>G43+J43</x:f>
        <x:v>9</x:v>
      </x:c>
      <x:c r="N43" s="45" t="n">
        <x:f>SUM(E43:G43)</x:f>
        <x:v>14</x:v>
      </x:c>
      <x:c r="O43" s="42" t="n">
        <x:f>IF(AND(E43&lt;=E59,E43&lt;=E11,E43&lt;=E27,F43&lt;=F47,F43&lt;=F35,F43&lt;=F39,G43&lt;=G45,G43&lt;=G42,G43&lt;=G44),1,0)</x:f>
        <x:v>0</x:v>
      </x:c>
      <x:c r="P43" s="42" t="n">
        <x:f>IF(AND(K43&lt;=K59,K43&lt;=K11,K43&lt;=K27,L43&lt;=L47,L43&lt;=L35,L43&lt;=L39,M43&lt;=M45,M43&lt;=M42,M43&lt;=M44),1,0)</x:f>
        <x:v>0</x:v>
      </x:c>
    </x:row>
    <x:row r="44">
      <x:c r="A44" t="str">
        <x:v>ooo</x:v>
      </x:c>
      <x:c r="B44" t="str">
        <x:v>o</x:v>
      </x:c>
      <x:c r="C44" t="str">
        <x:v>o</x:v>
      </x:c>
      <x:c r="D44" t="str">
        <x:v>o</x:v>
      </x:c>
      <x:c r="E44" s="45" t="n">
        <x:f>1*'Inputs'!$B$5+1*'Inputs'!$B$6</x:f>
        <x:v>5</x:v>
      </x:c>
      <x:c r="F44" s="45" t="n">
        <x:f>1*'Inputs'!$B$5+1*'Inputs'!$B$6</x:f>
        <x:v>5</x:v>
      </x:c>
      <x:c r="G44" s="45" t="n">
        <x:f>1*'Inputs'!$B$5+1*'Inputs'!$B$6</x:f>
        <x:v>5</x:v>
      </x:c>
      <x:c r="H44" s="45" t="n">
        <x:f>'Toll Rules'!$B$10</x:f>
        <x:v>5</x:v>
      </x:c>
      <x:c r="I44" s="45" t="n">
        <x:f>'Toll Rules'!$B$10</x:f>
        <x:v>5</x:v>
      </x:c>
      <x:c r="J44" s="45" t="n">
        <x:f>'Toll Rules'!$B$10</x:f>
        <x:v>5</x:v>
      </x:c>
      <x:c r="K44" s="45" t="n">
        <x:f>E44+H44</x:f>
        <x:v>10</x:v>
      </x:c>
      <x:c r="L44" s="45" t="n">
        <x:f>F44+I44</x:f>
        <x:v>10</x:v>
      </x:c>
      <x:c r="M44" s="45" t="n">
        <x:f>G44+J44</x:f>
        <x:v>10</x:v>
      </x:c>
      <x:c r="N44" s="45" t="n">
        <x:f>SUM(E44:G44)</x:f>
        <x:v>15</x:v>
      </x:c>
      <x:c r="O44" s="42" t="n">
        <x:f>IF(AND(E44&lt;=E60,E44&lt;=E12,E44&lt;=E28,F44&lt;=F48,F44&lt;=F36,F44&lt;=F40,G44&lt;=G45,G44&lt;=G42,G44&lt;=G43),1,0)</x:f>
        <x:v>0</x:v>
      </x:c>
      <x:c r="P44" s="42" t="n">
        <x:f>IF(AND(K44&lt;=K60,K44&lt;=K12,K44&lt;=K28,L44&lt;=L48,L44&lt;=L36,L44&lt;=L40,M44&lt;=M45,M44&lt;=M42,M44&lt;=M43),1,0)</x:f>
        <x:v>0</x:v>
      </x:c>
    </x:row>
    <x:row r="45">
      <x:c r="A45" t="str">
        <x:v>oov</x:v>
      </x:c>
      <x:c r="B45" t="str">
        <x:v>o</x:v>
      </x:c>
      <x:c r="C45" t="str">
        <x:v>o</x:v>
      </x:c>
      <x:c r="D45" t="str">
        <x:v>v</x:v>
      </x:c>
      <x:c r="E45" s="45" t="n">
        <x:f>(1/2)*'Inputs'!$B$5+(1/2)*'Inputs'!$B$6</x:f>
        <x:v>2.5</x:v>
      </x:c>
      <x:c r="F45" s="45" t="n">
        <x:f>(1/2)*'Inputs'!$B$5+(1/2)*'Inputs'!$B$6</x:f>
        <x:v>2.5</x:v>
      </x:c>
      <x:c r="G45" s="45" t="n">
        <x:f>2*'Inputs'!$B$4</x:f>
        <x:v>6</x:v>
      </x:c>
      <x:c r="H45" s="45" t="n">
        <x:f>'Toll Rules'!$B$9</x:f>
        <x:v>2.5</x:v>
      </x:c>
      <x:c r="I45" s="45" t="n">
        <x:f>'Toll Rules'!$B$9</x:f>
        <x:v>2.5</x:v>
      </x:c>
      <x:c r="J45" s="45" t="n">
        <x:f>0</x:f>
        <x:v>0</x:v>
      </x:c>
      <x:c r="K45" s="45" t="n">
        <x:f>E45+H45</x:f>
        <x:v>5</x:v>
      </x:c>
      <x:c r="L45" s="45" t="n">
        <x:f>F45+I45</x:f>
        <x:v>5</x:v>
      </x:c>
      <x:c r="M45" s="45" t="n">
        <x:f>G45+J45</x:f>
        <x:v>6</x:v>
      </x:c>
      <x:c r="N45" s="45" t="n">
        <x:f>SUM(E45:G45)</x:f>
        <x:v>11</x:v>
      </x:c>
      <x:c r="O45" s="42" t="n">
        <x:f>IF(AND(E45&lt;=E61,E45&lt;=E13,E45&lt;=E29,F45&lt;=F49,F45&lt;=F37,F45&lt;=F41,G45&lt;=G42,G45&lt;=G44,G45&lt;=G43),1,0)</x:f>
        <x:v>0</x:v>
      </x:c>
      <x:c r="P45" s="42" t="n">
        <x:f>IF(AND(K45&lt;=K61,K45&lt;=K13,K45&lt;=K29,L45&lt;=L49,L45&lt;=L37,L45&lt;=L41,M45&lt;=M42,M45&lt;=M44,M45&lt;=M43),1,0)</x:f>
        <x:v>0</x:v>
      </x:c>
    </x:row>
    <x:row r="46">
      <x:c r="A46" t="str">
        <x:v>ove</x:v>
      </x:c>
      <x:c r="B46" t="str">
        <x:v>o</x:v>
      </x:c>
      <x:c r="C46" t="str">
        <x:v>v</x:v>
      </x:c>
      <x:c r="D46" t="str">
        <x:v>e</x:v>
      </x:c>
      <x:c r="E46" s="45" t="n">
        <x:f>0</x:f>
        <x:v>0</x:v>
      </x:c>
      <x:c r="F46" s="45" t="n">
        <x:f>2*'Inputs'!$B$4</x:f>
        <x:v>6</x:v>
      </x:c>
      <x:c r="G46" s="45" t="n">
        <x:f>1*'Inputs'!$B$4</x:f>
        <x:v>3</x:v>
      </x:c>
      <x:c r="H46" s="45" t="n">
        <x:f>0</x:f>
        <x:v>0</x:v>
      </x:c>
      <x:c r="I46" s="45" t="n">
        <x:f>0</x:f>
        <x:v>0</x:v>
      </x:c>
      <x:c r="J46" s="45" t="n">
        <x:f>0</x:f>
        <x:v>0</x:v>
      </x:c>
      <x:c r="K46" s="45" t="n">
        <x:f>E46+H46</x:f>
        <x:v>0</x:v>
      </x:c>
      <x:c r="L46" s="45" t="n">
        <x:f>F46+I46</x:f>
        <x:v>6</x:v>
      </x:c>
      <x:c r="M46" s="45" t="n">
        <x:f>G46+J46</x:f>
        <x:v>3</x:v>
      </x:c>
      <x:c r="N46" s="45" t="n">
        <x:f>SUM(E46:G46)</x:f>
        <x:v>9</x:v>
      </x:c>
      <x:c r="O46" s="42" t="n">
        <x:f>IF(AND(E46&lt;=E62,E46&lt;=E14,E46&lt;=E30,F46&lt;=F34,F46&lt;=F42,F46&lt;=F38,G46&lt;=G49,G46&lt;=G48,G46&lt;=G47),1,0)</x:f>
        <x:v>0</x:v>
      </x:c>
      <x:c r="P46" s="42" t="n">
        <x:f>IF(AND(K46&lt;=K62,K46&lt;=K14,K46&lt;=K30,L46&lt;=L34,L46&lt;=L42,L46&lt;=L38,M46&lt;=M49,M46&lt;=M48,M46&lt;=M47),1,0)</x:f>
        <x:v>0</x:v>
      </x:c>
    </x:row>
    <x:row r="47">
      <x:c r="A47" t="str">
        <x:v>ovl</x:v>
      </x:c>
      <x:c r="B47" t="str">
        <x:v>o</x:v>
      </x:c>
      <x:c r="C47" t="str">
        <x:v>v</x:v>
      </x:c>
      <x:c r="D47" t="str">
        <x:v>l</x:v>
      </x:c>
      <x:c r="E47" s="45" t="n">
        <x:f>0</x:f>
        <x:v>0</x:v>
      </x:c>
      <x:c r="F47" s="45" t="n">
        <x:f>2*'Inputs'!$B$4</x:f>
        <x:v>6</x:v>
      </x:c>
      <x:c r="G47" s="45" t="n">
        <x:f>1*'Inputs'!$B$6</x:f>
        <x:v>4</x:v>
      </x:c>
      <x:c r="H47" s="45" t="n">
        <x:f>0</x:f>
        <x:v>0</x:v>
      </x:c>
      <x:c r="I47" s="45" t="n">
        <x:f>0</x:f>
        <x:v>0</x:v>
      </x:c>
      <x:c r="J47" s="45" t="n">
        <x:f>0</x:f>
        <x:v>0</x:v>
      </x:c>
      <x:c r="K47" s="45" t="n">
        <x:f>E47+H47</x:f>
        <x:v>0</x:v>
      </x:c>
      <x:c r="L47" s="45" t="n">
        <x:f>F47+I47</x:f>
        <x:v>6</x:v>
      </x:c>
      <x:c r="M47" s="45" t="n">
        <x:f>G47+J47</x:f>
        <x:v>4</x:v>
      </x:c>
      <x:c r="N47" s="45" t="n">
        <x:f>SUM(E47:G47)</x:f>
        <x:v>10</x:v>
      </x:c>
      <x:c r="O47" s="42" t="n">
        <x:f>IF(AND(E47&lt;=E63,E47&lt;=E15,E47&lt;=E31,F47&lt;=F35,F47&lt;=F43,F47&lt;=F39,G47&lt;=G49,G47&lt;=G46,G47&lt;=G48),1,0)</x:f>
        <x:v>0</x:v>
      </x:c>
      <x:c r="P47" s="42" t="n">
        <x:f>IF(AND(K47&lt;=K63,K47&lt;=K15,K47&lt;=K31,L47&lt;=L35,L47&lt;=L43,L47&lt;=L39,M47&lt;=M49,M47&lt;=M46,M47&lt;=M48),1,0)</x:f>
        <x:v>0</x:v>
      </x:c>
    </x:row>
    <x:row r="48">
      <x:c r="A48" t="str">
        <x:v>ovo</x:v>
      </x:c>
      <x:c r="B48" t="str">
        <x:v>o</x:v>
      </x:c>
      <x:c r="C48" t="str">
        <x:v>v</x:v>
      </x:c>
      <x:c r="D48" t="str">
        <x:v>o</x:v>
      </x:c>
      <x:c r="E48" s="45" t="n">
        <x:f>(1/2)*'Inputs'!$B$5+(1/2)*'Inputs'!$B$6</x:f>
        <x:v>2.5</x:v>
      </x:c>
      <x:c r="F48" s="45" t="n">
        <x:f>2*'Inputs'!$B$4</x:f>
        <x:v>6</x:v>
      </x:c>
      <x:c r="G48" s="45" t="n">
        <x:f>(1/2)*'Inputs'!$B$5+(1/2)*'Inputs'!$B$6</x:f>
        <x:v>2.5</x:v>
      </x:c>
      <x:c r="H48" s="45" t="n">
        <x:f>'Toll Rules'!$B$9</x:f>
        <x:v>2.5</x:v>
      </x:c>
      <x:c r="I48" s="45" t="n">
        <x:f>0</x:f>
        <x:v>0</x:v>
      </x:c>
      <x:c r="J48" s="45" t="n">
        <x:f>'Toll Rules'!$B$9</x:f>
        <x:v>2.5</x:v>
      </x:c>
      <x:c r="K48" s="45" t="n">
        <x:f>E48+H48</x:f>
        <x:v>5</x:v>
      </x:c>
      <x:c r="L48" s="45" t="n">
        <x:f>F48+I48</x:f>
        <x:v>6</x:v>
      </x:c>
      <x:c r="M48" s="45" t="n">
        <x:f>G48+J48</x:f>
        <x:v>5</x:v>
      </x:c>
      <x:c r="N48" s="45" t="n">
        <x:f>SUM(E48:G48)</x:f>
        <x:v>11</x:v>
      </x:c>
      <x:c r="O48" s="42" t="n">
        <x:f>IF(AND(E48&lt;=E64,E48&lt;=E16,E48&lt;=E32,F48&lt;=F36,F48&lt;=F44,F48&lt;=F40,G48&lt;=G49,G48&lt;=G46,G48&lt;=G47),1,0)</x:f>
        <x:v>0</x:v>
      </x:c>
      <x:c r="P48" s="42" t="n">
        <x:f>IF(AND(K48&lt;=K64,K48&lt;=K16,K48&lt;=K32,L48&lt;=L36,L48&lt;=L44,L48&lt;=L40,M48&lt;=M49,M48&lt;=M46,M48&lt;=M47),1,0)</x:f>
        <x:v>0</x:v>
      </x:c>
    </x:row>
    <x:row r="49">
      <x:c r="A49" t="str">
        <x:v>ovv</x:v>
      </x:c>
      <x:c r="B49" t="str">
        <x:v>o</x:v>
      </x:c>
      <x:c r="C49" t="str">
        <x:v>v</x:v>
      </x:c>
      <x:c r="D49" t="str">
        <x:v>v</x:v>
      </x:c>
      <x:c r="E49" s="45" t="n">
        <x:f>0</x:f>
        <x:v>0</x:v>
      </x:c>
      <x:c r="F49" s="45" t="n">
        <x:f>(3/2)*'Inputs'!$B$4+(1/2)*'Inputs'!$B$5</x:f>
        <x:v>5</x:v>
      </x:c>
      <x:c r="G49" s="45" t="n">
        <x:f>(3/2)*'Inputs'!$B$4+(1/2)*'Inputs'!$B$5</x:f>
        <x:v>5</x:v>
      </x:c>
      <x:c r="H49" s="45" t="n">
        <x:f>0</x:f>
        <x:v>0</x:v>
      </x:c>
      <x:c r="I49" s="45" t="n">
        <x:f>'Toll Rules'!$B$6</x:f>
        <x:v>0</x:v>
      </x:c>
      <x:c r="J49" s="45" t="n">
        <x:f>'Toll Rules'!$B$6</x:f>
        <x:v>0</x:v>
      </x:c>
      <x:c r="K49" s="45" t="n">
        <x:f>E49+H49</x:f>
        <x:v>0</x:v>
      </x:c>
      <x:c r="L49" s="45" t="n">
        <x:f>F49+I49</x:f>
        <x:v>5</x:v>
      </x:c>
      <x:c r="M49" s="45" t="n">
        <x:f>G49+J49</x:f>
        <x:v>5</x:v>
      </x:c>
      <x:c r="N49" s="45" t="n">
        <x:f>SUM(E49:G49)</x:f>
        <x:v>10</x:v>
      </x:c>
      <x:c r="O49" s="42" t="n">
        <x:f>IF(AND(E49&lt;=E65,E49&lt;=E17,E49&lt;=E33,F49&lt;=F37,F49&lt;=F45,F49&lt;=F41,G49&lt;=G46,G49&lt;=G48,G49&lt;=G47),1,0)</x:f>
        <x:v>0</x:v>
      </x:c>
      <x:c r="P49" s="42" t="n">
        <x:f>IF(AND(K49&lt;=K65,K49&lt;=K17,K49&lt;=K33,L49&lt;=L37,L49&lt;=L45,L49&lt;=L41,M49&lt;=M46,M49&lt;=M48,M49&lt;=M47),1,0)</x:f>
        <x:v>0</x:v>
      </x:c>
    </x:row>
    <x:row r="50">
      <x:c r="A50" t="str">
        <x:v>vee</x:v>
      </x:c>
      <x:c r="B50" t="str">
        <x:v>v</x:v>
      </x:c>
      <x:c r="C50" t="str">
        <x:v>e</x:v>
      </x:c>
      <x:c r="D50" t="str">
        <x:v>e</x:v>
      </x:c>
      <x:c r="E50" s="45" t="n">
        <x:f>2*'Inputs'!$B$4</x:f>
        <x:v>6</x:v>
      </x:c>
      <x:c r="F50" s="45" t="n">
        <x:f>(1/2)*'Inputs'!$B$4+(1/2)*'Inputs'!$B$5</x:f>
        <x:v>2</x:v>
      </x:c>
      <x:c r="G50" s="45" t="n">
        <x:f>(1/2)*'Inputs'!$B$4+(1/2)*'Inputs'!$B$5</x:f>
        <x:v>2</x:v>
      </x:c>
      <x:c r="H50" s="45" t="n">
        <x:f>0</x:f>
        <x:v>0</x:v>
      </x:c>
      <x:c r="I50" s="45" t="n">
        <x:f>'Toll Rules'!$B$6</x:f>
        <x:v>0</x:v>
      </x:c>
      <x:c r="J50" s="45" t="n">
        <x:f>'Toll Rules'!$B$6</x:f>
        <x:v>0</x:v>
      </x:c>
      <x:c r="K50" s="45" t="n">
        <x:f>E50+H50</x:f>
        <x:v>6</x:v>
      </x:c>
      <x:c r="L50" s="45" t="n">
        <x:f>F50+I50</x:f>
        <x:v>2</x:v>
      </x:c>
      <x:c r="M50" s="45" t="n">
        <x:f>G50+J50</x:f>
        <x:v>2</x:v>
      </x:c>
      <x:c r="N50" s="45" t="n">
        <x:f>SUM(E50:G50)</x:f>
        <x:v>10</x:v>
      </x:c>
      <x:c r="O50" s="42" t="n">
        <x:f>IF(AND(E50&lt;=E2,E50&lt;=E34,E50&lt;=E18,F50&lt;=F62,F50&lt;=F58,F50&lt;=F54,G50&lt;=G53,G50&lt;=G52,G50&lt;=G51),1,0)</x:f>
        <x:v>0</x:v>
      </x:c>
      <x:c r="P50" s="42" t="n">
        <x:f>IF(AND(K50&lt;=K2,K50&lt;=K34,K50&lt;=K18,L50&lt;=L62,L50&lt;=L58,L50&lt;=L54,M50&lt;=M53,M50&lt;=M52,M50&lt;=M51),1,0)</x:f>
        <x:v>0</x:v>
      </x:c>
    </x:row>
    <x:row r="51">
      <x:c r="A51" t="str">
        <x:v>vel</x:v>
      </x:c>
      <x:c r="B51" t="str">
        <x:v>v</x:v>
      </x:c>
      <x:c r="C51" t="str">
        <x:v>e</x:v>
      </x:c>
      <x:c r="D51" t="str">
        <x:v>l</x:v>
      </x:c>
      <x:c r="E51" s="45" t="n">
        <x:f>2*'Inputs'!$B$4</x:f>
        <x:v>6</x:v>
      </x:c>
      <x:c r="F51" s="45" t="n">
        <x:f>1*'Inputs'!$B$4</x:f>
        <x:v>3</x:v>
      </x:c>
      <x:c r="G51" s="45" t="n">
        <x:f>1*'Inputs'!$B$6</x:f>
        <x:v>4</x:v>
      </x:c>
      <x:c r="H51" s="45" t="n">
        <x:f>0</x:f>
        <x:v>0</x:v>
      </x:c>
      <x:c r="I51" s="45" t="n">
        <x:f>0</x:f>
        <x:v>0</x:v>
      </x:c>
      <x:c r="J51" s="45" t="n">
        <x:f>0</x:f>
        <x:v>0</x:v>
      </x:c>
      <x:c r="K51" s="45" t="n">
        <x:f>E51+H51</x:f>
        <x:v>6</x:v>
      </x:c>
      <x:c r="L51" s="45" t="n">
        <x:f>F51+I51</x:f>
        <x:v>3</x:v>
      </x:c>
      <x:c r="M51" s="45" t="n">
        <x:f>G51+J51</x:f>
        <x:v>4</x:v>
      </x:c>
      <x:c r="N51" s="45" t="n">
        <x:f>SUM(E51:G51)</x:f>
        <x:v>13</x:v>
      </x:c>
      <x:c r="O51" s="42" t="n">
        <x:f>IF(AND(E51&lt;=E3,E51&lt;=E35,E51&lt;=E19,F51&lt;=F63,F51&lt;=F59,F51&lt;=F55,G51&lt;=G53,G51&lt;=G50,G51&lt;=G52),1,0)</x:f>
        <x:v>0</x:v>
      </x:c>
      <x:c r="P51" s="42" t="n">
        <x:f>IF(AND(K51&lt;=K3,K51&lt;=K35,K51&lt;=K19,L51&lt;=L63,L51&lt;=L59,L51&lt;=L55,M51&lt;=M53,M51&lt;=M50,M51&lt;=M52),1,0)</x:f>
        <x:v>0</x:v>
      </x:c>
    </x:row>
    <x:row r="52">
      <x:c r="A52" t="str">
        <x:v>veo</x:v>
      </x:c>
      <x:c r="B52" t="str">
        <x:v>v</x:v>
      </x:c>
      <x:c r="C52" t="str">
        <x:v>e</x:v>
      </x:c>
      <x:c r="D52" t="str">
        <x:v>o</x:v>
      </x:c>
      <x:c r="E52" s="45" t="n">
        <x:f>2*'Inputs'!$B$4</x:f>
        <x:v>6</x:v>
      </x:c>
      <x:c r="F52" s="45" t="n">
        <x:f>1*'Inputs'!$B$4</x:f>
        <x:v>3</x:v>
      </x:c>
      <x:c r="G52" s="45" t="n">
        <x:f>0</x:f>
        <x:v>0</x:v>
      </x:c>
      <x:c r="H52" s="45" t="n">
        <x:f>0</x:f>
        <x:v>0</x:v>
      </x:c>
      <x:c r="I52" s="45" t="n">
        <x:f>0</x:f>
        <x:v>0</x:v>
      </x:c>
      <x:c r="J52" s="45" t="n">
        <x:f>0</x:f>
        <x:v>0</x:v>
      </x:c>
      <x:c r="K52" s="45" t="n">
        <x:f>E52+H52</x:f>
        <x:v>6</x:v>
      </x:c>
      <x:c r="L52" s="45" t="n">
        <x:f>F52+I52</x:f>
        <x:v>3</x:v>
      </x:c>
      <x:c r="M52" s="45" t="n">
        <x:f>G52+J52</x:f>
        <x:v>0</x:v>
      </x:c>
      <x:c r="N52" s="45" t="n">
        <x:f>SUM(E52:G52)</x:f>
        <x:v>9</x:v>
      </x:c>
      <x:c r="O52" s="42" t="n">
        <x:f>IF(AND(E52&lt;=E4,E52&lt;=E36,E52&lt;=E20,F52&lt;=F64,F52&lt;=F60,F52&lt;=F56,G52&lt;=G53,G52&lt;=G50,G52&lt;=G51),1,0)</x:f>
        <x:v>0</x:v>
      </x:c>
      <x:c r="P52" s="42" t="n">
        <x:f>IF(AND(K52&lt;=K4,K52&lt;=K36,K52&lt;=K20,L52&lt;=L64,L52&lt;=L60,L52&lt;=L56,M52&lt;=M53,M52&lt;=M50,M52&lt;=M51),1,0)</x:f>
        <x:v>0</x:v>
      </x:c>
    </x:row>
    <x:row r="53">
      <x:c r="A53" t="str">
        <x:v>vev</x:v>
      </x:c>
      <x:c r="B53" t="str">
        <x:v>v</x:v>
      </x:c>
      <x:c r="C53" t="str">
        <x:v>e</x:v>
      </x:c>
      <x:c r="D53" t="str">
        <x:v>v</x:v>
      </x:c>
      <x:c r="E53" s="45" t="n">
        <x:f>(3/2)*'Inputs'!$B$4+(1/2)*'Inputs'!$B$5</x:f>
        <x:v>5</x:v>
      </x:c>
      <x:c r="F53" s="45" t="n">
        <x:f>1*'Inputs'!$B$5</x:f>
        <x:v>1</x:v>
      </x:c>
      <x:c r="G53" s="45" t="n">
        <x:f>(3/2)*'Inputs'!$B$4+(1/2)*'Inputs'!$B$5</x:f>
        <x:v>5</x:v>
      </x:c>
      <x:c r="H53" s="45" t="n">
        <x:f>'Toll Rules'!$B$5</x:f>
        <x:v>0</x:v>
      </x:c>
      <x:c r="I53" s="45" t="n">
        <x:f>0</x:f>
        <x:v>0</x:v>
      </x:c>
      <x:c r="J53" s="45" t="n">
        <x:f>'Toll Rules'!$B$5</x:f>
        <x:v>0</x:v>
      </x:c>
      <x:c r="K53" s="45" t="n">
        <x:f>E53+H53</x:f>
        <x:v>5</x:v>
      </x:c>
      <x:c r="L53" s="45" t="n">
        <x:f>F53+I53</x:f>
        <x:v>1</x:v>
      </x:c>
      <x:c r="M53" s="45" t="n">
        <x:f>G53+J53</x:f>
        <x:v>5</x:v>
      </x:c>
      <x:c r="N53" s="45" t="n">
        <x:f>SUM(E53:G53)</x:f>
        <x:v>11</x:v>
      </x:c>
      <x:c r="O53" s="42" t="n">
        <x:f>IF(AND(E53&lt;=E5,E53&lt;=E37,E53&lt;=E21,F53&lt;=F65,F53&lt;=F61,F53&lt;=F57,G53&lt;=G50,G53&lt;=G52,G53&lt;=G51),1,0)</x:f>
        <x:v>0</x:v>
      </x:c>
      <x:c r="P53" s="42" t="n">
        <x:f>IF(AND(K53&lt;=K5,K53&lt;=K37,K53&lt;=K21,L53&lt;=L65,L53&lt;=L61,L53&lt;=L57,M53&lt;=M50,M53&lt;=M52,M53&lt;=M51),1,0)</x:f>
        <x:v>0</x:v>
      </x:c>
    </x:row>
    <x:row r="54">
      <x:c r="A54" t="str">
        <x:v>vle</x:v>
      </x:c>
      <x:c r="B54" t="str">
        <x:v>v</x:v>
      </x:c>
      <x:c r="C54" t="str">
        <x:v>l</x:v>
      </x:c>
      <x:c r="D54" t="str">
        <x:v>e</x:v>
      </x:c>
      <x:c r="E54" s="45" t="n">
        <x:f>2*'Inputs'!$B$4</x:f>
        <x:v>6</x:v>
      </x:c>
      <x:c r="F54" s="45" t="n">
        <x:f>1*'Inputs'!$B$6</x:f>
        <x:v>4</x:v>
      </x:c>
      <x:c r="G54" s="45" t="n">
        <x:f>1*'Inputs'!$B$4</x:f>
        <x:v>3</x:v>
      </x:c>
      <x:c r="H54" s="45" t="n">
        <x:f>0</x:f>
        <x:v>0</x:v>
      </x:c>
      <x:c r="I54" s="45" t="n">
        <x:f>0</x:f>
        <x:v>0</x:v>
      </x:c>
      <x:c r="J54" s="45" t="n">
        <x:f>0</x:f>
        <x:v>0</x:v>
      </x:c>
      <x:c r="K54" s="45" t="n">
        <x:f>E54+H54</x:f>
        <x:v>6</x:v>
      </x:c>
      <x:c r="L54" s="45" t="n">
        <x:f>F54+I54</x:f>
        <x:v>4</x:v>
      </x:c>
      <x:c r="M54" s="45" t="n">
        <x:f>G54+J54</x:f>
        <x:v>3</x:v>
      </x:c>
      <x:c r="N54" s="45" t="n">
        <x:f>SUM(E54:G54)</x:f>
        <x:v>13</x:v>
      </x:c>
      <x:c r="O54" s="42" t="n">
        <x:f>IF(AND(E54&lt;=E6,E54&lt;=E38,E54&lt;=E22,F54&lt;=F62,F54&lt;=F50,F54&lt;=F58,G54&lt;=G57,G54&lt;=G56,G54&lt;=G55),1,0)</x:f>
        <x:v>0</x:v>
      </x:c>
      <x:c r="P54" s="42" t="n">
        <x:f>IF(AND(K54&lt;=K6,K54&lt;=K38,K54&lt;=K22,L54&lt;=L62,L54&lt;=L50,L54&lt;=L58,M54&lt;=M57,M54&lt;=M56,M54&lt;=M55),1,0)</x:f>
        <x:v>0</x:v>
      </x:c>
    </x:row>
    <x:row r="55">
      <x:c r="A55" t="str">
        <x:v>vll</x:v>
      </x:c>
      <x:c r="B55" t="str">
        <x:v>v</x:v>
      </x:c>
      <x:c r="C55" t="str">
        <x:v>l</x:v>
      </x:c>
      <x:c r="D55" t="str">
        <x:v>l</x:v>
      </x:c>
      <x:c r="E55" s="45" t="n">
        <x:f>2*'Inputs'!$B$4</x:f>
        <x:v>6</x:v>
      </x:c>
      <x:c r="F55" s="45" t="n">
        <x:f>(1/2)*'Inputs'!$B$5+(3/2)*'Inputs'!$B$6</x:f>
        <x:v>6.5</x:v>
      </x:c>
      <x:c r="G55" s="45" t="n">
        <x:f>(1/2)*'Inputs'!$B$5+(3/2)*'Inputs'!$B$6</x:f>
        <x:v>6.5</x:v>
      </x:c>
      <x:c r="H55" s="45" t="n">
        <x:f>0</x:f>
        <x:v>0</x:v>
      </x:c>
      <x:c r="I55" s="45" t="n">
        <x:f>'Toll Rules'!$B$9</x:f>
        <x:v>2.5</x:v>
      </x:c>
      <x:c r="J55" s="45" t="n">
        <x:f>'Toll Rules'!$B$9</x:f>
        <x:v>2.5</x:v>
      </x:c>
      <x:c r="K55" s="45" t="n">
        <x:f>E55+H55</x:f>
        <x:v>6</x:v>
      </x:c>
      <x:c r="L55" s="45" t="n">
        <x:f>F55+I55</x:f>
        <x:v>9</x:v>
      </x:c>
      <x:c r="M55" s="45" t="n">
        <x:f>G55+J55</x:f>
        <x:v>9</x:v>
      </x:c>
      <x:c r="N55" s="45" t="n">
        <x:f>SUM(E55:G55)</x:f>
        <x:v>19</x:v>
      </x:c>
      <x:c r="O55" s="42" t="n">
        <x:f>IF(AND(E55&lt;=E7,E55&lt;=E39,E55&lt;=E23,F55&lt;=F63,F55&lt;=F51,F55&lt;=F59,G55&lt;=G57,G55&lt;=G54,G55&lt;=G56),1,0)</x:f>
        <x:v>0</x:v>
      </x:c>
      <x:c r="P55" s="42" t="n">
        <x:f>IF(AND(K55&lt;=K7,K55&lt;=K39,K55&lt;=K23,L55&lt;=L63,L55&lt;=L51,L55&lt;=L59,M55&lt;=M57,M55&lt;=M54,M55&lt;=M56),1,0)</x:f>
        <x:v>0</x:v>
      </x:c>
    </x:row>
    <x:row r="56">
      <x:c r="A56" t="str">
        <x:v>vlo</x:v>
      </x:c>
      <x:c r="B56" t="str">
        <x:v>v</x:v>
      </x:c>
      <x:c r="C56" t="str">
        <x:v>l</x:v>
      </x:c>
      <x:c r="D56" t="str">
        <x:v>o</x:v>
      </x:c>
      <x:c r="E56" s="45" t="n">
        <x:f>2*'Inputs'!$B$4</x:f>
        <x:v>6</x:v>
      </x:c>
      <x:c r="F56" s="45" t="n">
        <x:f>1*'Inputs'!$B$6</x:f>
        <x:v>4</x:v>
      </x:c>
      <x:c r="G56" s="45" t="n">
        <x:f>0</x:f>
        <x:v>0</x:v>
      </x:c>
      <x:c r="H56" s="45" t="n">
        <x:f>0</x:f>
        <x:v>0</x:v>
      </x:c>
      <x:c r="I56" s="45" t="n">
        <x:f>0</x:f>
        <x:v>0</x:v>
      </x:c>
      <x:c r="J56" s="45" t="n">
        <x:f>0</x:f>
        <x:v>0</x:v>
      </x:c>
      <x:c r="K56" s="45" t="n">
        <x:f>E56+H56</x:f>
        <x:v>6</x:v>
      </x:c>
      <x:c r="L56" s="45" t="n">
        <x:f>F56+I56</x:f>
        <x:v>4</x:v>
      </x:c>
      <x:c r="M56" s="45" t="n">
        <x:f>G56+J56</x:f>
        <x:v>0</x:v>
      </x:c>
      <x:c r="N56" s="45" t="n">
        <x:f>SUM(E56:G56)</x:f>
        <x:v>10</x:v>
      </x:c>
      <x:c r="O56" s="42" t="n">
        <x:f>IF(AND(E56&lt;=E8,E56&lt;=E40,E56&lt;=E24,F56&lt;=F64,F56&lt;=F52,F56&lt;=F60,G56&lt;=G57,G56&lt;=G54,G56&lt;=G55),1,0)</x:f>
        <x:v>0</x:v>
      </x:c>
      <x:c r="P56" s="42" t="n">
        <x:f>IF(AND(K56&lt;=K8,K56&lt;=K40,K56&lt;=K24,L56&lt;=L64,L56&lt;=L52,L56&lt;=L60,M56&lt;=M57,M56&lt;=M54,M56&lt;=M55),1,0)</x:f>
        <x:v>0</x:v>
      </x:c>
    </x:row>
    <x:row r="57">
      <x:c r="A57" t="str">
        <x:v>vlv</x:v>
      </x:c>
      <x:c r="B57" t="str">
        <x:v>v</x:v>
      </x:c>
      <x:c r="C57" t="str">
        <x:v>l</x:v>
      </x:c>
      <x:c r="D57" t="str">
        <x:v>v</x:v>
      </x:c>
      <x:c r="E57" s="45" t="n">
        <x:f>(3/2)*'Inputs'!$B$4+(1/2)*'Inputs'!$B$5</x:f>
        <x:v>5</x:v>
      </x:c>
      <x:c r="F57" s="45" t="n">
        <x:f>1*'Inputs'!$B$6</x:f>
        <x:v>4</x:v>
      </x:c>
      <x:c r="G57" s="45" t="n">
        <x:f>(3/2)*'Inputs'!$B$4+(1/2)*'Inputs'!$B$5</x:f>
        <x:v>5</x:v>
      </x:c>
      <x:c r="H57" s="45" t="n">
        <x:f>'Toll Rules'!$B$6</x:f>
        <x:v>0</x:v>
      </x:c>
      <x:c r="I57" s="45" t="n">
        <x:f>0</x:f>
        <x:v>0</x:v>
      </x:c>
      <x:c r="J57" s="45" t="n">
        <x:f>'Toll Rules'!$B$6</x:f>
        <x:v>0</x:v>
      </x:c>
      <x:c r="K57" s="45" t="n">
        <x:f>E57+H57</x:f>
        <x:v>5</x:v>
      </x:c>
      <x:c r="L57" s="45" t="n">
        <x:f>F57+I57</x:f>
        <x:v>4</x:v>
      </x:c>
      <x:c r="M57" s="45" t="n">
        <x:f>G57+J57</x:f>
        <x:v>5</x:v>
      </x:c>
      <x:c r="N57" s="45" t="n">
        <x:f>SUM(E57:G57)</x:f>
        <x:v>14</x:v>
      </x:c>
      <x:c r="O57" s="42" t="n">
        <x:f>IF(AND(E57&lt;=E9,E57&lt;=E41,E57&lt;=E25,F57&lt;=F65,F57&lt;=F53,F57&lt;=F61,G57&lt;=G54,G57&lt;=G56,G57&lt;=G55),1,0)</x:f>
        <x:v>0</x:v>
      </x:c>
      <x:c r="P57" s="42" t="n">
        <x:f>IF(AND(K57&lt;=K9,K57&lt;=K41,K57&lt;=K25,L57&lt;=L65,L57&lt;=L53,L57&lt;=L61,M57&lt;=M54,M57&lt;=M56,M57&lt;=M55),1,0)</x:f>
        <x:v>0</x:v>
      </x:c>
    </x:row>
    <x:row r="58">
      <x:c r="A58" t="str">
        <x:v>voe</x:v>
      </x:c>
      <x:c r="B58" t="str">
        <x:v>v</x:v>
      </x:c>
      <x:c r="C58" t="str">
        <x:v>o</x:v>
      </x:c>
      <x:c r="D58" t="str">
        <x:v>e</x:v>
      </x:c>
      <x:c r="E58" s="45" t="n">
        <x:f>2*'Inputs'!$B$4</x:f>
        <x:v>6</x:v>
      </x:c>
      <x:c r="F58" s="45" t="n">
        <x:f>0</x:f>
        <x:v>0</x:v>
      </x:c>
      <x:c r="G58" s="45" t="n">
        <x:f>1*'Inputs'!$B$4</x:f>
        <x:v>3</x:v>
      </x:c>
      <x:c r="H58" s="45" t="n">
        <x:f>0</x:f>
        <x:v>0</x:v>
      </x:c>
      <x:c r="I58" s="45" t="n">
        <x:f>0</x:f>
        <x:v>0</x:v>
      </x:c>
      <x:c r="J58" s="45" t="n">
        <x:f>0</x:f>
        <x:v>0</x:v>
      </x:c>
      <x:c r="K58" s="45" t="n">
        <x:f>E58+H58</x:f>
        <x:v>6</x:v>
      </x:c>
      <x:c r="L58" s="45" t="n">
        <x:f>F58+I58</x:f>
        <x:v>0</x:v>
      </x:c>
      <x:c r="M58" s="45" t="n">
        <x:f>G58+J58</x:f>
        <x:v>3</x:v>
      </x:c>
      <x:c r="N58" s="45" t="n">
        <x:f>SUM(E58:G58)</x:f>
        <x:v>9</x:v>
      </x:c>
      <x:c r="O58" s="42" t="n">
        <x:f>IF(AND(E58&lt;=E10,E58&lt;=E42,E58&lt;=E26,F58&lt;=F62,F58&lt;=F50,F58&lt;=F54,G58&lt;=G61,G58&lt;=G60,G58&lt;=G59),1,0)</x:f>
        <x:v>0</x:v>
      </x:c>
      <x:c r="P58" s="42" t="n">
        <x:f>IF(AND(K58&lt;=K10,K58&lt;=K42,K58&lt;=K26,L58&lt;=L62,L58&lt;=L50,L58&lt;=L54,M58&lt;=M61,M58&lt;=M60,M58&lt;=M59),1,0)</x:f>
        <x:v>0</x:v>
      </x:c>
    </x:row>
    <x:row r="59">
      <x:c r="A59" t="str">
        <x:v>vol</x:v>
      </x:c>
      <x:c r="B59" t="str">
        <x:v>v</x:v>
      </x:c>
      <x:c r="C59" t="str">
        <x:v>o</x:v>
      </x:c>
      <x:c r="D59" t="str">
        <x:v>l</x:v>
      </x:c>
      <x:c r="E59" s="45" t="n">
        <x:f>2*'Inputs'!$B$4</x:f>
        <x:v>6</x:v>
      </x:c>
      <x:c r="F59" s="45" t="n">
        <x:f>0</x:f>
        <x:v>0</x:v>
      </x:c>
      <x:c r="G59" s="45" t="n">
        <x:f>1*'Inputs'!$B$6</x:f>
        <x:v>4</x:v>
      </x:c>
      <x:c r="H59" s="45" t="n">
        <x:f>0</x:f>
        <x:v>0</x:v>
      </x:c>
      <x:c r="I59" s="45" t="n">
        <x:f>0</x:f>
        <x:v>0</x:v>
      </x:c>
      <x:c r="J59" s="45" t="n">
        <x:f>0</x:f>
        <x:v>0</x:v>
      </x:c>
      <x:c r="K59" s="45" t="n">
        <x:f>E59+H59</x:f>
        <x:v>6</x:v>
      </x:c>
      <x:c r="L59" s="45" t="n">
        <x:f>F59+I59</x:f>
        <x:v>0</x:v>
      </x:c>
      <x:c r="M59" s="45" t="n">
        <x:f>G59+J59</x:f>
        <x:v>4</x:v>
      </x:c>
      <x:c r="N59" s="45" t="n">
        <x:f>SUM(E59:G59)</x:f>
        <x:v>10</x:v>
      </x:c>
      <x:c r="O59" s="42" t="n">
        <x:f>IF(AND(E59&lt;=E11,E59&lt;=E43,E59&lt;=E27,F59&lt;=F63,F59&lt;=F51,F59&lt;=F55,G59&lt;=G61,G59&lt;=G58,G59&lt;=G60),1,0)</x:f>
        <x:v>0</x:v>
      </x:c>
      <x:c r="P59" s="42" t="n">
        <x:f>IF(AND(K59&lt;=K11,K59&lt;=K43,K59&lt;=K27,L59&lt;=L63,L59&lt;=L51,L59&lt;=L55,M59&lt;=M61,M59&lt;=M58,M59&lt;=M60),1,0)</x:f>
        <x:v>0</x:v>
      </x:c>
    </x:row>
    <x:row r="60">
      <x:c r="A60" t="str">
        <x:v>voo</x:v>
      </x:c>
      <x:c r="B60" t="str">
        <x:v>v</x:v>
      </x:c>
      <x:c r="C60" t="str">
        <x:v>o</x:v>
      </x:c>
      <x:c r="D60" t="str">
        <x:v>o</x:v>
      </x:c>
      <x:c r="E60" s="45" t="n">
        <x:f>2*'Inputs'!$B$4</x:f>
        <x:v>6</x:v>
      </x:c>
      <x:c r="F60" s="45" t="n">
        <x:f>(1/2)*'Inputs'!$B$5+(1/2)*'Inputs'!$B$6</x:f>
        <x:v>2.5</x:v>
      </x:c>
      <x:c r="G60" s="45" t="n">
        <x:f>(1/2)*'Inputs'!$B$5+(1/2)*'Inputs'!$B$6</x:f>
        <x:v>2.5</x:v>
      </x:c>
      <x:c r="H60" s="45" t="n">
        <x:f>0</x:f>
        <x:v>0</x:v>
      </x:c>
      <x:c r="I60" s="45" t="n">
        <x:f>'Toll Rules'!$B$9</x:f>
        <x:v>2.5</x:v>
      </x:c>
      <x:c r="J60" s="45" t="n">
        <x:f>'Toll Rules'!$B$9</x:f>
        <x:v>2.5</x:v>
      </x:c>
      <x:c r="K60" s="45" t="n">
        <x:f>E60+H60</x:f>
        <x:v>6</x:v>
      </x:c>
      <x:c r="L60" s="45" t="n">
        <x:f>F60+I60</x:f>
        <x:v>5</x:v>
      </x:c>
      <x:c r="M60" s="45" t="n">
        <x:f>G60+J60</x:f>
        <x:v>5</x:v>
      </x:c>
      <x:c r="N60" s="45" t="n">
        <x:f>SUM(E60:G60)</x:f>
        <x:v>11</x:v>
      </x:c>
      <x:c r="O60" s="42" t="n">
        <x:f>IF(AND(E60&lt;=E12,E60&lt;=E44,E60&lt;=E28,F60&lt;=F64,F60&lt;=F52,F60&lt;=F56,G60&lt;=G61,G60&lt;=G58,G60&lt;=G59),1,0)</x:f>
        <x:v>0</x:v>
      </x:c>
      <x:c r="P60" s="42" t="n">
        <x:f>IF(AND(K60&lt;=K12,K60&lt;=K44,K60&lt;=K28,L60&lt;=L64,L60&lt;=L52,L60&lt;=L56,M60&lt;=M61,M60&lt;=M58,M60&lt;=M59),1,0)</x:f>
        <x:v>0</x:v>
      </x:c>
    </x:row>
    <x:row r="61">
      <x:c r="A61" t="str">
        <x:v>vov</x:v>
      </x:c>
      <x:c r="B61" t="str">
        <x:v>v</x:v>
      </x:c>
      <x:c r="C61" t="str">
        <x:v>o</x:v>
      </x:c>
      <x:c r="D61" t="str">
        <x:v>v</x:v>
      </x:c>
      <x:c r="E61" s="45" t="n">
        <x:f>(3/2)*'Inputs'!$B$4+(1/2)*'Inputs'!$B$5</x:f>
        <x:v>5</x:v>
      </x:c>
      <x:c r="F61" s="45" t="n">
        <x:f>0</x:f>
        <x:v>0</x:v>
      </x:c>
      <x:c r="G61" s="45" t="n">
        <x:f>(3/2)*'Inputs'!$B$4+(1/2)*'Inputs'!$B$5</x:f>
        <x:v>5</x:v>
      </x:c>
      <x:c r="H61" s="45" t="n">
        <x:f>'Toll Rules'!$B$6</x:f>
        <x:v>0</x:v>
      </x:c>
      <x:c r="I61" s="45" t="n">
        <x:f>0</x:f>
        <x:v>0</x:v>
      </x:c>
      <x:c r="J61" s="45" t="n">
        <x:f>'Toll Rules'!$B$6</x:f>
        <x:v>0</x:v>
      </x:c>
      <x:c r="K61" s="45" t="n">
        <x:f>E61+H61</x:f>
        <x:v>5</x:v>
      </x:c>
      <x:c r="L61" s="45" t="n">
        <x:f>F61+I61</x:f>
        <x:v>0</x:v>
      </x:c>
      <x:c r="M61" s="45" t="n">
        <x:f>G61+J61</x:f>
        <x:v>5</x:v>
      </x:c>
      <x:c r="N61" s="45" t="n">
        <x:f>SUM(E61:G61)</x:f>
        <x:v>10</x:v>
      </x:c>
      <x:c r="O61" s="42" t="n">
        <x:f>IF(AND(E61&lt;=E13,E61&lt;=E45,E61&lt;=E29,F61&lt;=F65,F61&lt;=F53,F61&lt;=F57,G61&lt;=G58,G61&lt;=G60,G61&lt;=G59),1,0)</x:f>
        <x:v>0</x:v>
      </x:c>
      <x:c r="P61" s="42" t="n">
        <x:f>IF(AND(K61&lt;=K13,K61&lt;=K45,K61&lt;=K29,L61&lt;=L65,L61&lt;=L53,L61&lt;=L57,M61&lt;=M58,M61&lt;=M60,M61&lt;=M59),1,0)</x:f>
        <x:v>0</x:v>
      </x:c>
    </x:row>
    <x:row r="62">
      <x:c r="A62" t="str">
        <x:v>vve</x:v>
      </x:c>
      <x:c r="B62" t="str">
        <x:v>v</x:v>
      </x:c>
      <x:c r="C62" t="str">
        <x:v>v</x:v>
      </x:c>
      <x:c r="D62" t="str">
        <x:v>e</x:v>
      </x:c>
      <x:c r="E62" s="45" t="n">
        <x:f>(3/2)*'Inputs'!$B$4+(1/2)*'Inputs'!$B$5</x:f>
        <x:v>5</x:v>
      </x:c>
      <x:c r="F62" s="45" t="n">
        <x:f>(3/2)*'Inputs'!$B$4+(1/2)*'Inputs'!$B$5</x:f>
        <x:v>5</x:v>
      </x:c>
      <x:c r="G62" s="45" t="n">
        <x:f>1*'Inputs'!$B$5</x:f>
        <x:v>1</x:v>
      </x:c>
      <x:c r="H62" s="45" t="n">
        <x:f>'Toll Rules'!$B$5</x:f>
        <x:v>0</x:v>
      </x:c>
      <x:c r="I62" s="45" t="n">
        <x:f>'Toll Rules'!$B$5</x:f>
        <x:v>0</x:v>
      </x:c>
      <x:c r="J62" s="45" t="n">
        <x:f>0</x:f>
        <x:v>0</x:v>
      </x:c>
      <x:c r="K62" s="45" t="n">
        <x:f>E62+H62</x:f>
        <x:v>5</x:v>
      </x:c>
      <x:c r="L62" s="45" t="n">
        <x:f>F62+I62</x:f>
        <x:v>5</x:v>
      </x:c>
      <x:c r="M62" s="45" t="n">
        <x:f>G62+J62</x:f>
        <x:v>1</x:v>
      </x:c>
      <x:c r="N62" s="45" t="n">
        <x:f>SUM(E62:G62)</x:f>
        <x:v>11</x:v>
      </x:c>
      <x:c r="O62" s="42" t="n">
        <x:f>IF(AND(E62&lt;=E14,E62&lt;=E46,E62&lt;=E30,F62&lt;=F50,F62&lt;=F58,F62&lt;=F54,G62&lt;=G65,G62&lt;=G64,G62&lt;=G63),1,0)</x:f>
        <x:v>0</x:v>
      </x:c>
      <x:c r="P62" s="42" t="n">
        <x:f>IF(AND(K62&lt;=K14,K62&lt;=K46,K62&lt;=K30,L62&lt;=L50,L62&lt;=L58,L62&lt;=L54,M62&lt;=M65,M62&lt;=M64,M62&lt;=M63),1,0)</x:f>
        <x:v>0</x:v>
      </x:c>
    </x:row>
    <x:row r="63">
      <x:c r="A63" t="str">
        <x:v>vvl</x:v>
      </x:c>
      <x:c r="B63" t="str">
        <x:v>v</x:v>
      </x:c>
      <x:c r="C63" t="str">
        <x:v>v</x:v>
      </x:c>
      <x:c r="D63" t="str">
        <x:v>l</x:v>
      </x:c>
      <x:c r="E63" s="45" t="n">
        <x:f>(3/2)*'Inputs'!$B$4+(1/2)*'Inputs'!$B$5</x:f>
        <x:v>5</x:v>
      </x:c>
      <x:c r="F63" s="45" t="n">
        <x:f>(3/2)*'Inputs'!$B$4+(1/2)*'Inputs'!$B$5</x:f>
        <x:v>5</x:v>
      </x:c>
      <x:c r="G63" s="45" t="n">
        <x:f>1*'Inputs'!$B$6</x:f>
        <x:v>4</x:v>
      </x:c>
      <x:c r="H63" s="45" t="n">
        <x:f>'Toll Rules'!$B$6</x:f>
        <x:v>0</x:v>
      </x:c>
      <x:c r="I63" s="45" t="n">
        <x:f>'Toll Rules'!$B$6</x:f>
        <x:v>0</x:v>
      </x:c>
      <x:c r="J63" s="45" t="n">
        <x:f>0</x:f>
        <x:v>0</x:v>
      </x:c>
      <x:c r="K63" s="45" t="n">
        <x:f>E63+H63</x:f>
        <x:v>5</x:v>
      </x:c>
      <x:c r="L63" s="45" t="n">
        <x:f>F63+I63</x:f>
        <x:v>5</x:v>
      </x:c>
      <x:c r="M63" s="45" t="n">
        <x:f>G63+J63</x:f>
        <x:v>4</x:v>
      </x:c>
      <x:c r="N63" s="45" t="n">
        <x:f>SUM(E63:G63)</x:f>
        <x:v>14</x:v>
      </x:c>
      <x:c r="O63" s="42" t="n">
        <x:f>IF(AND(E63&lt;=E15,E63&lt;=E47,E63&lt;=E31,F63&lt;=F51,F63&lt;=F59,F63&lt;=F55,G63&lt;=G65,G63&lt;=G62,G63&lt;=G64),1,0)</x:f>
        <x:v>0</x:v>
      </x:c>
      <x:c r="P63" s="42" t="n">
        <x:f>IF(AND(K63&lt;=K15,K63&lt;=K47,K63&lt;=K31,L63&lt;=L51,L63&lt;=L59,L63&lt;=L55,M63&lt;=M65,M63&lt;=M62,M63&lt;=M64),1,0)</x:f>
        <x:v>0</x:v>
      </x:c>
    </x:row>
    <x:row r="64">
      <x:c r="A64" t="str">
        <x:v>vvo</x:v>
      </x:c>
      <x:c r="B64" t="str">
        <x:v>v</x:v>
      </x:c>
      <x:c r="C64" t="str">
        <x:v>v</x:v>
      </x:c>
      <x:c r="D64" t="str">
        <x:v>o</x:v>
      </x:c>
      <x:c r="E64" s="45" t="n">
        <x:f>(3/2)*'Inputs'!$B$4+(1/2)*'Inputs'!$B$5</x:f>
        <x:v>5</x:v>
      </x:c>
      <x:c r="F64" s="45" t="n">
        <x:f>(3/2)*'Inputs'!$B$4+(1/2)*'Inputs'!$B$5</x:f>
        <x:v>5</x:v>
      </x:c>
      <x:c r="G64" s="45" t="n">
        <x:f>0</x:f>
        <x:v>0</x:v>
      </x:c>
      <x:c r="H64" s="45" t="n">
        <x:f>'Toll Rules'!$B$6</x:f>
        <x:v>0</x:v>
      </x:c>
      <x:c r="I64" s="45" t="n">
        <x:f>'Toll Rules'!$B$6</x:f>
        <x:v>0</x:v>
      </x:c>
      <x:c r="J64" s="45" t="n">
        <x:f>0</x:f>
        <x:v>0</x:v>
      </x:c>
      <x:c r="K64" s="45" t="n">
        <x:f>E64+H64</x:f>
        <x:v>5</x:v>
      </x:c>
      <x:c r="L64" s="45" t="n">
        <x:f>F64+I64</x:f>
        <x:v>5</x:v>
      </x:c>
      <x:c r="M64" s="45" t="n">
        <x:f>G64+J64</x:f>
        <x:v>0</x:v>
      </x:c>
      <x:c r="N64" s="45" t="n">
        <x:f>SUM(E64:G64)</x:f>
        <x:v>10</x:v>
      </x:c>
      <x:c r="O64" s="42" t="n">
        <x:f>IF(AND(E64&lt;=E16,E64&lt;=E48,E64&lt;=E32,F64&lt;=F52,F64&lt;=F60,F64&lt;=F56,G64&lt;=G65,G64&lt;=G62,G64&lt;=G63),1,0)</x:f>
        <x:v>0</x:v>
      </x:c>
      <x:c r="P64" s="42" t="n">
        <x:f>IF(AND(K64&lt;=K16,K64&lt;=K48,K64&lt;=K32,L64&lt;=L52,L64&lt;=L60,L64&lt;=L56,M64&lt;=M65,M64&lt;=M62,M64&lt;=M63),1,0)</x:f>
        <x:v>0</x:v>
      </x:c>
    </x:row>
    <x:row r="65">
      <x:c r="A65" t="str">
        <x:v>vvv</x:v>
      </x:c>
      <x:c r="B65" t="str">
        <x:v>v</x:v>
      </x:c>
      <x:c r="C65" t="str">
        <x:v>v</x:v>
      </x:c>
      <x:c r="D65" t="str">
        <x:v>v</x:v>
      </x:c>
      <x:c r="E65" s="45" t="n">
        <x:f>1*'Inputs'!$B$4+1*'Inputs'!$B$5</x:f>
        <x:v>4</x:v>
      </x:c>
      <x:c r="F65" s="45" t="n">
        <x:f>1*'Inputs'!$B$4+1*'Inputs'!$B$5</x:f>
        <x:v>4</x:v>
      </x:c>
      <x:c r="G65" s="45" t="n">
        <x:f>1*'Inputs'!$B$4+1*'Inputs'!$B$5</x:f>
        <x:v>4</x:v>
      </x:c>
      <x:c r="H65" s="45" t="n">
        <x:f>'Toll Rules'!$B$4</x:f>
        <x:v>0</x:v>
      </x:c>
      <x:c r="I65" s="45" t="n">
        <x:f>'Toll Rules'!$B$4</x:f>
        <x:v>0</x:v>
      </x:c>
      <x:c r="J65" s="45" t="n">
        <x:f>'Toll Rules'!$B$4</x:f>
        <x:v>0</x:v>
      </x:c>
      <x:c r="K65" s="45" t="n">
        <x:f>E65+H65</x:f>
        <x:v>4</x:v>
      </x:c>
      <x:c r="L65" s="45" t="n">
        <x:f>F65+I65</x:f>
        <x:v>4</x:v>
      </x:c>
      <x:c r="M65" s="45" t="n">
        <x:f>G65+J65</x:f>
        <x:v>4</x:v>
      </x:c>
      <x:c r="N65" s="45" t="n">
        <x:f>SUM(E65:G65)</x:f>
        <x:v>12</x:v>
      </x:c>
      <x:c r="O65" s="42" t="n">
        <x:f>IF(AND(E65&lt;=E17,E65&lt;=E49,E65&lt;=E33,F65&lt;=F53,F65&lt;=F61,F65&lt;=F57,G65&lt;=G62,G65&lt;=G64,G65&lt;=G63),1,0)</x:f>
        <x:v>0</x:v>
      </x:c>
      <x:c r="P65" s="42" t="n">
        <x:f>IF(AND(K65&lt;=K17,K65&lt;=K49,K65&lt;=K33,L65&lt;=L53,L65&lt;=L61,L65&lt;=L57,M65&lt;=M62,M65&lt;=M64,M65&lt;=M63),1,0)</x:f>
        <x:v>0</x:v>
      </x:c>
    </x:row>
  </x:sheetData>
  <x:conditionalFormatting sqref="O2:P65">
    <x:cfRule type="cellIs" dxfId="0" priority="1" operator="equal">
      <x:formula>1</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9" hidden="0" customWidth="1"/>
    <x:col min="3" max="3" width="9" hidden="0" customWidth="1"/>
    <x:col min="4" max="4" width="9" hidden="0" customWidth="1"/>
    <x:col min="5" max="5" width="9"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4" hidden="0" customWidth="1"/>
    <x:col min="17" max="17" width="14" hidden="0" customWidth="1"/>
    <x:col min="18" max="18" width="14" hidden="0" customWidth="1"/>
    <x:col min="19" max="19" width="14" hidden="0" customWidth="1"/>
  </x:cols>
  <x:sheetData>
    <x:row r="1">
      <x:c r="A1" s="26" t="str">
        <x:v>Case</x:v>
      </x:c>
      <x:c r="B1" s="39" t="str">
        <x:v>E</x:v>
      </x:c>
      <x:c r="C1" s="39" t="str">
        <x:v>D</x:v>
      </x:c>
      <x:c r="D1" s="39" t="str">
        <x:v>L</x:v>
      </x:c>
      <x:c r="E1" s="39" t="str">
        <x:v>Profile</x:v>
      </x:c>
      <x:c r="F1" s="39" t="str">
        <x:v>Private A</x:v>
      </x:c>
      <x:c r="G1" s="39" t="str">
        <x:v>Private B</x:v>
      </x:c>
      <x:c r="H1" s="39" t="str">
        <x:v>Private C</x:v>
      </x:c>
      <x:c r="I1" s="39" t="str">
        <x:v>Toll A</x:v>
      </x:c>
      <x:c r="J1" s="39" t="str">
        <x:v>Toll B</x:v>
      </x:c>
      <x:c r="K1" s="39" t="str">
        <x:v>Toll C</x:v>
      </x:c>
      <x:c r="L1" s="39" t="str">
        <x:v>Priced A</x:v>
      </x:c>
      <x:c r="M1" s="39" t="str">
        <x:v>Priced B</x:v>
      </x:c>
      <x:c r="N1" s="39" t="str">
        <x:v>Priced C</x:v>
      </x:c>
      <x:c r="O1" s="39" t="str">
        <x:v>Total private</x:v>
      </x:c>
      <x:c r="P1" s="39" t="str">
        <x:v>Unpriced PSNE</x:v>
      </x:c>
      <x:c r="Q1" s="39" t="str">
        <x:v>Priced PSNE</x:v>
      </x:c>
      <x:c r="R1" s="39" t="str">
        <x:v>Published U</x:v>
      </x:c>
      <x:c r="S1" s="27" t="str">
        <x:v>Published P</x:v>
      </x:c>
    </x:row>
    <x:row r="2">
      <x:c r="A2" t="n">
        <x:v>1</x:v>
      </x:c>
      <x:c r="B2" t="n">
        <x:v>0</x:v>
      </x:c>
      <x:c r="C2" t="n">
        <x:v>0</x:v>
      </x:c>
      <x:c r="D2" t="n">
        <x:v>0</x:v>
      </x:c>
      <x:c r="E2" t="str">
        <x:v>eee</x:v>
      </x:c>
      <x:c r="F2" s="45" t="n">
        <x:f>(1/3)*$B2+1*$C2+(1/3)*$D2</x:f>
        <x:v>0</x:v>
      </x:c>
      <x:c r="G2" s="45" t="n">
        <x:f>(1/3)*$B2+1*$C2+(1/3)*$D2</x:f>
        <x:v>0</x:v>
      </x:c>
      <x:c r="H2" s="45" t="n">
        <x:f>(1/3)*$B2+1*$C2+(1/3)*$D2</x:f>
        <x:v>0</x:v>
      </x:c>
      <x:c r="I2" s="45" t="n">
        <x:f>MAX($C2+(2/3)*$D2-(1/3)*$B2,0)</x:f>
        <x:v>0</x:v>
      </x:c>
      <x:c r="J2" s="45" t="n">
        <x:f>MAX($C2+(2/3)*$D2-(1/3)*$B2,0)</x:f>
        <x:v>0</x:v>
      </x:c>
      <x:c r="K2" s="45" t="n">
        <x:f>MAX($C2+(2/3)*$D2-(1/3)*$B2,0)</x:f>
        <x:v>0</x:v>
      </x:c>
      <x:c r="L2" s="45" t="n">
        <x:f>F2+I2</x:f>
        <x:v>0</x:v>
      </x:c>
      <x:c r="M2" s="45" t="n">
        <x:f>G2+J2</x:f>
        <x:v>0</x:v>
      </x:c>
      <x:c r="N2" s="45" t="n">
        <x:f>H2+K2</x:f>
        <x:v>0</x:v>
      </x:c>
      <x:c r="O2" s="45" t="n">
        <x:f>SUM(F2:H2)</x:f>
        <x:v>0</x:v>
      </x:c>
      <x:c r="P2" s="42" t="n">
        <x:f>IF(AND(F2&lt;=F50,F2&lt;=F34,F2&lt;=F18,G2&lt;=G14,G2&lt;=G10,G2&lt;=G6,H2&lt;=H5,H2&lt;=H4,H2&lt;=H3),1,0)</x:f>
        <x:v>1</x:v>
      </x:c>
      <x:c r="Q2" s="42" t="n">
        <x:f>IF(AND(L2&lt;=L50,L2&lt;=L34,L2&lt;=L18,M2&lt;=M14,M2&lt;=M10,M2&lt;=M6,N2&lt;=N5,N2&lt;=N4,N2&lt;=N3),1,0)</x:f>
        <x:v>1</x:v>
      </x:c>
      <x:c r="R2" s="42" t="n">
        <x:v>1</x:v>
      </x:c>
      <x:c r="S2" s="42" t="n">
        <x:v>1</x:v>
      </x:c>
    </x:row>
    <x:row r="3">
      <x:c r="A3" t="n">
        <x:v>1</x:v>
      </x:c>
      <x:c r="B3" t="n">
        <x:v>0</x:v>
      </x:c>
      <x:c r="C3" t="n">
        <x:v>0</x:v>
      </x:c>
      <x:c r="D3" t="n">
        <x:v>0</x:v>
      </x:c>
      <x:c r="E3" t="str">
        <x:v>eel</x:v>
      </x:c>
      <x:c r="F3" s="45" t="n">
        <x:f>(1/2)*$B3+(1/2)*$C3</x:f>
        <x:v>0</x:v>
      </x:c>
      <x:c r="G3" s="45" t="n">
        <x:f>(1/2)*$B3+(1/2)*$C3</x:f>
        <x:v>0</x:v>
      </x:c>
      <x:c r="H3" s="45" t="n">
        <x:f>1*$D3</x:f>
        <x:v>0</x:v>
      </x:c>
      <x:c r="I3" s="45" t="n">
        <x:f>MAX((1/2)*($C3-$B3),0)</x:f>
        <x:v>0</x:v>
      </x:c>
      <x:c r="J3" s="45" t="n">
        <x:f>MAX((1/2)*($C3-$B3),0)</x:f>
        <x:v>0</x:v>
      </x:c>
      <x:c r="K3" s="45" t="n">
        <x:f>0</x:f>
        <x:v>0</x:v>
      </x:c>
      <x:c r="L3" s="45" t="n">
        <x:f>F3+I3</x:f>
        <x:v>0</x:v>
      </x:c>
      <x:c r="M3" s="45" t="n">
        <x:f>G3+J3</x:f>
        <x:v>0</x:v>
      </x:c>
      <x:c r="N3" s="45" t="n">
        <x:f>H3+K3</x:f>
        <x:v>0</x:v>
      </x:c>
      <x:c r="O3" s="45" t="n">
        <x:f>SUM(F3:H3)</x:f>
        <x:v>0</x:v>
      </x:c>
      <x:c r="P3" s="42" t="n">
        <x:f>IF(AND(F3&lt;=F51,F3&lt;=F35,F3&lt;=F19,G3&lt;=G15,G3&lt;=G11,G3&lt;=G7,H3&lt;=H5,H3&lt;=H2,H3&lt;=H4),1,0)</x:f>
        <x:v>1</x:v>
      </x:c>
      <x:c r="Q3" s="42" t="n">
        <x:f>IF(AND(L3&lt;=L51,L3&lt;=L35,L3&lt;=L19,M3&lt;=M15,M3&lt;=M11,M3&lt;=M7,N3&lt;=N5,N3&lt;=N2,N3&lt;=N4),1,0)</x:f>
        <x:v>1</x:v>
      </x:c>
      <x:c r="R3" s="42" t="n">
        <x:v>1</x:v>
      </x:c>
      <x:c r="S3" s="42" t="n">
        <x:v>1</x:v>
      </x:c>
    </x:row>
    <x:row r="4">
      <x:c r="A4" t="n">
        <x:v>1</x:v>
      </x:c>
      <x:c r="B4" t="n">
        <x:v>0</x:v>
      </x:c>
      <x:c r="C4" t="n">
        <x:v>0</x:v>
      </x:c>
      <x:c r="D4" t="n">
        <x:v>0</x:v>
      </x:c>
      <x:c r="E4" t="str">
        <x:v>eeo</x:v>
      </x:c>
      <x:c r="F4" s="45" t="n">
        <x:f>(1/2)*$B4+(1/2)*$C4</x:f>
        <x:v>0</x:v>
      </x:c>
      <x:c r="G4" s="45" t="n">
        <x:f>(1/2)*$B4+(1/2)*$C4</x:f>
        <x:v>0</x:v>
      </x:c>
      <x:c r="H4" s="45" t="n">
        <x:f>1*$C4+1*$D4</x:f>
        <x:v>0</x:v>
      </x:c>
      <x:c r="I4" s="45" t="n">
        <x:f>MAX((3/2)*$C4+$D4-(1/2)*$B4,0)</x:f>
        <x:v>0</x:v>
      </x:c>
      <x:c r="J4" s="45" t="n">
        <x:f>MAX((3/2)*$C4+$D4-(1/2)*$B4,0)</x:f>
        <x:v>0</x:v>
      </x:c>
      <x:c r="K4" s="45" t="n">
        <x:f>0</x:f>
        <x:v>0</x:v>
      </x:c>
      <x:c r="L4" s="45" t="n">
        <x:f>F4+I4</x:f>
        <x:v>0</x:v>
      </x:c>
      <x:c r="M4" s="45" t="n">
        <x:f>G4+J4</x:f>
        <x:v>0</x:v>
      </x:c>
      <x:c r="N4" s="45" t="n">
        <x:f>H4+K4</x:f>
        <x:v>0</x:v>
      </x:c>
      <x:c r="O4" s="45" t="n">
        <x:f>SUM(F4:H4)</x:f>
        <x:v>0</x:v>
      </x:c>
      <x:c r="P4" s="42" t="n">
        <x:f>IF(AND(F4&lt;=F52,F4&lt;=F36,F4&lt;=F20,G4&lt;=G16,G4&lt;=G12,G4&lt;=G8,H4&lt;=H5,H4&lt;=H2,H4&lt;=H3),1,0)</x:f>
        <x:v>1</x:v>
      </x:c>
      <x:c r="Q4" s="42" t="n">
        <x:f>IF(AND(L4&lt;=L52,L4&lt;=L36,L4&lt;=L20,M4&lt;=M16,M4&lt;=M12,M4&lt;=M8,N4&lt;=N5,N4&lt;=N2,N4&lt;=N3),1,0)</x:f>
        <x:v>1</x:v>
      </x:c>
      <x:c r="R4" s="42" t="n">
        <x:v>1</x:v>
      </x:c>
      <x:c r="S4" s="42" t="n">
        <x:v>1</x:v>
      </x:c>
    </x:row>
    <x:row r="5">
      <x:c r="A5" t="n">
        <x:v>1</x:v>
      </x:c>
      <x:c r="B5" t="n">
        <x:v>0</x:v>
      </x:c>
      <x:c r="C5" t="n">
        <x:v>0</x:v>
      </x:c>
      <x:c r="D5" t="n">
        <x:v>0</x:v>
      </x:c>
      <x:c r="E5" t="str">
        <x:v>eev</x:v>
      </x:c>
      <x:c r="F5" s="45" t="n">
        <x:f>(1/2)*$B5+(1/2)*$C5</x:f>
        <x:v>0</x:v>
      </x:c>
      <x:c r="G5" s="45" t="n">
        <x:f>(1/2)*$B5+(1/2)*$C5</x:f>
        <x:v>0</x:v>
      </x:c>
      <x:c r="H5" s="45" t="n">
        <x:f>2*$B5</x:f>
        <x:v>0</x:v>
      </x:c>
      <x:c r="I5" s="45" t="n">
        <x:f>MAX((1/2)*($C5-$B5),0)</x:f>
        <x:v>0</x:v>
      </x:c>
      <x:c r="J5" s="45" t="n">
        <x:f>MAX((1/2)*($C5-$B5),0)</x:f>
        <x:v>0</x:v>
      </x:c>
      <x:c r="K5" s="45" t="n">
        <x:f>0</x:f>
        <x:v>0</x:v>
      </x:c>
      <x:c r="L5" s="45" t="n">
        <x:f>F5+I5</x:f>
        <x:v>0</x:v>
      </x:c>
      <x:c r="M5" s="45" t="n">
        <x:f>G5+J5</x:f>
        <x:v>0</x:v>
      </x:c>
      <x:c r="N5" s="45" t="n">
        <x:f>H5+K5</x:f>
        <x:v>0</x:v>
      </x:c>
      <x:c r="O5" s="45" t="n">
        <x:f>SUM(F5:H5)</x:f>
        <x:v>0</x:v>
      </x:c>
      <x:c r="P5" s="42" t="n">
        <x:f>IF(AND(F5&lt;=F53,F5&lt;=F37,F5&lt;=F21,G5&lt;=G17,G5&lt;=G13,G5&lt;=G9,H5&lt;=H2,H5&lt;=H4,H5&lt;=H3),1,0)</x:f>
        <x:v>1</x:v>
      </x:c>
      <x:c r="Q5" s="42" t="n">
        <x:f>IF(AND(L5&lt;=L53,L5&lt;=L37,L5&lt;=L21,M5&lt;=M17,M5&lt;=M13,M5&lt;=M9,N5&lt;=N2,N5&lt;=N4,N5&lt;=N3),1,0)</x:f>
        <x:v>1</x:v>
      </x:c>
      <x:c r="R5" s="42" t="n">
        <x:v>1</x:v>
      </x:c>
      <x:c r="S5" s="42" t="n">
        <x:v>1</x:v>
      </x:c>
    </x:row>
    <x:row r="6">
      <x:c r="A6" t="n">
        <x:v>1</x:v>
      </x:c>
      <x:c r="B6" t="n">
        <x:v>0</x:v>
      </x:c>
      <x:c r="C6" t="n">
        <x:v>0</x:v>
      </x:c>
      <x:c r="D6" t="n">
        <x:v>0</x:v>
      </x:c>
      <x:c r="E6" t="str">
        <x:v>ele</x:v>
      </x:c>
      <x:c r="F6" s="45" t="n">
        <x:f>(1/2)*$B6+(1/2)*$C6</x:f>
        <x:v>0</x:v>
      </x:c>
      <x:c r="G6" s="45" t="n">
        <x:f>1*$D6</x:f>
        <x:v>0</x:v>
      </x:c>
      <x:c r="H6" s="45" t="n">
        <x:f>(1/2)*$B6+(1/2)*$C6</x:f>
        <x:v>0</x:v>
      </x:c>
      <x:c r="I6" s="45" t="n">
        <x:f>MAX((1/2)*($C6-$B6),0)</x:f>
        <x:v>0</x:v>
      </x:c>
      <x:c r="J6" s="45" t="n">
        <x:f>0</x:f>
        <x:v>0</x:v>
      </x:c>
      <x:c r="K6" s="45" t="n">
        <x:f>MAX((1/2)*($C6-$B6),0)</x:f>
        <x:v>0</x:v>
      </x:c>
      <x:c r="L6" s="45" t="n">
        <x:f>F6+I6</x:f>
        <x:v>0</x:v>
      </x:c>
      <x:c r="M6" s="45" t="n">
        <x:f>G6+J6</x:f>
        <x:v>0</x:v>
      </x:c>
      <x:c r="N6" s="45" t="n">
        <x:f>H6+K6</x:f>
        <x:v>0</x:v>
      </x:c>
      <x:c r="O6" s="45" t="n">
        <x:f>SUM(F6:H6)</x:f>
        <x:v>0</x:v>
      </x:c>
      <x:c r="P6" s="42" t="n">
        <x:f>IF(AND(F6&lt;=F54,F6&lt;=F38,F6&lt;=F22,G6&lt;=G14,G6&lt;=G2,G6&lt;=G10,H6&lt;=H9,H6&lt;=H8,H6&lt;=H7),1,0)</x:f>
        <x:v>1</x:v>
      </x:c>
      <x:c r="Q6" s="42" t="n">
        <x:f>IF(AND(L6&lt;=L54,L6&lt;=L38,L6&lt;=L22,M6&lt;=M14,M6&lt;=M2,M6&lt;=M10,N6&lt;=N9,N6&lt;=N8,N6&lt;=N7),1,0)</x:f>
        <x:v>1</x:v>
      </x:c>
      <x:c r="R6" s="42" t="n">
        <x:v>1</x:v>
      </x:c>
      <x:c r="S6" s="42" t="n">
        <x:v>1</x:v>
      </x:c>
    </x:row>
    <x:row r="7">
      <x:c r="A7" t="n">
        <x:v>1</x:v>
      </x:c>
      <x:c r="B7" t="n">
        <x:v>0</x:v>
      </x:c>
      <x:c r="C7" t="n">
        <x:v>0</x:v>
      </x:c>
      <x:c r="D7" t="n">
        <x:v>0</x:v>
      </x:c>
      <x:c r="E7" t="str">
        <x:v>ell</x:v>
      </x:c>
      <x:c r="F7" s="45" t="n">
        <x:f>1*$B7</x:f>
        <x:v>0</x:v>
      </x:c>
      <x:c r="G7" s="45" t="n">
        <x:f>(1/2)*$C7+(3/2)*$D7</x:f>
        <x:v>0</x:v>
      </x:c>
      <x:c r="H7" s="45" t="n">
        <x:f>(1/2)*$C7+(3/2)*$D7</x:f>
        <x:v>0</x:v>
      </x:c>
      <x:c r="I7" s="45" t="n">
        <x:f>0</x:f>
        <x:v>0</x:v>
      </x:c>
      <x:c r="J7" s="45" t="n">
        <x:f>(1/2)*($C7+$D7)</x:f>
        <x:v>0</x:v>
      </x:c>
      <x:c r="K7" s="45" t="n">
        <x:f>(1/2)*($C7+$D7)</x:f>
        <x:v>0</x:v>
      </x:c>
      <x:c r="L7" s="45" t="n">
        <x:f>F7+I7</x:f>
        <x:v>0</x:v>
      </x:c>
      <x:c r="M7" s="45" t="n">
        <x:f>G7+J7</x:f>
        <x:v>0</x:v>
      </x:c>
      <x:c r="N7" s="45" t="n">
        <x:f>H7+K7</x:f>
        <x:v>0</x:v>
      </x:c>
      <x:c r="O7" s="45" t="n">
        <x:f>SUM(F7:H7)</x:f>
        <x:v>0</x:v>
      </x:c>
      <x:c r="P7" s="42" t="n">
        <x:f>IF(AND(F7&lt;=F55,F7&lt;=F39,F7&lt;=F23,G7&lt;=G15,G7&lt;=G3,G7&lt;=G11,H7&lt;=H9,H7&lt;=H6,H7&lt;=H8),1,0)</x:f>
        <x:v>1</x:v>
      </x:c>
      <x:c r="Q7" s="42" t="n">
        <x:f>IF(AND(L7&lt;=L55,L7&lt;=L39,L7&lt;=L23,M7&lt;=M15,M7&lt;=M3,M7&lt;=M11,N7&lt;=N9,N7&lt;=N6,N7&lt;=N8),1,0)</x:f>
        <x:v>1</x:v>
      </x:c>
      <x:c r="R7" s="42" t="n">
        <x:v>1</x:v>
      </x:c>
      <x:c r="S7" s="42" t="n">
        <x:v>1</x:v>
      </x:c>
    </x:row>
    <x:row r="8">
      <x:c r="A8" t="n">
        <x:v>1</x:v>
      </x:c>
      <x:c r="B8" t="n">
        <x:v>0</x:v>
      </x:c>
      <x:c r="C8" t="n">
        <x:v>0</x:v>
      </x:c>
      <x:c r="D8" t="n">
        <x:v>0</x:v>
      </x:c>
      <x:c r="E8" t="str">
        <x:v>elo</x:v>
      </x:c>
      <x:c r="F8" s="45" t="n">
        <x:f>1*$B8</x:f>
        <x:v>0</x:v>
      </x:c>
      <x:c r="G8" s="45" t="n">
        <x:f>1*$D8</x:f>
        <x:v>0</x:v>
      </x:c>
      <x:c r="H8" s="45" t="n">
        <x:f>0</x:f>
        <x:v>0</x:v>
      </x:c>
      <x:c r="I8" s="45" t="n">
        <x:f>0</x:f>
        <x:v>0</x:v>
      </x:c>
      <x:c r="J8" s="45" t="n">
        <x:f>0</x:f>
        <x:v>0</x:v>
      </x:c>
      <x:c r="K8" s="45" t="n">
        <x:f>0</x:f>
        <x:v>0</x:v>
      </x:c>
      <x:c r="L8" s="45" t="n">
        <x:f>F8+I8</x:f>
        <x:v>0</x:v>
      </x:c>
      <x:c r="M8" s="45" t="n">
        <x:f>G8+J8</x:f>
        <x:v>0</x:v>
      </x:c>
      <x:c r="N8" s="45" t="n">
        <x:f>H8+K8</x:f>
        <x:v>0</x:v>
      </x:c>
      <x:c r="O8" s="45" t="n">
        <x:f>SUM(F8:H8)</x:f>
        <x:v>0</x:v>
      </x:c>
      <x:c r="P8" s="42" t="n">
        <x:f>IF(AND(F8&lt;=F56,F8&lt;=F40,F8&lt;=F24,G8&lt;=G16,G8&lt;=G4,G8&lt;=G12,H8&lt;=H9,H8&lt;=H6,H8&lt;=H7),1,0)</x:f>
        <x:v>1</x:v>
      </x:c>
      <x:c r="Q8" s="42" t="n">
        <x:f>IF(AND(L8&lt;=L56,L8&lt;=L40,L8&lt;=L24,M8&lt;=M16,M8&lt;=M4,M8&lt;=M12,N8&lt;=N9,N8&lt;=N6,N8&lt;=N7),1,0)</x:f>
        <x:v>1</x:v>
      </x:c>
      <x:c r="R8" s="42" t="n">
        <x:v>1</x:v>
      </x:c>
      <x:c r="S8" s="42" t="n">
        <x:v>1</x:v>
      </x:c>
    </x:row>
    <x:row r="9">
      <x:c r="A9" t="n">
        <x:v>1</x:v>
      </x:c>
      <x:c r="B9" t="n">
        <x:v>0</x:v>
      </x:c>
      <x:c r="C9" t="n">
        <x:v>0</x:v>
      </x:c>
      <x:c r="D9" t="n">
        <x:v>0</x:v>
      </x:c>
      <x:c r="E9" t="str">
        <x:v>elv</x:v>
      </x:c>
      <x:c r="F9" s="45" t="n">
        <x:f>1*$B9</x:f>
        <x:v>0</x:v>
      </x:c>
      <x:c r="G9" s="45" t="n">
        <x:f>1*$D9</x:f>
        <x:v>0</x:v>
      </x:c>
      <x:c r="H9" s="45" t="n">
        <x:f>2*$B9</x:f>
        <x:v>0</x:v>
      </x:c>
      <x:c r="I9" s="45" t="n">
        <x:f>0</x:f>
        <x:v>0</x:v>
      </x:c>
      <x:c r="J9" s="45" t="n">
        <x:f>0</x:f>
        <x:v>0</x:v>
      </x:c>
      <x:c r="K9" s="45" t="n">
        <x:f>0</x:f>
        <x:v>0</x:v>
      </x:c>
      <x:c r="L9" s="45" t="n">
        <x:f>F9+I9</x:f>
        <x:v>0</x:v>
      </x:c>
      <x:c r="M9" s="45" t="n">
        <x:f>G9+J9</x:f>
        <x:v>0</x:v>
      </x:c>
      <x:c r="N9" s="45" t="n">
        <x:f>H9+K9</x:f>
        <x:v>0</x:v>
      </x:c>
      <x:c r="O9" s="45" t="n">
        <x:f>SUM(F9:H9)</x:f>
        <x:v>0</x:v>
      </x:c>
      <x:c r="P9" s="42" t="n">
        <x:f>IF(AND(F9&lt;=F57,F9&lt;=F41,F9&lt;=F25,G9&lt;=G17,G9&lt;=G5,G9&lt;=G13,H9&lt;=H6,H9&lt;=H8,H9&lt;=H7),1,0)</x:f>
        <x:v>1</x:v>
      </x:c>
      <x:c r="Q9" s="42" t="n">
        <x:f>IF(AND(L9&lt;=L57,L9&lt;=L41,L9&lt;=L25,M9&lt;=M17,M9&lt;=M5,M9&lt;=M13,N9&lt;=N6,N9&lt;=N8,N9&lt;=N7),1,0)</x:f>
        <x:v>1</x:v>
      </x:c>
      <x:c r="R9" s="42" t="n">
        <x:v>1</x:v>
      </x:c>
      <x:c r="S9" s="42" t="n">
        <x:v>1</x:v>
      </x:c>
    </x:row>
    <x:row r="10">
      <x:c r="A10" t="n">
        <x:v>1</x:v>
      </x:c>
      <x:c r="B10" t="n">
        <x:v>0</x:v>
      </x:c>
      <x:c r="C10" t="n">
        <x:v>0</x:v>
      </x:c>
      <x:c r="D10" t="n">
        <x:v>0</x:v>
      </x:c>
      <x:c r="E10" t="str">
        <x:v>eoe</x:v>
      </x:c>
      <x:c r="F10" s="45" t="n">
        <x:f>(1/2)*$B10+(1/2)*$C10</x:f>
        <x:v>0</x:v>
      </x:c>
      <x:c r="G10" s="45" t="n">
        <x:f>1*$C10+1*$D10</x:f>
        <x:v>0</x:v>
      </x:c>
      <x:c r="H10" s="45" t="n">
        <x:f>(1/2)*$B10+(1/2)*$C10</x:f>
        <x:v>0</x:v>
      </x:c>
      <x:c r="I10" s="45" t="n">
        <x:f>MAX((3/2)*$C10+$D10-(1/2)*$B10,0)</x:f>
        <x:v>0</x:v>
      </x:c>
      <x:c r="J10" s="45" t="n">
        <x:f>0</x:f>
        <x:v>0</x:v>
      </x:c>
      <x:c r="K10" s="45" t="n">
        <x:f>MAX((3/2)*$C10+$D10-(1/2)*$B10,0)</x:f>
        <x:v>0</x:v>
      </x:c>
      <x:c r="L10" s="45" t="n">
        <x:f>F10+I10</x:f>
        <x:v>0</x:v>
      </x:c>
      <x:c r="M10" s="45" t="n">
        <x:f>G10+J10</x:f>
        <x:v>0</x:v>
      </x:c>
      <x:c r="N10" s="45" t="n">
        <x:f>H10+K10</x:f>
        <x:v>0</x:v>
      </x:c>
      <x:c r="O10" s="45" t="n">
        <x:f>SUM(F10:H10)</x:f>
        <x:v>0</x:v>
      </x:c>
      <x:c r="P10" s="42" t="n">
        <x:f>IF(AND(F10&lt;=F58,F10&lt;=F42,F10&lt;=F26,G10&lt;=G14,G10&lt;=G2,G10&lt;=G6,H10&lt;=H13,H10&lt;=H12,H10&lt;=H11),1,0)</x:f>
        <x:v>1</x:v>
      </x:c>
      <x:c r="Q10" s="42" t="n">
        <x:f>IF(AND(L10&lt;=L58,L10&lt;=L42,L10&lt;=L26,M10&lt;=M14,M10&lt;=M2,M10&lt;=M6,N10&lt;=N13,N10&lt;=N12,N10&lt;=N11),1,0)</x:f>
        <x:v>1</x:v>
      </x:c>
      <x:c r="R10" s="42" t="n">
        <x:v>1</x:v>
      </x:c>
      <x:c r="S10" s="42" t="n">
        <x:v>1</x:v>
      </x:c>
    </x:row>
    <x:row r="11">
      <x:c r="A11" t="n">
        <x:v>1</x:v>
      </x:c>
      <x:c r="B11" t="n">
        <x:v>0</x:v>
      </x:c>
      <x:c r="C11" t="n">
        <x:v>0</x:v>
      </x:c>
      <x:c r="D11" t="n">
        <x:v>0</x:v>
      </x:c>
      <x:c r="E11" t="str">
        <x:v>eol</x:v>
      </x:c>
      <x:c r="F11" s="45" t="n">
        <x:f>1*$B11</x:f>
        <x:v>0</x:v>
      </x:c>
      <x:c r="G11" s="45" t="n">
        <x:f>0</x:f>
        <x:v>0</x:v>
      </x:c>
      <x:c r="H11" s="45" t="n">
        <x:f>1*$D11</x:f>
        <x:v>0</x:v>
      </x:c>
      <x:c r="I11" s="45" t="n">
        <x:f>0</x:f>
        <x:v>0</x:v>
      </x:c>
      <x:c r="J11" s="45" t="n">
        <x:f>0</x:f>
        <x:v>0</x:v>
      </x:c>
      <x:c r="K11" s="45" t="n">
        <x:f>0</x:f>
        <x:v>0</x:v>
      </x:c>
      <x:c r="L11" s="45" t="n">
        <x:f>F11+I11</x:f>
        <x:v>0</x:v>
      </x:c>
      <x:c r="M11" s="45" t="n">
        <x:f>G11+J11</x:f>
        <x:v>0</x:v>
      </x:c>
      <x:c r="N11" s="45" t="n">
        <x:f>H11+K11</x:f>
        <x:v>0</x:v>
      </x:c>
      <x:c r="O11" s="45" t="n">
        <x:f>SUM(F11:H11)</x:f>
        <x:v>0</x:v>
      </x:c>
      <x:c r="P11" s="42" t="n">
        <x:f>IF(AND(F11&lt;=F59,F11&lt;=F43,F11&lt;=F27,G11&lt;=G15,G11&lt;=G3,G11&lt;=G7,H11&lt;=H13,H11&lt;=H10,H11&lt;=H12),1,0)</x:f>
        <x:v>1</x:v>
      </x:c>
      <x:c r="Q11" s="42" t="n">
        <x:f>IF(AND(L11&lt;=L59,L11&lt;=L43,L11&lt;=L27,M11&lt;=M15,M11&lt;=M3,M11&lt;=M7,N11&lt;=N13,N11&lt;=N10,N11&lt;=N12),1,0)</x:f>
        <x:v>1</x:v>
      </x:c>
      <x:c r="R11" s="42" t="n">
        <x:v>1</x:v>
      </x:c>
      <x:c r="S11" s="42" t="n">
        <x:v>1</x:v>
      </x:c>
    </x:row>
    <x:row r="12">
      <x:c r="A12" t="n">
        <x:v>1</x:v>
      </x:c>
      <x:c r="B12" t="n">
        <x:v>0</x:v>
      </x:c>
      <x:c r="C12" t="n">
        <x:v>0</x:v>
      </x:c>
      <x:c r="D12" t="n">
        <x:v>0</x:v>
      </x:c>
      <x:c r="E12" t="str">
        <x:v>eoo</x:v>
      </x:c>
      <x:c r="F12" s="45" t="n">
        <x:f>1*$B12</x:f>
        <x:v>0</x:v>
      </x:c>
      <x:c r="G12" s="45" t="n">
        <x:f>(1/2)*$C12+(1/2)*$D12</x:f>
        <x:v>0</x:v>
      </x:c>
      <x:c r="H12" s="45" t="n">
        <x:f>(1/2)*$C12+(1/2)*$D12</x:f>
        <x:v>0</x:v>
      </x:c>
      <x:c r="I12" s="45" t="n">
        <x:f>0</x:f>
        <x:v>0</x:v>
      </x:c>
      <x:c r="J12" s="45" t="n">
        <x:f>(1/2)*($C12+$D12)</x:f>
        <x:v>0</x:v>
      </x:c>
      <x:c r="K12" s="45" t="n">
        <x:f>(1/2)*($C12+$D12)</x:f>
        <x:v>0</x:v>
      </x:c>
      <x:c r="L12" s="45" t="n">
        <x:f>F12+I12</x:f>
        <x:v>0</x:v>
      </x:c>
      <x:c r="M12" s="45" t="n">
        <x:f>G12+J12</x:f>
        <x:v>0</x:v>
      </x:c>
      <x:c r="N12" s="45" t="n">
        <x:f>H12+K12</x:f>
        <x:v>0</x:v>
      </x:c>
      <x:c r="O12" s="45" t="n">
        <x:f>SUM(F12:H12)</x:f>
        <x:v>0</x:v>
      </x:c>
      <x:c r="P12" s="42" t="n">
        <x:f>IF(AND(F12&lt;=F60,F12&lt;=F44,F12&lt;=F28,G12&lt;=G16,G12&lt;=G4,G12&lt;=G8,H12&lt;=H13,H12&lt;=H10,H12&lt;=H11),1,0)</x:f>
        <x:v>1</x:v>
      </x:c>
      <x:c r="Q12" s="42" t="n">
        <x:f>IF(AND(L12&lt;=L60,L12&lt;=L44,L12&lt;=L28,M12&lt;=M16,M12&lt;=M4,M12&lt;=M8,N12&lt;=N13,N12&lt;=N10,N12&lt;=N11),1,0)</x:f>
        <x:v>1</x:v>
      </x:c>
      <x:c r="R12" s="42" t="n">
        <x:v>1</x:v>
      </x:c>
      <x:c r="S12" s="42" t="n">
        <x:v>1</x:v>
      </x:c>
    </x:row>
    <x:row r="13">
      <x:c r="A13" t="n">
        <x:v>1</x:v>
      </x:c>
      <x:c r="B13" t="n">
        <x:v>0</x:v>
      </x:c>
      <x:c r="C13" t="n">
        <x:v>0</x:v>
      </x:c>
      <x:c r="D13" t="n">
        <x:v>0</x:v>
      </x:c>
      <x:c r="E13" t="str">
        <x:v>eov</x:v>
      </x:c>
      <x:c r="F13" s="45" t="n">
        <x:f>1*$B13</x:f>
        <x:v>0</x:v>
      </x:c>
      <x:c r="G13" s="45" t="n">
        <x:f>0</x:f>
        <x:v>0</x:v>
      </x:c>
      <x:c r="H13" s="45" t="n">
        <x:f>2*$B13</x:f>
        <x:v>0</x:v>
      </x:c>
      <x:c r="I13" s="45" t="n">
        <x:f>0</x:f>
        <x:v>0</x:v>
      </x:c>
      <x:c r="J13" s="45" t="n">
        <x:f>0</x:f>
        <x:v>0</x:v>
      </x:c>
      <x:c r="K13" s="45" t="n">
        <x:f>0</x:f>
        <x:v>0</x:v>
      </x:c>
      <x:c r="L13" s="45" t="n">
        <x:f>F13+I13</x:f>
        <x:v>0</x:v>
      </x:c>
      <x:c r="M13" s="45" t="n">
        <x:f>G13+J13</x:f>
        <x:v>0</x:v>
      </x:c>
      <x:c r="N13" s="45" t="n">
        <x:f>H13+K13</x:f>
        <x:v>0</x:v>
      </x:c>
      <x:c r="O13" s="45" t="n">
        <x:f>SUM(F13:H13)</x:f>
        <x:v>0</x:v>
      </x:c>
      <x:c r="P13" s="42" t="n">
        <x:f>IF(AND(F13&lt;=F61,F13&lt;=F45,F13&lt;=F29,G13&lt;=G17,G13&lt;=G5,G13&lt;=G9,H13&lt;=H10,H13&lt;=H12,H13&lt;=H11),1,0)</x:f>
        <x:v>1</x:v>
      </x:c>
      <x:c r="Q13" s="42" t="n">
        <x:f>IF(AND(L13&lt;=L61,L13&lt;=L45,L13&lt;=L29,M13&lt;=M17,M13&lt;=M5,M13&lt;=M9,N13&lt;=N10,N13&lt;=N12,N13&lt;=N11),1,0)</x:f>
        <x:v>1</x:v>
      </x:c>
      <x:c r="R13" s="42" t="n">
        <x:v>1</x:v>
      </x:c>
      <x:c r="S13" s="42" t="n">
        <x:v>1</x:v>
      </x:c>
    </x:row>
    <x:row r="14">
      <x:c r="A14" t="n">
        <x:v>1</x:v>
      </x:c>
      <x:c r="B14" t="n">
        <x:v>0</x:v>
      </x:c>
      <x:c r="C14" t="n">
        <x:v>0</x:v>
      </x:c>
      <x:c r="D14" t="n">
        <x:v>0</x:v>
      </x:c>
      <x:c r="E14" t="str">
        <x:v>eve</x:v>
      </x:c>
      <x:c r="F14" s="45" t="n">
        <x:f>(1/2)*$B14+(1/2)*$C14</x:f>
        <x:v>0</x:v>
      </x:c>
      <x:c r="G14" s="45" t="n">
        <x:f>2*$B14</x:f>
        <x:v>0</x:v>
      </x:c>
      <x:c r="H14" s="45" t="n">
        <x:f>(1/2)*$B14+(1/2)*$C14</x:f>
        <x:v>0</x:v>
      </x:c>
      <x:c r="I14" s="45" t="n">
        <x:f>MAX((1/2)*($C14-$B14),0)</x:f>
        <x:v>0</x:v>
      </x:c>
      <x:c r="J14" s="45" t="n">
        <x:f>0</x:f>
        <x:v>0</x:v>
      </x:c>
      <x:c r="K14" s="45" t="n">
        <x:f>MAX((1/2)*($C14-$B14),0)</x:f>
        <x:v>0</x:v>
      </x:c>
      <x:c r="L14" s="45" t="n">
        <x:f>F14+I14</x:f>
        <x:v>0</x:v>
      </x:c>
      <x:c r="M14" s="45" t="n">
        <x:f>G14+J14</x:f>
        <x:v>0</x:v>
      </x:c>
      <x:c r="N14" s="45" t="n">
        <x:f>H14+K14</x:f>
        <x:v>0</x:v>
      </x:c>
      <x:c r="O14" s="45" t="n">
        <x:f>SUM(F14:H14)</x:f>
        <x:v>0</x:v>
      </x:c>
      <x:c r="P14" s="42" t="n">
        <x:f>IF(AND(F14&lt;=F62,F14&lt;=F46,F14&lt;=F30,G14&lt;=G2,G14&lt;=G10,G14&lt;=G6,H14&lt;=H17,H14&lt;=H16,H14&lt;=H15),1,0)</x:f>
        <x:v>1</x:v>
      </x:c>
      <x:c r="Q14" s="42" t="n">
        <x:f>IF(AND(L14&lt;=L62,L14&lt;=L46,L14&lt;=L30,M14&lt;=M2,M14&lt;=M10,M14&lt;=M6,N14&lt;=N17,N14&lt;=N16,N14&lt;=N15),1,0)</x:f>
        <x:v>1</x:v>
      </x:c>
      <x:c r="R14" s="42" t="n">
        <x:v>1</x:v>
      </x:c>
      <x:c r="S14" s="42" t="n">
        <x:v>1</x:v>
      </x:c>
    </x:row>
    <x:row r="15">
      <x:c r="A15" t="n">
        <x:v>1</x:v>
      </x:c>
      <x:c r="B15" t="n">
        <x:v>0</x:v>
      </x:c>
      <x:c r="C15" t="n">
        <x:v>0</x:v>
      </x:c>
      <x:c r="D15" t="n">
        <x:v>0</x:v>
      </x:c>
      <x:c r="E15" t="str">
        <x:v>evl</x:v>
      </x:c>
      <x:c r="F15" s="45" t="n">
        <x:f>1*$B15</x:f>
        <x:v>0</x:v>
      </x:c>
      <x:c r="G15" s="45" t="n">
        <x:f>2*$B15</x:f>
        <x:v>0</x:v>
      </x:c>
      <x:c r="H15" s="45" t="n">
        <x:f>1*$D15</x:f>
        <x:v>0</x:v>
      </x:c>
      <x:c r="I15" s="45" t="n">
        <x:f>0</x:f>
        <x:v>0</x:v>
      </x:c>
      <x:c r="J15" s="45" t="n">
        <x:f>0</x:f>
        <x:v>0</x:v>
      </x:c>
      <x:c r="K15" s="45" t="n">
        <x:f>0</x:f>
        <x:v>0</x:v>
      </x:c>
      <x:c r="L15" s="45" t="n">
        <x:f>F15+I15</x:f>
        <x:v>0</x:v>
      </x:c>
      <x:c r="M15" s="45" t="n">
        <x:f>G15+J15</x:f>
        <x:v>0</x:v>
      </x:c>
      <x:c r="N15" s="45" t="n">
        <x:f>H15+K15</x:f>
        <x:v>0</x:v>
      </x:c>
      <x:c r="O15" s="45" t="n">
        <x:f>SUM(F15:H15)</x:f>
        <x:v>0</x:v>
      </x:c>
      <x:c r="P15" s="42" t="n">
        <x:f>IF(AND(F15&lt;=F63,F15&lt;=F47,F15&lt;=F31,G15&lt;=G3,G15&lt;=G11,G15&lt;=G7,H15&lt;=H17,H15&lt;=H14,H15&lt;=H16),1,0)</x:f>
        <x:v>1</x:v>
      </x:c>
      <x:c r="Q15" s="42" t="n">
        <x:f>IF(AND(L15&lt;=L63,L15&lt;=L47,L15&lt;=L31,M15&lt;=M3,M15&lt;=M11,M15&lt;=M7,N15&lt;=N17,N15&lt;=N14,N15&lt;=N16),1,0)</x:f>
        <x:v>1</x:v>
      </x:c>
      <x:c r="R15" s="42" t="n">
        <x:v>1</x:v>
      </x:c>
      <x:c r="S15" s="42" t="n">
        <x:v>1</x:v>
      </x:c>
    </x:row>
    <x:row r="16">
      <x:c r="A16" t="n">
        <x:v>1</x:v>
      </x:c>
      <x:c r="B16" t="n">
        <x:v>0</x:v>
      </x:c>
      <x:c r="C16" t="n">
        <x:v>0</x:v>
      </x:c>
      <x:c r="D16" t="n">
        <x:v>0</x:v>
      </x:c>
      <x:c r="E16" t="str">
        <x:v>evo</x:v>
      </x:c>
      <x:c r="F16" s="45" t="n">
        <x:f>1*$B16</x:f>
        <x:v>0</x:v>
      </x:c>
      <x:c r="G16" s="45" t="n">
        <x:f>2*$B16</x:f>
        <x:v>0</x:v>
      </x:c>
      <x:c r="H16" s="45" t="n">
        <x:f>0</x:f>
        <x:v>0</x:v>
      </x:c>
      <x:c r="I16" s="45" t="n">
        <x:f>0</x:f>
        <x:v>0</x:v>
      </x:c>
      <x:c r="J16" s="45" t="n">
        <x:f>0</x:f>
        <x:v>0</x:v>
      </x:c>
      <x:c r="K16" s="45" t="n">
        <x:f>0</x:f>
        <x:v>0</x:v>
      </x:c>
      <x:c r="L16" s="45" t="n">
        <x:f>F16+I16</x:f>
        <x:v>0</x:v>
      </x:c>
      <x:c r="M16" s="45" t="n">
        <x:f>G16+J16</x:f>
        <x:v>0</x:v>
      </x:c>
      <x:c r="N16" s="45" t="n">
        <x:f>H16+K16</x:f>
        <x:v>0</x:v>
      </x:c>
      <x:c r="O16" s="45" t="n">
        <x:f>SUM(F16:H16)</x:f>
        <x:v>0</x:v>
      </x:c>
      <x:c r="P16" s="42" t="n">
        <x:f>IF(AND(F16&lt;=F64,F16&lt;=F48,F16&lt;=F32,G16&lt;=G4,G16&lt;=G12,G16&lt;=G8,H16&lt;=H17,H16&lt;=H14,H16&lt;=H15),1,0)</x:f>
        <x:v>1</x:v>
      </x:c>
      <x:c r="Q16" s="42" t="n">
        <x:f>IF(AND(L16&lt;=L64,L16&lt;=L48,L16&lt;=L32,M16&lt;=M4,M16&lt;=M12,M16&lt;=M8,N16&lt;=N17,N16&lt;=N14,N16&lt;=N15),1,0)</x:f>
        <x:v>1</x:v>
      </x:c>
      <x:c r="R16" s="42" t="n">
        <x:v>1</x:v>
      </x:c>
      <x:c r="S16" s="42" t="n">
        <x:v>1</x:v>
      </x:c>
    </x:row>
    <x:row r="17">
      <x:c r="A17" t="n">
        <x:v>1</x:v>
      </x:c>
      <x:c r="B17" t="n">
        <x:v>0</x:v>
      </x:c>
      <x:c r="C17" t="n">
        <x:v>0</x:v>
      </x:c>
      <x:c r="D17" t="n">
        <x:v>0</x:v>
      </x:c>
      <x:c r="E17" t="str">
        <x:v>evv</x:v>
      </x:c>
      <x:c r="F17" s="45" t="n">
        <x:f>1*$C17</x:f>
        <x:v>0</x:v>
      </x:c>
      <x:c r="G17" s="45" t="n">
        <x:f>(3/2)*$B17+(1/2)*$C17</x:f>
        <x:v>0</x:v>
      </x:c>
      <x:c r="H17" s="45" t="n">
        <x:f>(3/2)*$B17+(1/2)*$C17</x:f>
        <x:v>0</x:v>
      </x:c>
      <x:c r="I17" s="45" t="n">
        <x:f>0</x:f>
        <x:v>0</x:v>
      </x:c>
      <x:c r="J17" s="45" t="n">
        <x:f>MAX((3/2)*($C17-$B17),0)</x:f>
        <x:v>0</x:v>
      </x:c>
      <x:c r="K17" s="45" t="n">
        <x:f>MAX((3/2)*($C17-$B17),0)</x:f>
        <x:v>0</x:v>
      </x:c>
      <x:c r="L17" s="45" t="n">
        <x:f>F17+I17</x:f>
        <x:v>0</x:v>
      </x:c>
      <x:c r="M17" s="45" t="n">
        <x:f>G17+J17</x:f>
        <x:v>0</x:v>
      </x:c>
      <x:c r="N17" s="45" t="n">
        <x:f>H17+K17</x:f>
        <x:v>0</x:v>
      </x:c>
      <x:c r="O17" s="45" t="n">
        <x:f>SUM(F17:H17)</x:f>
        <x:v>0</x:v>
      </x:c>
      <x:c r="P17" s="42" t="n">
        <x:f>IF(AND(F17&lt;=F65,F17&lt;=F49,F17&lt;=F33,G17&lt;=G5,G17&lt;=G13,G17&lt;=G9,H17&lt;=H14,H17&lt;=H16,H17&lt;=H15),1,0)</x:f>
        <x:v>1</x:v>
      </x:c>
      <x:c r="Q17" s="42" t="n">
        <x:f>IF(AND(L17&lt;=L65,L17&lt;=L49,L17&lt;=L33,M17&lt;=M5,M17&lt;=M13,M17&lt;=M9,N17&lt;=N14,N17&lt;=N16,N17&lt;=N15),1,0)</x:f>
        <x:v>1</x:v>
      </x:c>
      <x:c r="R17" s="42" t="n">
        <x:v>1</x:v>
      </x:c>
      <x:c r="S17" s="42" t="n">
        <x:v>1</x:v>
      </x:c>
    </x:row>
    <x:row r="18">
      <x:c r="A18" t="n">
        <x:v>1</x:v>
      </x:c>
      <x:c r="B18" t="n">
        <x:v>0</x:v>
      </x:c>
      <x:c r="C18" t="n">
        <x:v>0</x:v>
      </x:c>
      <x:c r="D18" t="n">
        <x:v>0</x:v>
      </x:c>
      <x:c r="E18" t="str">
        <x:v>lee</x:v>
      </x:c>
      <x:c r="F18" s="45" t="n">
        <x:f>1*$D18</x:f>
        <x:v>0</x:v>
      </x:c>
      <x:c r="G18" s="45" t="n">
        <x:f>(1/2)*$B18+(1/2)*$C18</x:f>
        <x:v>0</x:v>
      </x:c>
      <x:c r="H18" s="45" t="n">
        <x:f>(1/2)*$B18+(1/2)*$C18</x:f>
        <x:v>0</x:v>
      </x:c>
      <x:c r="I18" s="45" t="n">
        <x:f>0</x:f>
        <x:v>0</x:v>
      </x:c>
      <x:c r="J18" s="45" t="n">
        <x:f>MAX((1/2)*($C18-$B18),0)</x:f>
        <x:v>0</x:v>
      </x:c>
      <x:c r="K18" s="45" t="n">
        <x:f>MAX((1/2)*($C18-$B18),0)</x:f>
        <x:v>0</x:v>
      </x:c>
      <x:c r="L18" s="45" t="n">
        <x:f>F18+I18</x:f>
        <x:v>0</x:v>
      </x:c>
      <x:c r="M18" s="45" t="n">
        <x:f>G18+J18</x:f>
        <x:v>0</x:v>
      </x:c>
      <x:c r="N18" s="45" t="n">
        <x:f>H18+K18</x:f>
        <x:v>0</x:v>
      </x:c>
      <x:c r="O18" s="45" t="n">
        <x:f>SUM(F18:H18)</x:f>
        <x:v>0</x:v>
      </x:c>
      <x:c r="P18" s="42" t="n">
        <x:f>IF(AND(F18&lt;=F50,F18&lt;=F2,F18&lt;=F34,G18&lt;=G30,G18&lt;=G26,G18&lt;=G22,H18&lt;=H21,H18&lt;=H20,H18&lt;=H19),1,0)</x:f>
        <x:v>1</x:v>
      </x:c>
      <x:c r="Q18" s="42" t="n">
        <x:f>IF(AND(L18&lt;=L50,L18&lt;=L2,L18&lt;=L34,M18&lt;=M30,M18&lt;=M26,M18&lt;=M22,N18&lt;=N21,N18&lt;=N20,N18&lt;=N19),1,0)</x:f>
        <x:v>1</x:v>
      </x:c>
      <x:c r="R18" s="42" t="n">
        <x:v>1</x:v>
      </x:c>
      <x:c r="S18" s="42" t="n">
        <x:v>1</x:v>
      </x:c>
    </x:row>
    <x:row r="19">
      <x:c r="A19" t="n">
        <x:v>1</x:v>
      </x:c>
      <x:c r="B19" t="n">
        <x:v>0</x:v>
      </x:c>
      <x:c r="C19" t="n">
        <x:v>0</x:v>
      </x:c>
      <x:c r="D19" t="n">
        <x:v>0</x:v>
      </x:c>
      <x:c r="E19" t="str">
        <x:v>lel</x:v>
      </x:c>
      <x:c r="F19" s="45" t="n">
        <x:f>(1/2)*$C19+(3/2)*$D19</x:f>
        <x:v>0</x:v>
      </x:c>
      <x:c r="G19" s="45" t="n">
        <x:f>1*$B19</x:f>
        <x:v>0</x:v>
      </x:c>
      <x:c r="H19" s="45" t="n">
        <x:f>(1/2)*$C19+(3/2)*$D19</x:f>
        <x:v>0</x:v>
      </x:c>
      <x:c r="I19" s="45" t="n">
        <x:f>(1/2)*($C19+$D19)</x:f>
        <x:v>0</x:v>
      </x:c>
      <x:c r="J19" s="45" t="n">
        <x:f>0</x:f>
        <x:v>0</x:v>
      </x:c>
      <x:c r="K19" s="45" t="n">
        <x:f>(1/2)*($C19+$D19)</x:f>
        <x:v>0</x:v>
      </x:c>
      <x:c r="L19" s="45" t="n">
        <x:f>F19+I19</x:f>
        <x:v>0</x:v>
      </x:c>
      <x:c r="M19" s="45" t="n">
        <x:f>G19+J19</x:f>
        <x:v>0</x:v>
      </x:c>
      <x:c r="N19" s="45" t="n">
        <x:f>H19+K19</x:f>
        <x:v>0</x:v>
      </x:c>
      <x:c r="O19" s="45" t="n">
        <x:f>SUM(F19:H19)</x:f>
        <x:v>0</x:v>
      </x:c>
      <x:c r="P19" s="42" t="n">
        <x:f>IF(AND(F19&lt;=F51,F19&lt;=F3,F19&lt;=F35,G19&lt;=G31,G19&lt;=G27,G19&lt;=G23,H19&lt;=H21,H19&lt;=H18,H19&lt;=H20),1,0)</x:f>
        <x:v>1</x:v>
      </x:c>
      <x:c r="Q19" s="42" t="n">
        <x:f>IF(AND(L19&lt;=L51,L19&lt;=L3,L19&lt;=L35,M19&lt;=M31,M19&lt;=M27,M19&lt;=M23,N19&lt;=N21,N19&lt;=N18,N19&lt;=N20),1,0)</x:f>
        <x:v>1</x:v>
      </x:c>
      <x:c r="R19" s="42" t="n">
        <x:v>1</x:v>
      </x:c>
      <x:c r="S19" s="42" t="n">
        <x:v>1</x:v>
      </x:c>
    </x:row>
    <x:row r="20">
      <x:c r="A20" t="n">
        <x:v>1</x:v>
      </x:c>
      <x:c r="B20" t="n">
        <x:v>0</x:v>
      </x:c>
      <x:c r="C20" t="n">
        <x:v>0</x:v>
      </x:c>
      <x:c r="D20" t="n">
        <x:v>0</x:v>
      </x:c>
      <x:c r="E20" t="str">
        <x:v>leo</x:v>
      </x:c>
      <x:c r="F20" s="45" t="n">
        <x:f>1*$D20</x:f>
        <x:v>0</x:v>
      </x:c>
      <x:c r="G20" s="45" t="n">
        <x:f>1*$B20</x:f>
        <x:v>0</x:v>
      </x:c>
      <x:c r="H20" s="45" t="n">
        <x:f>0</x:f>
        <x:v>0</x:v>
      </x:c>
      <x:c r="I20" s="45" t="n">
        <x:f>0</x:f>
        <x:v>0</x:v>
      </x:c>
      <x:c r="J20" s="45" t="n">
        <x:f>0</x:f>
        <x:v>0</x:v>
      </x:c>
      <x:c r="K20" s="45" t="n">
        <x:f>0</x:f>
        <x:v>0</x:v>
      </x:c>
      <x:c r="L20" s="45" t="n">
        <x:f>F20+I20</x:f>
        <x:v>0</x:v>
      </x:c>
      <x:c r="M20" s="45" t="n">
        <x:f>G20+J20</x:f>
        <x:v>0</x:v>
      </x:c>
      <x:c r="N20" s="45" t="n">
        <x:f>H20+K20</x:f>
        <x:v>0</x:v>
      </x:c>
      <x:c r="O20" s="45" t="n">
        <x:f>SUM(F20:H20)</x:f>
        <x:v>0</x:v>
      </x:c>
      <x:c r="P20" s="42" t="n">
        <x:f>IF(AND(F20&lt;=F52,F20&lt;=F4,F20&lt;=F36,G20&lt;=G32,G20&lt;=G28,G20&lt;=G24,H20&lt;=H21,H20&lt;=H18,H20&lt;=H19),1,0)</x:f>
        <x:v>1</x:v>
      </x:c>
      <x:c r="Q20" s="42" t="n">
        <x:f>IF(AND(L20&lt;=L52,L20&lt;=L4,L20&lt;=L36,M20&lt;=M32,M20&lt;=M28,M20&lt;=M24,N20&lt;=N21,N20&lt;=N18,N20&lt;=N19),1,0)</x:f>
        <x:v>1</x:v>
      </x:c>
      <x:c r="R20" s="42" t="n">
        <x:v>1</x:v>
      </x:c>
      <x:c r="S20" s="42" t="n">
        <x:v>1</x:v>
      </x:c>
    </x:row>
    <x:row r="21">
      <x:c r="A21" t="n">
        <x:v>1</x:v>
      </x:c>
      <x:c r="B21" t="n">
        <x:v>0</x:v>
      </x:c>
      <x:c r="C21" t="n">
        <x:v>0</x:v>
      </x:c>
      <x:c r="D21" t="n">
        <x:v>0</x:v>
      </x:c>
      <x:c r="E21" t="str">
        <x:v>lev</x:v>
      </x:c>
      <x:c r="F21" s="45" t="n">
        <x:f>1*$D21</x:f>
        <x:v>0</x:v>
      </x:c>
      <x:c r="G21" s="45" t="n">
        <x:f>1*$B21</x:f>
        <x:v>0</x:v>
      </x:c>
      <x:c r="H21" s="45" t="n">
        <x:f>2*$B21</x:f>
        <x:v>0</x:v>
      </x:c>
      <x:c r="I21" s="45" t="n">
        <x:f>0</x:f>
        <x:v>0</x:v>
      </x:c>
      <x:c r="J21" s="45" t="n">
        <x:f>0</x:f>
        <x:v>0</x:v>
      </x:c>
      <x:c r="K21" s="45" t="n">
        <x:f>0</x:f>
        <x:v>0</x:v>
      </x:c>
      <x:c r="L21" s="45" t="n">
        <x:f>F21+I21</x:f>
        <x:v>0</x:v>
      </x:c>
      <x:c r="M21" s="45" t="n">
        <x:f>G21+J21</x:f>
        <x:v>0</x:v>
      </x:c>
      <x:c r="N21" s="45" t="n">
        <x:f>H21+K21</x:f>
        <x:v>0</x:v>
      </x:c>
      <x:c r="O21" s="45" t="n">
        <x:f>SUM(F21:H21)</x:f>
        <x:v>0</x:v>
      </x:c>
      <x:c r="P21" s="42" t="n">
        <x:f>IF(AND(F21&lt;=F53,F21&lt;=F5,F21&lt;=F37,G21&lt;=G33,G21&lt;=G29,G21&lt;=G25,H21&lt;=H18,H21&lt;=H20,H21&lt;=H19),1,0)</x:f>
        <x:v>1</x:v>
      </x:c>
      <x:c r="Q21" s="42" t="n">
        <x:f>IF(AND(L21&lt;=L53,L21&lt;=L5,L21&lt;=L37,M21&lt;=M33,M21&lt;=M29,M21&lt;=M25,N21&lt;=N18,N21&lt;=N20,N21&lt;=N19),1,0)</x:f>
        <x:v>1</x:v>
      </x:c>
      <x:c r="R21" s="42" t="n">
        <x:v>1</x:v>
      </x:c>
      <x:c r="S21" s="42" t="n">
        <x:v>1</x:v>
      </x:c>
    </x:row>
    <x:row r="22">
      <x:c r="A22" t="n">
        <x:v>1</x:v>
      </x:c>
      <x:c r="B22" t="n">
        <x:v>0</x:v>
      </x:c>
      <x:c r="C22" t="n">
        <x:v>0</x:v>
      </x:c>
      <x:c r="D22" t="n">
        <x:v>0</x:v>
      </x:c>
      <x:c r="E22" t="str">
        <x:v>lle</x:v>
      </x:c>
      <x:c r="F22" s="45" t="n">
        <x:f>(1/2)*$C22+(3/2)*$D22</x:f>
        <x:v>0</x:v>
      </x:c>
      <x:c r="G22" s="45" t="n">
        <x:f>(1/2)*$C22+(3/2)*$D22</x:f>
        <x:v>0</x:v>
      </x:c>
      <x:c r="H22" s="45" t="n">
        <x:f>1*$B22</x:f>
        <x:v>0</x:v>
      </x:c>
      <x:c r="I22" s="45" t="n">
        <x:f>(1/2)*($C22+$D22)</x:f>
        <x:v>0</x:v>
      </x:c>
      <x:c r="J22" s="45" t="n">
        <x:f>(1/2)*($C22+$D22)</x:f>
        <x:v>0</x:v>
      </x:c>
      <x:c r="K22" s="45" t="n">
        <x:f>0</x:f>
        <x:v>0</x:v>
      </x:c>
      <x:c r="L22" s="45" t="n">
        <x:f>F22+I22</x:f>
        <x:v>0</x:v>
      </x:c>
      <x:c r="M22" s="45" t="n">
        <x:f>G22+J22</x:f>
        <x:v>0</x:v>
      </x:c>
      <x:c r="N22" s="45" t="n">
        <x:f>H22+K22</x:f>
        <x:v>0</x:v>
      </x:c>
      <x:c r="O22" s="45" t="n">
        <x:f>SUM(F22:H22)</x:f>
        <x:v>0</x:v>
      </x:c>
      <x:c r="P22" s="42" t="n">
        <x:f>IF(AND(F22&lt;=F54,F22&lt;=F6,F22&lt;=F38,G22&lt;=G30,G22&lt;=G18,G22&lt;=G26,H22&lt;=H25,H22&lt;=H24,H22&lt;=H23),1,0)</x:f>
        <x:v>1</x:v>
      </x:c>
      <x:c r="Q22" s="42" t="n">
        <x:f>IF(AND(L22&lt;=L54,L22&lt;=L6,L22&lt;=L38,M22&lt;=M30,M22&lt;=M18,M22&lt;=M26,N22&lt;=N25,N22&lt;=N24,N22&lt;=N23),1,0)</x:f>
        <x:v>1</x:v>
      </x:c>
      <x:c r="R22" s="42" t="n">
        <x:v>1</x:v>
      </x:c>
      <x:c r="S22" s="42" t="n">
        <x:v>1</x:v>
      </x:c>
    </x:row>
    <x:row r="23">
      <x:c r="A23" t="n">
        <x:v>1</x:v>
      </x:c>
      <x:c r="B23" t="n">
        <x:v>0</x:v>
      </x:c>
      <x:c r="C23" t="n">
        <x:v>0</x:v>
      </x:c>
      <x:c r="D23" t="n">
        <x:v>0</x:v>
      </x:c>
      <x:c r="E23" t="str">
        <x:v>lll</x:v>
      </x:c>
      <x:c r="F23" s="45" t="n">
        <x:f>1*$C23+2*$D23</x:f>
        <x:v>0</x:v>
      </x:c>
      <x:c r="G23" s="45" t="n">
        <x:f>1*$C23+2*$D23</x:f>
        <x:v>0</x:v>
      </x:c>
      <x:c r="H23" s="45" t="n">
        <x:f>1*$C23+2*$D23</x:f>
        <x:v>0</x:v>
      </x:c>
      <x:c r="I23" s="45" t="n">
        <x:f>$C23+$D23</x:f>
        <x:v>0</x:v>
      </x:c>
      <x:c r="J23" s="45" t="n">
        <x:f>$C23+$D23</x:f>
        <x:v>0</x:v>
      </x:c>
      <x:c r="K23" s="45" t="n">
        <x:f>$C23+$D23</x:f>
        <x:v>0</x:v>
      </x:c>
      <x:c r="L23" s="45" t="n">
        <x:f>F23+I23</x:f>
        <x:v>0</x:v>
      </x:c>
      <x:c r="M23" s="45" t="n">
        <x:f>G23+J23</x:f>
        <x:v>0</x:v>
      </x:c>
      <x:c r="N23" s="45" t="n">
        <x:f>H23+K23</x:f>
        <x:v>0</x:v>
      </x:c>
      <x:c r="O23" s="45" t="n">
        <x:f>SUM(F23:H23)</x:f>
        <x:v>0</x:v>
      </x:c>
      <x:c r="P23" s="42" t="n">
        <x:f>IF(AND(F23&lt;=F55,F23&lt;=F7,F23&lt;=F39,G23&lt;=G31,G23&lt;=G19,G23&lt;=G27,H23&lt;=H25,H23&lt;=H22,H23&lt;=H24),1,0)</x:f>
        <x:v>1</x:v>
      </x:c>
      <x:c r="Q23" s="42" t="n">
        <x:f>IF(AND(L23&lt;=L55,L23&lt;=L7,L23&lt;=L39,M23&lt;=M31,M23&lt;=M19,M23&lt;=M27,N23&lt;=N25,N23&lt;=N22,N23&lt;=N24),1,0)</x:f>
        <x:v>1</x:v>
      </x:c>
      <x:c r="R23" s="42" t="n">
        <x:v>1</x:v>
      </x:c>
      <x:c r="S23" s="42" t="n">
        <x:v>1</x:v>
      </x:c>
    </x:row>
    <x:row r="24">
      <x:c r="A24" t="n">
        <x:v>1</x:v>
      </x:c>
      <x:c r="B24" t="n">
        <x:v>0</x:v>
      </x:c>
      <x:c r="C24" t="n">
        <x:v>0</x:v>
      </x:c>
      <x:c r="D24" t="n">
        <x:v>0</x:v>
      </x:c>
      <x:c r="E24" t="str">
        <x:v>llo</x:v>
      </x:c>
      <x:c r="F24" s="45" t="n">
        <x:f>(1/2)*$C24+(3/2)*$D24</x:f>
        <x:v>0</x:v>
      </x:c>
      <x:c r="G24" s="45" t="n">
        <x:f>(1/2)*$C24+(3/2)*$D24</x:f>
        <x:v>0</x:v>
      </x:c>
      <x:c r="H24" s="45" t="n">
        <x:f>0</x:f>
        <x:v>0</x:v>
      </x:c>
      <x:c r="I24" s="45" t="n">
        <x:f>(1/2)*($C24+$D24)</x:f>
        <x:v>0</x:v>
      </x:c>
      <x:c r="J24" s="45" t="n">
        <x:f>(1/2)*($C24+$D24)</x:f>
        <x:v>0</x:v>
      </x:c>
      <x:c r="K24" s="45" t="n">
        <x:f>0</x:f>
        <x:v>0</x:v>
      </x:c>
      <x:c r="L24" s="45" t="n">
        <x:f>F24+I24</x:f>
        <x:v>0</x:v>
      </x:c>
      <x:c r="M24" s="45" t="n">
        <x:f>G24+J24</x:f>
        <x:v>0</x:v>
      </x:c>
      <x:c r="N24" s="45" t="n">
        <x:f>H24+K24</x:f>
        <x:v>0</x:v>
      </x:c>
      <x:c r="O24" s="45" t="n">
        <x:f>SUM(F24:H24)</x:f>
        <x:v>0</x:v>
      </x:c>
      <x:c r="P24" s="42" t="n">
        <x:f>IF(AND(F24&lt;=F56,F24&lt;=F8,F24&lt;=F40,G24&lt;=G32,G24&lt;=G20,G24&lt;=G28,H24&lt;=H25,H24&lt;=H22,H24&lt;=H23),1,0)</x:f>
        <x:v>1</x:v>
      </x:c>
      <x:c r="Q24" s="42" t="n">
        <x:f>IF(AND(L24&lt;=L56,L24&lt;=L8,L24&lt;=L40,M24&lt;=M32,M24&lt;=M20,M24&lt;=M28,N24&lt;=N25,N24&lt;=N22,N24&lt;=N23),1,0)</x:f>
        <x:v>1</x:v>
      </x:c>
      <x:c r="R24" s="42" t="n">
        <x:v>1</x:v>
      </x:c>
      <x:c r="S24" s="42" t="n">
        <x:v>1</x:v>
      </x:c>
    </x:row>
    <x:row r="25">
      <x:c r="A25" t="n">
        <x:v>1</x:v>
      </x:c>
      <x:c r="B25" t="n">
        <x:v>0</x:v>
      </x:c>
      <x:c r="C25" t="n">
        <x:v>0</x:v>
      </x:c>
      <x:c r="D25" t="n">
        <x:v>0</x:v>
      </x:c>
      <x:c r="E25" t="str">
        <x:v>llv</x:v>
      </x:c>
      <x:c r="F25" s="45" t="n">
        <x:f>(1/2)*$C25+(3/2)*$D25</x:f>
        <x:v>0</x:v>
      </x:c>
      <x:c r="G25" s="45" t="n">
        <x:f>(1/2)*$C25+(3/2)*$D25</x:f>
        <x:v>0</x:v>
      </x:c>
      <x:c r="H25" s="45" t="n">
        <x:f>2*$B25</x:f>
        <x:v>0</x:v>
      </x:c>
      <x:c r="I25" s="45" t="n">
        <x:f>(1/2)*($C25+$D25)</x:f>
        <x:v>0</x:v>
      </x:c>
      <x:c r="J25" s="45" t="n">
        <x:f>(1/2)*($C25+$D25)</x:f>
        <x:v>0</x:v>
      </x:c>
      <x:c r="K25" s="45" t="n">
        <x:f>0</x:f>
        <x:v>0</x:v>
      </x:c>
      <x:c r="L25" s="45" t="n">
        <x:f>F25+I25</x:f>
        <x:v>0</x:v>
      </x:c>
      <x:c r="M25" s="45" t="n">
        <x:f>G25+J25</x:f>
        <x:v>0</x:v>
      </x:c>
      <x:c r="N25" s="45" t="n">
        <x:f>H25+K25</x:f>
        <x:v>0</x:v>
      </x:c>
      <x:c r="O25" s="45" t="n">
        <x:f>SUM(F25:H25)</x:f>
        <x:v>0</x:v>
      </x:c>
      <x:c r="P25" s="42" t="n">
        <x:f>IF(AND(F25&lt;=F57,F25&lt;=F9,F25&lt;=F41,G25&lt;=G33,G25&lt;=G21,G25&lt;=G29,H25&lt;=H22,H25&lt;=H24,H25&lt;=H23),1,0)</x:f>
        <x:v>1</x:v>
      </x:c>
      <x:c r="Q25" s="42" t="n">
        <x:f>IF(AND(L25&lt;=L57,L25&lt;=L9,L25&lt;=L41,M25&lt;=M33,M25&lt;=M21,M25&lt;=M29,N25&lt;=N22,N25&lt;=N24,N25&lt;=N23),1,0)</x:f>
        <x:v>1</x:v>
      </x:c>
      <x:c r="R25" s="42" t="n">
        <x:v>1</x:v>
      </x:c>
      <x:c r="S25" s="42" t="n">
        <x:v>1</x:v>
      </x:c>
    </x:row>
    <x:row r="26">
      <x:c r="A26" t="n">
        <x:v>1</x:v>
      </x:c>
      <x:c r="B26" t="n">
        <x:v>0</x:v>
      </x:c>
      <x:c r="C26" t="n">
        <x:v>0</x:v>
      </x:c>
      <x:c r="D26" t="n">
        <x:v>0</x:v>
      </x:c>
      <x:c r="E26" t="str">
        <x:v>loe</x:v>
      </x:c>
      <x:c r="F26" s="45" t="n">
        <x:f>1*$D26</x:f>
        <x:v>0</x:v>
      </x:c>
      <x:c r="G26" s="45" t="n">
        <x:f>0</x:f>
        <x:v>0</x:v>
      </x:c>
      <x:c r="H26" s="45" t="n">
        <x:f>1*$B26</x:f>
        <x:v>0</x:v>
      </x:c>
      <x:c r="I26" s="45" t="n">
        <x:f>0</x:f>
        <x:v>0</x:v>
      </x:c>
      <x:c r="J26" s="45" t="n">
        <x:f>0</x:f>
        <x:v>0</x:v>
      </x:c>
      <x:c r="K26" s="45" t="n">
        <x:f>0</x:f>
        <x:v>0</x:v>
      </x:c>
      <x:c r="L26" s="45" t="n">
        <x:f>F26+I26</x:f>
        <x:v>0</x:v>
      </x:c>
      <x:c r="M26" s="45" t="n">
        <x:f>G26+J26</x:f>
        <x:v>0</x:v>
      </x:c>
      <x:c r="N26" s="45" t="n">
        <x:f>H26+K26</x:f>
        <x:v>0</x:v>
      </x:c>
      <x:c r="O26" s="45" t="n">
        <x:f>SUM(F26:H26)</x:f>
        <x:v>0</x:v>
      </x:c>
      <x:c r="P26" s="42" t="n">
        <x:f>IF(AND(F26&lt;=F58,F26&lt;=F10,F26&lt;=F42,G26&lt;=G30,G26&lt;=G18,G26&lt;=G22,H26&lt;=H29,H26&lt;=H28,H26&lt;=H27),1,0)</x:f>
        <x:v>1</x:v>
      </x:c>
      <x:c r="Q26" s="42" t="n">
        <x:f>IF(AND(L26&lt;=L58,L26&lt;=L10,L26&lt;=L42,M26&lt;=M30,M26&lt;=M18,M26&lt;=M22,N26&lt;=N29,N26&lt;=N28,N26&lt;=N27),1,0)</x:f>
        <x:v>1</x:v>
      </x:c>
      <x:c r="R26" s="42" t="n">
        <x:v>1</x:v>
      </x:c>
      <x:c r="S26" s="42" t="n">
        <x:v>1</x:v>
      </x:c>
    </x:row>
    <x:row r="27">
      <x:c r="A27" t="n">
        <x:v>1</x:v>
      </x:c>
      <x:c r="B27" t="n">
        <x:v>0</x:v>
      </x:c>
      <x:c r="C27" t="n">
        <x:v>0</x:v>
      </x:c>
      <x:c r="D27" t="n">
        <x:v>0</x:v>
      </x:c>
      <x:c r="E27" t="str">
        <x:v>lol</x:v>
      </x:c>
      <x:c r="F27" s="45" t="n">
        <x:f>(1/2)*$C27+(3/2)*$D27</x:f>
        <x:v>0</x:v>
      </x:c>
      <x:c r="G27" s="45" t="n">
        <x:f>0</x:f>
        <x:v>0</x:v>
      </x:c>
      <x:c r="H27" s="45" t="n">
        <x:f>(1/2)*$C27+(3/2)*$D27</x:f>
        <x:v>0</x:v>
      </x:c>
      <x:c r="I27" s="45" t="n">
        <x:f>(1/2)*($C27+$D27)</x:f>
        <x:v>0</x:v>
      </x:c>
      <x:c r="J27" s="45" t="n">
        <x:f>0</x:f>
        <x:v>0</x:v>
      </x:c>
      <x:c r="K27" s="45" t="n">
        <x:f>(1/2)*($C27+$D27)</x:f>
        <x:v>0</x:v>
      </x:c>
      <x:c r="L27" s="45" t="n">
        <x:f>F27+I27</x:f>
        <x:v>0</x:v>
      </x:c>
      <x:c r="M27" s="45" t="n">
        <x:f>G27+J27</x:f>
        <x:v>0</x:v>
      </x:c>
      <x:c r="N27" s="45" t="n">
        <x:f>H27+K27</x:f>
        <x:v>0</x:v>
      </x:c>
      <x:c r="O27" s="45" t="n">
        <x:f>SUM(F27:H27)</x:f>
        <x:v>0</x:v>
      </x:c>
      <x:c r="P27" s="42" t="n">
        <x:f>IF(AND(F27&lt;=F59,F27&lt;=F11,F27&lt;=F43,G27&lt;=G31,G27&lt;=G19,G27&lt;=G23,H27&lt;=H29,H27&lt;=H26,H27&lt;=H28),1,0)</x:f>
        <x:v>1</x:v>
      </x:c>
      <x:c r="Q27" s="42" t="n">
        <x:f>IF(AND(L27&lt;=L59,L27&lt;=L11,L27&lt;=L43,M27&lt;=M31,M27&lt;=M19,M27&lt;=M23,N27&lt;=N29,N27&lt;=N26,N27&lt;=N28),1,0)</x:f>
        <x:v>1</x:v>
      </x:c>
      <x:c r="R27" s="42" t="n">
        <x:v>1</x:v>
      </x:c>
      <x:c r="S27" s="42" t="n">
        <x:v>1</x:v>
      </x:c>
    </x:row>
    <x:row r="28">
      <x:c r="A28" t="n">
        <x:v>1</x:v>
      </x:c>
      <x:c r="B28" t="n">
        <x:v>0</x:v>
      </x:c>
      <x:c r="C28" t="n">
        <x:v>0</x:v>
      </x:c>
      <x:c r="D28" t="n">
        <x:v>0</x:v>
      </x:c>
      <x:c r="E28" t="str">
        <x:v>loo</x:v>
      </x:c>
      <x:c r="F28" s="45" t="n">
        <x:f>1*$C28+2*$D28</x:f>
        <x:v>0</x:v>
      </x:c>
      <x:c r="G28" s="45" t="n">
        <x:f>(1/2)*$C28+(1/2)*$D28</x:f>
        <x:v>0</x:v>
      </x:c>
      <x:c r="H28" s="45" t="n">
        <x:f>(1/2)*$C28+(1/2)*$D28</x:f>
        <x:v>0</x:v>
      </x:c>
      <x:c r="I28" s="45" t="n">
        <x:f>0</x:f>
        <x:v>0</x:v>
      </x:c>
      <x:c r="J28" s="45" t="n">
        <x:f>(3/2)*($C28+$D28)</x:f>
        <x:v>0</x:v>
      </x:c>
      <x:c r="K28" s="45" t="n">
        <x:f>(3/2)*($C28+$D28)</x:f>
        <x:v>0</x:v>
      </x:c>
      <x:c r="L28" s="45" t="n">
        <x:f>F28+I28</x:f>
        <x:v>0</x:v>
      </x:c>
      <x:c r="M28" s="45" t="n">
        <x:f>G28+J28</x:f>
        <x:v>0</x:v>
      </x:c>
      <x:c r="N28" s="45" t="n">
        <x:f>H28+K28</x:f>
        <x:v>0</x:v>
      </x:c>
      <x:c r="O28" s="45" t="n">
        <x:f>SUM(F28:H28)</x:f>
        <x:v>0</x:v>
      </x:c>
      <x:c r="P28" s="42" t="n">
        <x:f>IF(AND(F28&lt;=F60,F28&lt;=F12,F28&lt;=F44,G28&lt;=G32,G28&lt;=G20,G28&lt;=G24,H28&lt;=H29,H28&lt;=H26,H28&lt;=H27),1,0)</x:f>
        <x:v>1</x:v>
      </x:c>
      <x:c r="Q28" s="42" t="n">
        <x:f>IF(AND(L28&lt;=L60,L28&lt;=L12,L28&lt;=L44,M28&lt;=M32,M28&lt;=M20,M28&lt;=M24,N28&lt;=N29,N28&lt;=N26,N28&lt;=N27),1,0)</x:f>
        <x:v>1</x:v>
      </x:c>
      <x:c r="R28" s="42" t="n">
        <x:v>1</x:v>
      </x:c>
      <x:c r="S28" s="42" t="n">
        <x:v>1</x:v>
      </x:c>
    </x:row>
    <x:row r="29">
      <x:c r="A29" t="n">
        <x:v>1</x:v>
      </x:c>
      <x:c r="B29" t="n">
        <x:v>0</x:v>
      </x:c>
      <x:c r="C29" t="n">
        <x:v>0</x:v>
      </x:c>
      <x:c r="D29" t="n">
        <x:v>0</x:v>
      </x:c>
      <x:c r="E29" t="str">
        <x:v>lov</x:v>
      </x:c>
      <x:c r="F29" s="45" t="n">
        <x:f>1*$D29</x:f>
        <x:v>0</x:v>
      </x:c>
      <x:c r="G29" s="45" t="n">
        <x:f>0</x:f>
        <x:v>0</x:v>
      </x:c>
      <x:c r="H29" s="45" t="n">
        <x:f>2*$B29</x:f>
        <x:v>0</x:v>
      </x:c>
      <x:c r="I29" s="45" t="n">
        <x:f>0</x:f>
        <x:v>0</x:v>
      </x:c>
      <x:c r="J29" s="45" t="n">
        <x:f>0</x:f>
        <x:v>0</x:v>
      </x:c>
      <x:c r="K29" s="45" t="n">
        <x:f>0</x:f>
        <x:v>0</x:v>
      </x:c>
      <x:c r="L29" s="45" t="n">
        <x:f>F29+I29</x:f>
        <x:v>0</x:v>
      </x:c>
      <x:c r="M29" s="45" t="n">
        <x:f>G29+J29</x:f>
        <x:v>0</x:v>
      </x:c>
      <x:c r="N29" s="45" t="n">
        <x:f>H29+K29</x:f>
        <x:v>0</x:v>
      </x:c>
      <x:c r="O29" s="45" t="n">
        <x:f>SUM(F29:H29)</x:f>
        <x:v>0</x:v>
      </x:c>
      <x:c r="P29" s="42" t="n">
        <x:f>IF(AND(F29&lt;=F61,F29&lt;=F13,F29&lt;=F45,G29&lt;=G33,G29&lt;=G21,G29&lt;=G25,H29&lt;=H26,H29&lt;=H28,H29&lt;=H27),1,0)</x:f>
        <x:v>1</x:v>
      </x:c>
      <x:c r="Q29" s="42" t="n">
        <x:f>IF(AND(L29&lt;=L61,L29&lt;=L13,L29&lt;=L45,M29&lt;=M33,M29&lt;=M21,M29&lt;=M25,N29&lt;=N26,N29&lt;=N28,N29&lt;=N27),1,0)</x:f>
        <x:v>1</x:v>
      </x:c>
      <x:c r="R29" s="42" t="n">
        <x:v>1</x:v>
      </x:c>
      <x:c r="S29" s="42" t="n">
        <x:v>1</x:v>
      </x:c>
    </x:row>
    <x:row r="30">
      <x:c r="A30" t="n">
        <x:v>1</x:v>
      </x:c>
      <x:c r="B30" t="n">
        <x:v>0</x:v>
      </x:c>
      <x:c r="C30" t="n">
        <x:v>0</x:v>
      </x:c>
      <x:c r="D30" t="n">
        <x:v>0</x:v>
      </x:c>
      <x:c r="E30" t="str">
        <x:v>lve</x:v>
      </x:c>
      <x:c r="F30" s="45" t="n">
        <x:f>1*$D30</x:f>
        <x:v>0</x:v>
      </x:c>
      <x:c r="G30" s="45" t="n">
        <x:f>2*$B30</x:f>
        <x:v>0</x:v>
      </x:c>
      <x:c r="H30" s="45" t="n">
        <x:f>1*$B30</x:f>
        <x:v>0</x:v>
      </x:c>
      <x:c r="I30" s="45" t="n">
        <x:f>0</x:f>
        <x:v>0</x:v>
      </x:c>
      <x:c r="J30" s="45" t="n">
        <x:f>0</x:f>
        <x:v>0</x:v>
      </x:c>
      <x:c r="K30" s="45" t="n">
        <x:f>0</x:f>
        <x:v>0</x:v>
      </x:c>
      <x:c r="L30" s="45" t="n">
        <x:f>F30+I30</x:f>
        <x:v>0</x:v>
      </x:c>
      <x:c r="M30" s="45" t="n">
        <x:f>G30+J30</x:f>
        <x:v>0</x:v>
      </x:c>
      <x:c r="N30" s="45" t="n">
        <x:f>H30+K30</x:f>
        <x:v>0</x:v>
      </x:c>
      <x:c r="O30" s="45" t="n">
        <x:f>SUM(F30:H30)</x:f>
        <x:v>0</x:v>
      </x:c>
      <x:c r="P30" s="42" t="n">
        <x:f>IF(AND(F30&lt;=F62,F30&lt;=F14,F30&lt;=F46,G30&lt;=G18,G30&lt;=G26,G30&lt;=G22,H30&lt;=H33,H30&lt;=H32,H30&lt;=H31),1,0)</x:f>
        <x:v>1</x:v>
      </x:c>
      <x:c r="Q30" s="42" t="n">
        <x:f>IF(AND(L30&lt;=L62,L30&lt;=L14,L30&lt;=L46,M30&lt;=M18,M30&lt;=M26,M30&lt;=M22,N30&lt;=N33,N30&lt;=N32,N30&lt;=N31),1,0)</x:f>
        <x:v>1</x:v>
      </x:c>
      <x:c r="R30" s="42" t="n">
        <x:v>1</x:v>
      </x:c>
      <x:c r="S30" s="42" t="n">
        <x:v>1</x:v>
      </x:c>
    </x:row>
    <x:row r="31">
      <x:c r="A31" t="n">
        <x:v>1</x:v>
      </x:c>
      <x:c r="B31" t="n">
        <x:v>0</x:v>
      </x:c>
      <x:c r="C31" t="n">
        <x:v>0</x:v>
      </x:c>
      <x:c r="D31" t="n">
        <x:v>0</x:v>
      </x:c>
      <x:c r="E31" t="str">
        <x:v>lvl</x:v>
      </x:c>
      <x:c r="F31" s="45" t="n">
        <x:f>(1/2)*$C31+(3/2)*$D31</x:f>
        <x:v>0</x:v>
      </x:c>
      <x:c r="G31" s="45" t="n">
        <x:f>2*$B31</x:f>
        <x:v>0</x:v>
      </x:c>
      <x:c r="H31" s="45" t="n">
        <x:f>(1/2)*$C31+(3/2)*$D31</x:f>
        <x:v>0</x:v>
      </x:c>
      <x:c r="I31" s="45" t="n">
        <x:f>(1/2)*($C31+$D31)</x:f>
        <x:v>0</x:v>
      </x:c>
      <x:c r="J31" s="45" t="n">
        <x:f>0</x:f>
        <x:v>0</x:v>
      </x:c>
      <x:c r="K31" s="45" t="n">
        <x:f>(1/2)*($C31+$D31)</x:f>
        <x:v>0</x:v>
      </x:c>
      <x:c r="L31" s="45" t="n">
        <x:f>F31+I31</x:f>
        <x:v>0</x:v>
      </x:c>
      <x:c r="M31" s="45" t="n">
        <x:f>G31+J31</x:f>
        <x:v>0</x:v>
      </x:c>
      <x:c r="N31" s="45" t="n">
        <x:f>H31+K31</x:f>
        <x:v>0</x:v>
      </x:c>
      <x:c r="O31" s="45" t="n">
        <x:f>SUM(F31:H31)</x:f>
        <x:v>0</x:v>
      </x:c>
      <x:c r="P31" s="42" t="n">
        <x:f>IF(AND(F31&lt;=F63,F31&lt;=F15,F31&lt;=F47,G31&lt;=G19,G31&lt;=G27,G31&lt;=G23,H31&lt;=H33,H31&lt;=H30,H31&lt;=H32),1,0)</x:f>
        <x:v>1</x:v>
      </x:c>
      <x:c r="Q31" s="42" t="n">
        <x:f>IF(AND(L31&lt;=L63,L31&lt;=L15,L31&lt;=L47,M31&lt;=M19,M31&lt;=M27,M31&lt;=M23,N31&lt;=N33,N31&lt;=N30,N31&lt;=N32),1,0)</x:f>
        <x:v>1</x:v>
      </x:c>
      <x:c r="R31" s="42" t="n">
        <x:v>1</x:v>
      </x:c>
      <x:c r="S31" s="42" t="n">
        <x:v>1</x:v>
      </x:c>
    </x:row>
    <x:row r="32">
      <x:c r="A32" t="n">
        <x:v>1</x:v>
      </x:c>
      <x:c r="B32" t="n">
        <x:v>0</x:v>
      </x:c>
      <x:c r="C32" t="n">
        <x:v>0</x:v>
      </x:c>
      <x:c r="D32" t="n">
        <x:v>0</x:v>
      </x:c>
      <x:c r="E32" t="str">
        <x:v>lvo</x:v>
      </x:c>
      <x:c r="F32" s="45" t="n">
        <x:f>1*$D32</x:f>
        <x:v>0</x:v>
      </x:c>
      <x:c r="G32" s="45" t="n">
        <x:f>2*$B32</x:f>
        <x:v>0</x:v>
      </x:c>
      <x:c r="H32" s="45" t="n">
        <x:f>0</x:f>
        <x:v>0</x:v>
      </x:c>
      <x:c r="I32" s="45" t="n">
        <x:f>0</x:f>
        <x:v>0</x:v>
      </x:c>
      <x:c r="J32" s="45" t="n">
        <x:f>0</x:f>
        <x:v>0</x:v>
      </x:c>
      <x:c r="K32" s="45" t="n">
        <x:f>0</x:f>
        <x:v>0</x:v>
      </x:c>
      <x:c r="L32" s="45" t="n">
        <x:f>F32+I32</x:f>
        <x:v>0</x:v>
      </x:c>
      <x:c r="M32" s="45" t="n">
        <x:f>G32+J32</x:f>
        <x:v>0</x:v>
      </x:c>
      <x:c r="N32" s="45" t="n">
        <x:f>H32+K32</x:f>
        <x:v>0</x:v>
      </x:c>
      <x:c r="O32" s="45" t="n">
        <x:f>SUM(F32:H32)</x:f>
        <x:v>0</x:v>
      </x:c>
      <x:c r="P32" s="42" t="n">
        <x:f>IF(AND(F32&lt;=F64,F32&lt;=F16,F32&lt;=F48,G32&lt;=G20,G32&lt;=G28,G32&lt;=G24,H32&lt;=H33,H32&lt;=H30,H32&lt;=H31),1,0)</x:f>
        <x:v>1</x:v>
      </x:c>
      <x:c r="Q32" s="42" t="n">
        <x:f>IF(AND(L32&lt;=L64,L32&lt;=L16,L32&lt;=L48,M32&lt;=M20,M32&lt;=M28,M32&lt;=M24,N32&lt;=N33,N32&lt;=N30,N32&lt;=N31),1,0)</x:f>
        <x:v>1</x:v>
      </x:c>
      <x:c r="R32" s="42" t="n">
        <x:v>1</x:v>
      </x:c>
      <x:c r="S32" s="42" t="n">
        <x:v>1</x:v>
      </x:c>
    </x:row>
    <x:row r="33">
      <x:c r="A33" t="n">
        <x:v>1</x:v>
      </x:c>
      <x:c r="B33" t="n">
        <x:v>0</x:v>
      </x:c>
      <x:c r="C33" t="n">
        <x:v>0</x:v>
      </x:c>
      <x:c r="D33" t="n">
        <x:v>0</x:v>
      </x:c>
      <x:c r="E33" t="str">
        <x:v>lvv</x:v>
      </x:c>
      <x:c r="F33" s="45" t="n">
        <x:f>1*$D33</x:f>
        <x:v>0</x:v>
      </x:c>
      <x:c r="G33" s="45" t="n">
        <x:f>(3/2)*$B33+(1/2)*$C33</x:f>
        <x:v>0</x:v>
      </x:c>
      <x:c r="H33" s="45" t="n">
        <x:f>(3/2)*$B33+(1/2)*$C33</x:f>
        <x:v>0</x:v>
      </x:c>
      <x:c r="I33" s="45" t="n">
        <x:f>0</x:f>
        <x:v>0</x:v>
      </x:c>
      <x:c r="J33" s="45" t="n">
        <x:f>MAX((1/2)*($C33-$B33),0)</x:f>
        <x:v>0</x:v>
      </x:c>
      <x:c r="K33" s="45" t="n">
        <x:f>MAX((1/2)*($C33-$B33),0)</x:f>
        <x:v>0</x:v>
      </x:c>
      <x:c r="L33" s="45" t="n">
        <x:f>F33+I33</x:f>
        <x:v>0</x:v>
      </x:c>
      <x:c r="M33" s="45" t="n">
        <x:f>G33+J33</x:f>
        <x:v>0</x:v>
      </x:c>
      <x:c r="N33" s="45" t="n">
        <x:f>H33+K33</x:f>
        <x:v>0</x:v>
      </x:c>
      <x:c r="O33" s="45" t="n">
        <x:f>SUM(F33:H33)</x:f>
        <x:v>0</x:v>
      </x:c>
      <x:c r="P33" s="42" t="n">
        <x:f>IF(AND(F33&lt;=F65,F33&lt;=F17,F33&lt;=F49,G33&lt;=G21,G33&lt;=G29,G33&lt;=G25,H33&lt;=H30,H33&lt;=H32,H33&lt;=H31),1,0)</x:f>
        <x:v>1</x:v>
      </x:c>
      <x:c r="Q33" s="42" t="n">
        <x:f>IF(AND(L33&lt;=L65,L33&lt;=L17,L33&lt;=L49,M33&lt;=M21,M33&lt;=M29,M33&lt;=M25,N33&lt;=N30,N33&lt;=N32,N33&lt;=N31),1,0)</x:f>
        <x:v>1</x:v>
      </x:c>
      <x:c r="R33" s="42" t="n">
        <x:v>1</x:v>
      </x:c>
      <x:c r="S33" s="42" t="n">
        <x:v>1</x:v>
      </x:c>
    </x:row>
    <x:row r="34">
      <x:c r="A34" t="n">
        <x:v>1</x:v>
      </x:c>
      <x:c r="B34" t="n">
        <x:v>0</x:v>
      </x:c>
      <x:c r="C34" t="n">
        <x:v>0</x:v>
      </x:c>
      <x:c r="D34" t="n">
        <x:v>0</x:v>
      </x:c>
      <x:c r="E34" t="str">
        <x:v>oee</x:v>
      </x:c>
      <x:c r="F34" s="45" t="n">
        <x:f>1*$C34+1*$D34</x:f>
        <x:v>0</x:v>
      </x:c>
      <x:c r="G34" s="45" t="n">
        <x:f>(1/2)*$B34+(1/2)*$C34</x:f>
        <x:v>0</x:v>
      </x:c>
      <x:c r="H34" s="45" t="n">
        <x:f>(1/2)*$B34+(1/2)*$C34</x:f>
        <x:v>0</x:v>
      </x:c>
      <x:c r="I34" s="45" t="n">
        <x:f>0</x:f>
        <x:v>0</x:v>
      </x:c>
      <x:c r="J34" s="45" t="n">
        <x:f>MAX((3/2)*$C34+$D34-(1/2)*$B34,0)</x:f>
        <x:v>0</x:v>
      </x:c>
      <x:c r="K34" s="45" t="n">
        <x:f>MAX((3/2)*$C34+$D34-(1/2)*$B34,0)</x:f>
        <x:v>0</x:v>
      </x:c>
      <x:c r="L34" s="45" t="n">
        <x:f>F34+I34</x:f>
        <x:v>0</x:v>
      </x:c>
      <x:c r="M34" s="45" t="n">
        <x:f>G34+J34</x:f>
        <x:v>0</x:v>
      </x:c>
      <x:c r="N34" s="45" t="n">
        <x:f>H34+K34</x:f>
        <x:v>0</x:v>
      </x:c>
      <x:c r="O34" s="45" t="n">
        <x:f>SUM(F34:H34)</x:f>
        <x:v>0</x:v>
      </x:c>
      <x:c r="P34" s="42" t="n">
        <x:f>IF(AND(F34&lt;=F50,F34&lt;=F2,F34&lt;=F18,G34&lt;=G46,G34&lt;=G42,G34&lt;=G38,H34&lt;=H37,H34&lt;=H36,H34&lt;=H35),1,0)</x:f>
        <x:v>1</x:v>
      </x:c>
      <x:c r="Q34" s="42" t="n">
        <x:f>IF(AND(L34&lt;=L50,L34&lt;=L2,L34&lt;=L18,M34&lt;=M46,M34&lt;=M42,M34&lt;=M38,N34&lt;=N37,N34&lt;=N36,N34&lt;=N35),1,0)</x:f>
        <x:v>1</x:v>
      </x:c>
      <x:c r="R34" s="42" t="n">
        <x:v>1</x:v>
      </x:c>
      <x:c r="S34" s="42" t="n">
        <x:v>1</x:v>
      </x:c>
    </x:row>
    <x:row r="35">
      <x:c r="A35" t="n">
        <x:v>1</x:v>
      </x:c>
      <x:c r="B35" t="n">
        <x:v>0</x:v>
      </x:c>
      <x:c r="C35" t="n">
        <x:v>0</x:v>
      </x:c>
      <x:c r="D35" t="n">
        <x:v>0</x:v>
      </x:c>
      <x:c r="E35" t="str">
        <x:v>oel</x:v>
      </x:c>
      <x:c r="F35" s="45" t="n">
        <x:f>0</x:f>
        <x:v>0</x:v>
      </x:c>
      <x:c r="G35" s="45" t="n">
        <x:f>1*$B35</x:f>
        <x:v>0</x:v>
      </x:c>
      <x:c r="H35" s="45" t="n">
        <x:f>1*$D35</x:f>
        <x:v>0</x:v>
      </x:c>
      <x:c r="I35" s="45" t="n">
        <x:f>0</x:f>
        <x:v>0</x:v>
      </x:c>
      <x:c r="J35" s="45" t="n">
        <x:f>0</x:f>
        <x:v>0</x:v>
      </x:c>
      <x:c r="K35" s="45" t="n">
        <x:f>0</x:f>
        <x:v>0</x:v>
      </x:c>
      <x:c r="L35" s="45" t="n">
        <x:f>F35+I35</x:f>
        <x:v>0</x:v>
      </x:c>
      <x:c r="M35" s="45" t="n">
        <x:f>G35+J35</x:f>
        <x:v>0</x:v>
      </x:c>
      <x:c r="N35" s="45" t="n">
        <x:f>H35+K35</x:f>
        <x:v>0</x:v>
      </x:c>
      <x:c r="O35" s="45" t="n">
        <x:f>SUM(F35:H35)</x:f>
        <x:v>0</x:v>
      </x:c>
      <x:c r="P35" s="42" t="n">
        <x:f>IF(AND(F35&lt;=F51,F35&lt;=F3,F35&lt;=F19,G35&lt;=G47,G35&lt;=G43,G35&lt;=G39,H35&lt;=H37,H35&lt;=H34,H35&lt;=H36),1,0)</x:f>
        <x:v>1</x:v>
      </x:c>
      <x:c r="Q35" s="42" t="n">
        <x:f>IF(AND(L35&lt;=L51,L35&lt;=L3,L35&lt;=L19,M35&lt;=M47,M35&lt;=M43,M35&lt;=M39,N35&lt;=N37,N35&lt;=N34,N35&lt;=N36),1,0)</x:f>
        <x:v>1</x:v>
      </x:c>
      <x:c r="R35" s="42" t="n">
        <x:v>1</x:v>
      </x:c>
      <x:c r="S35" s="42" t="n">
        <x:v>1</x:v>
      </x:c>
    </x:row>
    <x:row r="36">
      <x:c r="A36" t="n">
        <x:v>1</x:v>
      </x:c>
      <x:c r="B36" t="n">
        <x:v>0</x:v>
      </x:c>
      <x:c r="C36" t="n">
        <x:v>0</x:v>
      </x:c>
      <x:c r="D36" t="n">
        <x:v>0</x:v>
      </x:c>
      <x:c r="E36" t="str">
        <x:v>oeo</x:v>
      </x:c>
      <x:c r="F36" s="45" t="n">
        <x:f>(1/2)*$C36+(1/2)*$D36</x:f>
        <x:v>0</x:v>
      </x:c>
      <x:c r="G36" s="45" t="n">
        <x:f>1*$B36</x:f>
        <x:v>0</x:v>
      </x:c>
      <x:c r="H36" s="45" t="n">
        <x:f>(1/2)*$C36+(1/2)*$D36</x:f>
        <x:v>0</x:v>
      </x:c>
      <x:c r="I36" s="45" t="n">
        <x:f>(1/2)*($C36+$D36)</x:f>
        <x:v>0</x:v>
      </x:c>
      <x:c r="J36" s="45" t="n">
        <x:f>0</x:f>
        <x:v>0</x:v>
      </x:c>
      <x:c r="K36" s="45" t="n">
        <x:f>(1/2)*($C36+$D36)</x:f>
        <x:v>0</x:v>
      </x:c>
      <x:c r="L36" s="45" t="n">
        <x:f>F36+I36</x:f>
        <x:v>0</x:v>
      </x:c>
      <x:c r="M36" s="45" t="n">
        <x:f>G36+J36</x:f>
        <x:v>0</x:v>
      </x:c>
      <x:c r="N36" s="45" t="n">
        <x:f>H36+K36</x:f>
        <x:v>0</x:v>
      </x:c>
      <x:c r="O36" s="45" t="n">
        <x:f>SUM(F36:H36)</x:f>
        <x:v>0</x:v>
      </x:c>
      <x:c r="P36" s="42" t="n">
        <x:f>IF(AND(F36&lt;=F52,F36&lt;=F4,F36&lt;=F20,G36&lt;=G48,G36&lt;=G44,G36&lt;=G40,H36&lt;=H37,H36&lt;=H34,H36&lt;=H35),1,0)</x:f>
        <x:v>1</x:v>
      </x:c>
      <x:c r="Q36" s="42" t="n">
        <x:f>IF(AND(L36&lt;=L52,L36&lt;=L4,L36&lt;=L20,M36&lt;=M48,M36&lt;=M44,M36&lt;=M40,N36&lt;=N37,N36&lt;=N34,N36&lt;=N35),1,0)</x:f>
        <x:v>1</x:v>
      </x:c>
      <x:c r="R36" s="42" t="n">
        <x:v>1</x:v>
      </x:c>
      <x:c r="S36" s="42" t="n">
        <x:v>1</x:v>
      </x:c>
    </x:row>
    <x:row r="37">
      <x:c r="A37" t="n">
        <x:v>1</x:v>
      </x:c>
      <x:c r="B37" t="n">
        <x:v>0</x:v>
      </x:c>
      <x:c r="C37" t="n">
        <x:v>0</x:v>
      </x:c>
      <x:c r="D37" t="n">
        <x:v>0</x:v>
      </x:c>
      <x:c r="E37" t="str">
        <x:v>oev</x:v>
      </x:c>
      <x:c r="F37" s="45" t="n">
        <x:f>0</x:f>
        <x:v>0</x:v>
      </x:c>
      <x:c r="G37" s="45" t="n">
        <x:f>1*$B37</x:f>
        <x:v>0</x:v>
      </x:c>
      <x:c r="H37" s="45" t="n">
        <x:f>2*$B37</x:f>
        <x:v>0</x:v>
      </x:c>
      <x:c r="I37" s="45" t="n">
        <x:f>0</x:f>
        <x:v>0</x:v>
      </x:c>
      <x:c r="J37" s="45" t="n">
        <x:f>0</x:f>
        <x:v>0</x:v>
      </x:c>
      <x:c r="K37" s="45" t="n">
        <x:f>0</x:f>
        <x:v>0</x:v>
      </x:c>
      <x:c r="L37" s="45" t="n">
        <x:f>F37+I37</x:f>
        <x:v>0</x:v>
      </x:c>
      <x:c r="M37" s="45" t="n">
        <x:f>G37+J37</x:f>
        <x:v>0</x:v>
      </x:c>
      <x:c r="N37" s="45" t="n">
        <x:f>H37+K37</x:f>
        <x:v>0</x:v>
      </x:c>
      <x:c r="O37" s="45" t="n">
        <x:f>SUM(F37:H37)</x:f>
        <x:v>0</x:v>
      </x:c>
      <x:c r="P37" s="42" t="n">
        <x:f>IF(AND(F37&lt;=F53,F37&lt;=F5,F37&lt;=F21,G37&lt;=G49,G37&lt;=G45,G37&lt;=G41,H37&lt;=H34,H37&lt;=H36,H37&lt;=H35),1,0)</x:f>
        <x:v>1</x:v>
      </x:c>
      <x:c r="Q37" s="42" t="n">
        <x:f>IF(AND(L37&lt;=L53,L37&lt;=L5,L37&lt;=L21,M37&lt;=M49,M37&lt;=M45,M37&lt;=M41,N37&lt;=N34,N37&lt;=N36,N37&lt;=N35),1,0)</x:f>
        <x:v>1</x:v>
      </x:c>
      <x:c r="R37" s="42" t="n">
        <x:v>1</x:v>
      </x:c>
      <x:c r="S37" s="42" t="n">
        <x:v>1</x:v>
      </x:c>
    </x:row>
    <x:row r="38">
      <x:c r="A38" t="n">
        <x:v>1</x:v>
      </x:c>
      <x:c r="B38" t="n">
        <x:v>0</x:v>
      </x:c>
      <x:c r="C38" t="n">
        <x:v>0</x:v>
      </x:c>
      <x:c r="D38" t="n">
        <x:v>0</x:v>
      </x:c>
      <x:c r="E38" t="str">
        <x:v>ole</x:v>
      </x:c>
      <x:c r="F38" s="45" t="n">
        <x:f>0</x:f>
        <x:v>0</x:v>
      </x:c>
      <x:c r="G38" s="45" t="n">
        <x:f>1*$D38</x:f>
        <x:v>0</x:v>
      </x:c>
      <x:c r="H38" s="45" t="n">
        <x:f>1*$B38</x:f>
        <x:v>0</x:v>
      </x:c>
      <x:c r="I38" s="45" t="n">
        <x:f>0</x:f>
        <x:v>0</x:v>
      </x:c>
      <x:c r="J38" s="45" t="n">
        <x:f>0</x:f>
        <x:v>0</x:v>
      </x:c>
      <x:c r="K38" s="45" t="n">
        <x:f>0</x:f>
        <x:v>0</x:v>
      </x:c>
      <x:c r="L38" s="45" t="n">
        <x:f>F38+I38</x:f>
        <x:v>0</x:v>
      </x:c>
      <x:c r="M38" s="45" t="n">
        <x:f>G38+J38</x:f>
        <x:v>0</x:v>
      </x:c>
      <x:c r="N38" s="45" t="n">
        <x:f>H38+K38</x:f>
        <x:v>0</x:v>
      </x:c>
      <x:c r="O38" s="45" t="n">
        <x:f>SUM(F38:H38)</x:f>
        <x:v>0</x:v>
      </x:c>
      <x:c r="P38" s="42" t="n">
        <x:f>IF(AND(F38&lt;=F54,F38&lt;=F6,F38&lt;=F22,G38&lt;=G46,G38&lt;=G34,G38&lt;=G42,H38&lt;=H41,H38&lt;=H40,H38&lt;=H39),1,0)</x:f>
        <x:v>1</x:v>
      </x:c>
      <x:c r="Q38" s="42" t="n">
        <x:f>IF(AND(L38&lt;=L54,L38&lt;=L6,L38&lt;=L22,M38&lt;=M46,M38&lt;=M34,M38&lt;=M42,N38&lt;=N41,N38&lt;=N40,N38&lt;=N39),1,0)</x:f>
        <x:v>1</x:v>
      </x:c>
      <x:c r="R38" s="42" t="n">
        <x:v>1</x:v>
      </x:c>
      <x:c r="S38" s="42" t="n">
        <x:v>1</x:v>
      </x:c>
    </x:row>
    <x:row r="39">
      <x:c r="A39" t="n">
        <x:v>1</x:v>
      </x:c>
      <x:c r="B39" t="n">
        <x:v>0</x:v>
      </x:c>
      <x:c r="C39" t="n">
        <x:v>0</x:v>
      </x:c>
      <x:c r="D39" t="n">
        <x:v>0</x:v>
      </x:c>
      <x:c r="E39" t="str">
        <x:v>oll</x:v>
      </x:c>
      <x:c r="F39" s="45" t="n">
        <x:f>0</x:f>
        <x:v>0</x:v>
      </x:c>
      <x:c r="G39" s="45" t="n">
        <x:f>(1/2)*$C39+(3/2)*$D39</x:f>
        <x:v>0</x:v>
      </x:c>
      <x:c r="H39" s="45" t="n">
        <x:f>(1/2)*$C39+(3/2)*$D39</x:f>
        <x:v>0</x:v>
      </x:c>
      <x:c r="I39" s="45" t="n">
        <x:f>0</x:f>
        <x:v>0</x:v>
      </x:c>
      <x:c r="J39" s="45" t="n">
        <x:f>(1/2)*($C39+$D39)</x:f>
        <x:v>0</x:v>
      </x:c>
      <x:c r="K39" s="45" t="n">
        <x:f>(1/2)*($C39+$D39)</x:f>
        <x:v>0</x:v>
      </x:c>
      <x:c r="L39" s="45" t="n">
        <x:f>F39+I39</x:f>
        <x:v>0</x:v>
      </x:c>
      <x:c r="M39" s="45" t="n">
        <x:f>G39+J39</x:f>
        <x:v>0</x:v>
      </x:c>
      <x:c r="N39" s="45" t="n">
        <x:f>H39+K39</x:f>
        <x:v>0</x:v>
      </x:c>
      <x:c r="O39" s="45" t="n">
        <x:f>SUM(F39:H39)</x:f>
        <x:v>0</x:v>
      </x:c>
      <x:c r="P39" s="42" t="n">
        <x:f>IF(AND(F39&lt;=F55,F39&lt;=F7,F39&lt;=F23,G39&lt;=G47,G39&lt;=G35,G39&lt;=G43,H39&lt;=H41,H39&lt;=H38,H39&lt;=H40),1,0)</x:f>
        <x:v>1</x:v>
      </x:c>
      <x:c r="Q39" s="42" t="n">
        <x:f>IF(AND(L39&lt;=L55,L39&lt;=L7,L39&lt;=L23,M39&lt;=M47,M39&lt;=M35,M39&lt;=M43,N39&lt;=N41,N39&lt;=N38,N39&lt;=N40),1,0)</x:f>
        <x:v>1</x:v>
      </x:c>
      <x:c r="R39" s="42" t="n">
        <x:v>1</x:v>
      </x:c>
      <x:c r="S39" s="42" t="n">
        <x:v>1</x:v>
      </x:c>
    </x:row>
    <x:row r="40">
      <x:c r="A40" t="n">
        <x:v>1</x:v>
      </x:c>
      <x:c r="B40" t="n">
        <x:v>0</x:v>
      </x:c>
      <x:c r="C40" t="n">
        <x:v>0</x:v>
      </x:c>
      <x:c r="D40" t="n">
        <x:v>0</x:v>
      </x:c>
      <x:c r="E40" t="str">
        <x:v>olo</x:v>
      </x:c>
      <x:c r="F40" s="45" t="n">
        <x:f>(1/2)*$C40+(1/2)*$D40</x:f>
        <x:v>0</x:v>
      </x:c>
      <x:c r="G40" s="45" t="n">
        <x:f>1*$C40+2*$D40</x:f>
        <x:v>0</x:v>
      </x:c>
      <x:c r="H40" s="45" t="n">
        <x:f>(1/2)*$C40+(1/2)*$D40</x:f>
        <x:v>0</x:v>
      </x:c>
      <x:c r="I40" s="45" t="n">
        <x:f>(3/2)*($C40+$D40)</x:f>
        <x:v>0</x:v>
      </x:c>
      <x:c r="J40" s="45" t="n">
        <x:f>0</x:f>
        <x:v>0</x:v>
      </x:c>
      <x:c r="K40" s="45" t="n">
        <x:f>(3/2)*($C40+$D40)</x:f>
        <x:v>0</x:v>
      </x:c>
      <x:c r="L40" s="45" t="n">
        <x:f>F40+I40</x:f>
        <x:v>0</x:v>
      </x:c>
      <x:c r="M40" s="45" t="n">
        <x:f>G40+J40</x:f>
        <x:v>0</x:v>
      </x:c>
      <x:c r="N40" s="45" t="n">
        <x:f>H40+K40</x:f>
        <x:v>0</x:v>
      </x:c>
      <x:c r="O40" s="45" t="n">
        <x:f>SUM(F40:H40)</x:f>
        <x:v>0</x:v>
      </x:c>
      <x:c r="P40" s="42" t="n">
        <x:f>IF(AND(F40&lt;=F56,F40&lt;=F8,F40&lt;=F24,G40&lt;=G48,G40&lt;=G36,G40&lt;=G44,H40&lt;=H41,H40&lt;=H38,H40&lt;=H39),1,0)</x:f>
        <x:v>1</x:v>
      </x:c>
      <x:c r="Q40" s="42" t="n">
        <x:f>IF(AND(L40&lt;=L56,L40&lt;=L8,L40&lt;=L24,M40&lt;=M48,M40&lt;=M36,M40&lt;=M44,N40&lt;=N41,N40&lt;=N38,N40&lt;=N39),1,0)</x:f>
        <x:v>1</x:v>
      </x:c>
      <x:c r="R40" s="42" t="n">
        <x:v>1</x:v>
      </x:c>
      <x:c r="S40" s="42" t="n">
        <x:v>1</x:v>
      </x:c>
    </x:row>
    <x:row r="41">
      <x:c r="A41" t="n">
        <x:v>1</x:v>
      </x:c>
      <x:c r="B41" t="n">
        <x:v>0</x:v>
      </x:c>
      <x:c r="C41" t="n">
        <x:v>0</x:v>
      </x:c>
      <x:c r="D41" t="n">
        <x:v>0</x:v>
      </x:c>
      <x:c r="E41" t="str">
        <x:v>olv</x:v>
      </x:c>
      <x:c r="F41" s="45" t="n">
        <x:f>0</x:f>
        <x:v>0</x:v>
      </x:c>
      <x:c r="G41" s="45" t="n">
        <x:f>1*$D41</x:f>
        <x:v>0</x:v>
      </x:c>
      <x:c r="H41" s="45" t="n">
        <x:f>2*$B41</x:f>
        <x:v>0</x:v>
      </x:c>
      <x:c r="I41" s="45" t="n">
        <x:f>0</x:f>
        <x:v>0</x:v>
      </x:c>
      <x:c r="J41" s="45" t="n">
        <x:f>0</x:f>
        <x:v>0</x:v>
      </x:c>
      <x:c r="K41" s="45" t="n">
        <x:f>0</x:f>
        <x:v>0</x:v>
      </x:c>
      <x:c r="L41" s="45" t="n">
        <x:f>F41+I41</x:f>
        <x:v>0</x:v>
      </x:c>
      <x:c r="M41" s="45" t="n">
        <x:f>G41+J41</x:f>
        <x:v>0</x:v>
      </x:c>
      <x:c r="N41" s="45" t="n">
        <x:f>H41+K41</x:f>
        <x:v>0</x:v>
      </x:c>
      <x:c r="O41" s="45" t="n">
        <x:f>SUM(F41:H41)</x:f>
        <x:v>0</x:v>
      </x:c>
      <x:c r="P41" s="42" t="n">
        <x:f>IF(AND(F41&lt;=F57,F41&lt;=F9,F41&lt;=F25,G41&lt;=G49,G41&lt;=G37,G41&lt;=G45,H41&lt;=H38,H41&lt;=H40,H41&lt;=H39),1,0)</x:f>
        <x:v>1</x:v>
      </x:c>
      <x:c r="Q41" s="42" t="n">
        <x:f>IF(AND(L41&lt;=L57,L41&lt;=L9,L41&lt;=L25,M41&lt;=M49,M41&lt;=M37,M41&lt;=M45,N41&lt;=N38,N41&lt;=N40,N41&lt;=N39),1,0)</x:f>
        <x:v>1</x:v>
      </x:c>
      <x:c r="R41" s="42" t="n">
        <x:v>1</x:v>
      </x:c>
      <x:c r="S41" s="42" t="n">
        <x:v>1</x:v>
      </x:c>
    </x:row>
    <x:row r="42">
      <x:c r="A42" t="n">
        <x:v>1</x:v>
      </x:c>
      <x:c r="B42" t="n">
        <x:v>0</x:v>
      </x:c>
      <x:c r="C42" t="n">
        <x:v>0</x:v>
      </x:c>
      <x:c r="D42" t="n">
        <x:v>0</x:v>
      </x:c>
      <x:c r="E42" t="str">
        <x:v>ooe</x:v>
      </x:c>
      <x:c r="F42" s="45" t="n">
        <x:f>(1/2)*$C42+(1/2)*$D42</x:f>
        <x:v>0</x:v>
      </x:c>
      <x:c r="G42" s="45" t="n">
        <x:f>(1/2)*$C42+(1/2)*$D42</x:f>
        <x:v>0</x:v>
      </x:c>
      <x:c r="H42" s="45" t="n">
        <x:f>1*$B42</x:f>
        <x:v>0</x:v>
      </x:c>
      <x:c r="I42" s="45" t="n">
        <x:f>(1/2)*($C42+$D42)</x:f>
        <x:v>0</x:v>
      </x:c>
      <x:c r="J42" s="45" t="n">
        <x:f>(1/2)*($C42+$D42)</x:f>
        <x:v>0</x:v>
      </x:c>
      <x:c r="K42" s="45" t="n">
        <x:f>0</x:f>
        <x:v>0</x:v>
      </x:c>
      <x:c r="L42" s="45" t="n">
        <x:f>F42+I42</x:f>
        <x:v>0</x:v>
      </x:c>
      <x:c r="M42" s="45" t="n">
        <x:f>G42+J42</x:f>
        <x:v>0</x:v>
      </x:c>
      <x:c r="N42" s="45" t="n">
        <x:f>H42+K42</x:f>
        <x:v>0</x:v>
      </x:c>
      <x:c r="O42" s="45" t="n">
        <x:f>SUM(F42:H42)</x:f>
        <x:v>0</x:v>
      </x:c>
      <x:c r="P42" s="42" t="n">
        <x:f>IF(AND(F42&lt;=F58,F42&lt;=F10,F42&lt;=F26,G42&lt;=G46,G42&lt;=G34,G42&lt;=G38,H42&lt;=H45,H42&lt;=H44,H42&lt;=H43),1,0)</x:f>
        <x:v>1</x:v>
      </x:c>
      <x:c r="Q42" s="42" t="n">
        <x:f>IF(AND(L42&lt;=L58,L42&lt;=L10,L42&lt;=L26,M42&lt;=M46,M42&lt;=M34,M42&lt;=M38,N42&lt;=N45,N42&lt;=N44,N42&lt;=N43),1,0)</x:f>
        <x:v>1</x:v>
      </x:c>
      <x:c r="R42" s="42" t="n">
        <x:v>1</x:v>
      </x:c>
      <x:c r="S42" s="42" t="n">
        <x:v>1</x:v>
      </x:c>
    </x:row>
    <x:row r="43">
      <x:c r="A43" t="n">
        <x:v>1</x:v>
      </x:c>
      <x:c r="B43" t="n">
        <x:v>0</x:v>
      </x:c>
      <x:c r="C43" t="n">
        <x:v>0</x:v>
      </x:c>
      <x:c r="D43" t="n">
        <x:v>0</x:v>
      </x:c>
      <x:c r="E43" t="str">
        <x:v>ool</x:v>
      </x:c>
      <x:c r="F43" s="45" t="n">
        <x:f>(1/2)*$C43+(1/2)*$D43</x:f>
        <x:v>0</x:v>
      </x:c>
      <x:c r="G43" s="45" t="n">
        <x:f>(1/2)*$C43+(1/2)*$D43</x:f>
        <x:v>0</x:v>
      </x:c>
      <x:c r="H43" s="45" t="n">
        <x:f>1*$C43+2*$D43</x:f>
        <x:v>0</x:v>
      </x:c>
      <x:c r="I43" s="45" t="n">
        <x:f>(3/2)*($C43+$D43)</x:f>
        <x:v>0</x:v>
      </x:c>
      <x:c r="J43" s="45" t="n">
        <x:f>(3/2)*($C43+$D43)</x:f>
        <x:v>0</x:v>
      </x:c>
      <x:c r="K43" s="45" t="n">
        <x:f>0</x:f>
        <x:v>0</x:v>
      </x:c>
      <x:c r="L43" s="45" t="n">
        <x:f>F43+I43</x:f>
        <x:v>0</x:v>
      </x:c>
      <x:c r="M43" s="45" t="n">
        <x:f>G43+J43</x:f>
        <x:v>0</x:v>
      </x:c>
      <x:c r="N43" s="45" t="n">
        <x:f>H43+K43</x:f>
        <x:v>0</x:v>
      </x:c>
      <x:c r="O43" s="45" t="n">
        <x:f>SUM(F43:H43)</x:f>
        <x:v>0</x:v>
      </x:c>
      <x:c r="P43" s="42" t="n">
        <x:f>IF(AND(F43&lt;=F59,F43&lt;=F11,F43&lt;=F27,G43&lt;=G47,G43&lt;=G35,G43&lt;=G39,H43&lt;=H45,H43&lt;=H42,H43&lt;=H44),1,0)</x:f>
        <x:v>1</x:v>
      </x:c>
      <x:c r="Q43" s="42" t="n">
        <x:f>IF(AND(L43&lt;=L59,L43&lt;=L11,L43&lt;=L27,M43&lt;=M47,M43&lt;=M35,M43&lt;=M39,N43&lt;=N45,N43&lt;=N42,N43&lt;=N44),1,0)</x:f>
        <x:v>1</x:v>
      </x:c>
      <x:c r="R43" s="42" t="n">
        <x:v>1</x:v>
      </x:c>
      <x:c r="S43" s="42" t="n">
        <x:v>1</x:v>
      </x:c>
    </x:row>
    <x:row r="44">
      <x:c r="A44" t="n">
        <x:v>1</x:v>
      </x:c>
      <x:c r="B44" t="n">
        <x:v>0</x:v>
      </x:c>
      <x:c r="C44" t="n">
        <x:v>0</x:v>
      </x:c>
      <x:c r="D44" t="n">
        <x:v>0</x:v>
      </x:c>
      <x:c r="E44" t="str">
        <x:v>ooo</x:v>
      </x:c>
      <x:c r="F44" s="45" t="n">
        <x:f>1*$C44+1*$D44</x:f>
        <x:v>0</x:v>
      </x:c>
      <x:c r="G44" s="45" t="n">
        <x:f>1*$C44+1*$D44</x:f>
        <x:v>0</x:v>
      </x:c>
      <x:c r="H44" s="45" t="n">
        <x:f>1*$C44+1*$D44</x:f>
        <x:v>0</x:v>
      </x:c>
      <x:c r="I44" s="45" t="n">
        <x:f>$C44+$D44</x:f>
        <x:v>0</x:v>
      </x:c>
      <x:c r="J44" s="45" t="n">
        <x:f>$C44+$D44</x:f>
        <x:v>0</x:v>
      </x:c>
      <x:c r="K44" s="45" t="n">
        <x:f>$C44+$D44</x:f>
        <x:v>0</x:v>
      </x:c>
      <x:c r="L44" s="45" t="n">
        <x:f>F44+I44</x:f>
        <x:v>0</x:v>
      </x:c>
      <x:c r="M44" s="45" t="n">
        <x:f>G44+J44</x:f>
        <x:v>0</x:v>
      </x:c>
      <x:c r="N44" s="45" t="n">
        <x:f>H44+K44</x:f>
        <x:v>0</x:v>
      </x:c>
      <x:c r="O44" s="45" t="n">
        <x:f>SUM(F44:H44)</x:f>
        <x:v>0</x:v>
      </x:c>
      <x:c r="P44" s="42" t="n">
        <x:f>IF(AND(F44&lt;=F60,F44&lt;=F12,F44&lt;=F28,G44&lt;=G48,G44&lt;=G36,G44&lt;=G40,H44&lt;=H45,H44&lt;=H42,H44&lt;=H43),1,0)</x:f>
        <x:v>1</x:v>
      </x:c>
      <x:c r="Q44" s="42" t="n">
        <x:f>IF(AND(L44&lt;=L60,L44&lt;=L12,L44&lt;=L28,M44&lt;=M48,M44&lt;=M36,M44&lt;=M40,N44&lt;=N45,N44&lt;=N42,N44&lt;=N43),1,0)</x:f>
        <x:v>1</x:v>
      </x:c>
      <x:c r="R44" s="42" t="n">
        <x:v>1</x:v>
      </x:c>
      <x:c r="S44" s="42" t="n">
        <x:v>1</x:v>
      </x:c>
    </x:row>
    <x:row r="45">
      <x:c r="A45" t="n">
        <x:v>1</x:v>
      </x:c>
      <x:c r="B45" t="n">
        <x:v>0</x:v>
      </x:c>
      <x:c r="C45" t="n">
        <x:v>0</x:v>
      </x:c>
      <x:c r="D45" t="n">
        <x:v>0</x:v>
      </x:c>
      <x:c r="E45" t="str">
        <x:v>oov</x:v>
      </x:c>
      <x:c r="F45" s="45" t="n">
        <x:f>(1/2)*$C45+(1/2)*$D45</x:f>
        <x:v>0</x:v>
      </x:c>
      <x:c r="G45" s="45" t="n">
        <x:f>(1/2)*$C45+(1/2)*$D45</x:f>
        <x:v>0</x:v>
      </x:c>
      <x:c r="H45" s="45" t="n">
        <x:f>2*$B45</x:f>
        <x:v>0</x:v>
      </x:c>
      <x:c r="I45" s="45" t="n">
        <x:f>(1/2)*($C45+$D45)</x:f>
        <x:v>0</x:v>
      </x:c>
      <x:c r="J45" s="45" t="n">
        <x:f>(1/2)*($C45+$D45)</x:f>
        <x:v>0</x:v>
      </x:c>
      <x:c r="K45" s="45" t="n">
        <x:f>0</x:f>
        <x:v>0</x:v>
      </x:c>
      <x:c r="L45" s="45" t="n">
        <x:f>F45+I45</x:f>
        <x:v>0</x:v>
      </x:c>
      <x:c r="M45" s="45" t="n">
        <x:f>G45+J45</x:f>
        <x:v>0</x:v>
      </x:c>
      <x:c r="N45" s="45" t="n">
        <x:f>H45+K45</x:f>
        <x:v>0</x:v>
      </x:c>
      <x:c r="O45" s="45" t="n">
        <x:f>SUM(F45:H45)</x:f>
        <x:v>0</x:v>
      </x:c>
      <x:c r="P45" s="42" t="n">
        <x:f>IF(AND(F45&lt;=F61,F45&lt;=F13,F45&lt;=F29,G45&lt;=G49,G45&lt;=G37,G45&lt;=G41,H45&lt;=H42,H45&lt;=H44,H45&lt;=H43),1,0)</x:f>
        <x:v>1</x:v>
      </x:c>
      <x:c r="Q45" s="42" t="n">
        <x:f>IF(AND(L45&lt;=L61,L45&lt;=L13,L45&lt;=L29,M45&lt;=M49,M45&lt;=M37,M45&lt;=M41,N45&lt;=N42,N45&lt;=N44,N45&lt;=N43),1,0)</x:f>
        <x:v>1</x:v>
      </x:c>
      <x:c r="R45" s="42" t="n">
        <x:v>1</x:v>
      </x:c>
      <x:c r="S45" s="42" t="n">
        <x:v>1</x:v>
      </x:c>
    </x:row>
    <x:row r="46">
      <x:c r="A46" t="n">
        <x:v>1</x:v>
      </x:c>
      <x:c r="B46" t="n">
        <x:v>0</x:v>
      </x:c>
      <x:c r="C46" t="n">
        <x:v>0</x:v>
      </x:c>
      <x:c r="D46" t="n">
        <x:v>0</x:v>
      </x:c>
      <x:c r="E46" t="str">
        <x:v>ove</x:v>
      </x:c>
      <x:c r="F46" s="45" t="n">
        <x:f>0</x:f>
        <x:v>0</x:v>
      </x:c>
      <x:c r="G46" s="45" t="n">
        <x:f>2*$B46</x:f>
        <x:v>0</x:v>
      </x:c>
      <x:c r="H46" s="45" t="n">
        <x:f>1*$B46</x:f>
        <x:v>0</x:v>
      </x:c>
      <x:c r="I46" s="45" t="n">
        <x:f>0</x:f>
        <x:v>0</x:v>
      </x:c>
      <x:c r="J46" s="45" t="n">
        <x:f>0</x:f>
        <x:v>0</x:v>
      </x:c>
      <x:c r="K46" s="45" t="n">
        <x:f>0</x:f>
        <x:v>0</x:v>
      </x:c>
      <x:c r="L46" s="45" t="n">
        <x:f>F46+I46</x:f>
        <x:v>0</x:v>
      </x:c>
      <x:c r="M46" s="45" t="n">
        <x:f>G46+J46</x:f>
        <x:v>0</x:v>
      </x:c>
      <x:c r="N46" s="45" t="n">
        <x:f>H46+K46</x:f>
        <x:v>0</x:v>
      </x:c>
      <x:c r="O46" s="45" t="n">
        <x:f>SUM(F46:H46)</x:f>
        <x:v>0</x:v>
      </x:c>
      <x:c r="P46" s="42" t="n">
        <x:f>IF(AND(F46&lt;=F62,F46&lt;=F14,F46&lt;=F30,G46&lt;=G34,G46&lt;=G42,G46&lt;=G38,H46&lt;=H49,H46&lt;=H48,H46&lt;=H47),1,0)</x:f>
        <x:v>1</x:v>
      </x:c>
      <x:c r="Q46" s="42" t="n">
        <x:f>IF(AND(L46&lt;=L62,L46&lt;=L14,L46&lt;=L30,M46&lt;=M34,M46&lt;=M42,M46&lt;=M38,N46&lt;=N49,N46&lt;=N48,N46&lt;=N47),1,0)</x:f>
        <x:v>1</x:v>
      </x:c>
      <x:c r="R46" s="42" t="n">
        <x:v>1</x:v>
      </x:c>
      <x:c r="S46" s="42" t="n">
        <x:v>1</x:v>
      </x:c>
    </x:row>
    <x:row r="47">
      <x:c r="A47" t="n">
        <x:v>1</x:v>
      </x:c>
      <x:c r="B47" t="n">
        <x:v>0</x:v>
      </x:c>
      <x:c r="C47" t="n">
        <x:v>0</x:v>
      </x:c>
      <x:c r="D47" t="n">
        <x:v>0</x:v>
      </x:c>
      <x:c r="E47" t="str">
        <x:v>ovl</x:v>
      </x:c>
      <x:c r="F47" s="45" t="n">
        <x:f>0</x:f>
        <x:v>0</x:v>
      </x:c>
      <x:c r="G47" s="45" t="n">
        <x:f>2*$B47</x:f>
        <x:v>0</x:v>
      </x:c>
      <x:c r="H47" s="45" t="n">
        <x:f>1*$D47</x:f>
        <x:v>0</x:v>
      </x:c>
      <x:c r="I47" s="45" t="n">
        <x:f>0</x:f>
        <x:v>0</x:v>
      </x:c>
      <x:c r="J47" s="45" t="n">
        <x:f>0</x:f>
        <x:v>0</x:v>
      </x:c>
      <x:c r="K47" s="45" t="n">
        <x:f>0</x:f>
        <x:v>0</x:v>
      </x:c>
      <x:c r="L47" s="45" t="n">
        <x:f>F47+I47</x:f>
        <x:v>0</x:v>
      </x:c>
      <x:c r="M47" s="45" t="n">
        <x:f>G47+J47</x:f>
        <x:v>0</x:v>
      </x:c>
      <x:c r="N47" s="45" t="n">
        <x:f>H47+K47</x:f>
        <x:v>0</x:v>
      </x:c>
      <x:c r="O47" s="45" t="n">
        <x:f>SUM(F47:H47)</x:f>
        <x:v>0</x:v>
      </x:c>
      <x:c r="P47" s="42" t="n">
        <x:f>IF(AND(F47&lt;=F63,F47&lt;=F15,F47&lt;=F31,G47&lt;=G35,G47&lt;=G43,G47&lt;=G39,H47&lt;=H49,H47&lt;=H46,H47&lt;=H48),1,0)</x:f>
        <x:v>1</x:v>
      </x:c>
      <x:c r="Q47" s="42" t="n">
        <x:f>IF(AND(L47&lt;=L63,L47&lt;=L15,L47&lt;=L31,M47&lt;=M35,M47&lt;=M43,M47&lt;=M39,N47&lt;=N49,N47&lt;=N46,N47&lt;=N48),1,0)</x:f>
        <x:v>1</x:v>
      </x:c>
      <x:c r="R47" s="42" t="n">
        <x:v>1</x:v>
      </x:c>
      <x:c r="S47" s="42" t="n">
        <x:v>1</x:v>
      </x:c>
    </x:row>
    <x:row r="48">
      <x:c r="A48" t="n">
        <x:v>1</x:v>
      </x:c>
      <x:c r="B48" t="n">
        <x:v>0</x:v>
      </x:c>
      <x:c r="C48" t="n">
        <x:v>0</x:v>
      </x:c>
      <x:c r="D48" t="n">
        <x:v>0</x:v>
      </x:c>
      <x:c r="E48" t="str">
        <x:v>ovo</x:v>
      </x:c>
      <x:c r="F48" s="45" t="n">
        <x:f>(1/2)*$C48+(1/2)*$D48</x:f>
        <x:v>0</x:v>
      </x:c>
      <x:c r="G48" s="45" t="n">
        <x:f>2*$B48</x:f>
        <x:v>0</x:v>
      </x:c>
      <x:c r="H48" s="45" t="n">
        <x:f>(1/2)*$C48+(1/2)*$D48</x:f>
        <x:v>0</x:v>
      </x:c>
      <x:c r="I48" s="45" t="n">
        <x:f>(1/2)*($C48+$D48)</x:f>
        <x:v>0</x:v>
      </x:c>
      <x:c r="J48" s="45" t="n">
        <x:f>0</x:f>
        <x:v>0</x:v>
      </x:c>
      <x:c r="K48" s="45" t="n">
        <x:f>(1/2)*($C48+$D48)</x:f>
        <x:v>0</x:v>
      </x:c>
      <x:c r="L48" s="45" t="n">
        <x:f>F48+I48</x:f>
        <x:v>0</x:v>
      </x:c>
      <x:c r="M48" s="45" t="n">
        <x:f>G48+J48</x:f>
        <x:v>0</x:v>
      </x:c>
      <x:c r="N48" s="45" t="n">
        <x:f>H48+K48</x:f>
        <x:v>0</x:v>
      </x:c>
      <x:c r="O48" s="45" t="n">
        <x:f>SUM(F48:H48)</x:f>
        <x:v>0</x:v>
      </x:c>
      <x:c r="P48" s="42" t="n">
        <x:f>IF(AND(F48&lt;=F64,F48&lt;=F16,F48&lt;=F32,G48&lt;=G36,G48&lt;=G44,G48&lt;=G40,H48&lt;=H49,H48&lt;=H46,H48&lt;=H47),1,0)</x:f>
        <x:v>1</x:v>
      </x:c>
      <x:c r="Q48" s="42" t="n">
        <x:f>IF(AND(L48&lt;=L64,L48&lt;=L16,L48&lt;=L32,M48&lt;=M36,M48&lt;=M44,M48&lt;=M40,N48&lt;=N49,N48&lt;=N46,N48&lt;=N47),1,0)</x:f>
        <x:v>1</x:v>
      </x:c>
      <x:c r="R48" s="42" t="n">
        <x:v>1</x:v>
      </x:c>
      <x:c r="S48" s="42" t="n">
        <x:v>1</x:v>
      </x:c>
    </x:row>
    <x:row r="49">
      <x:c r="A49" t="n">
        <x:v>1</x:v>
      </x:c>
      <x:c r="B49" t="n">
        <x:v>0</x:v>
      </x:c>
      <x:c r="C49" t="n">
        <x:v>0</x:v>
      </x:c>
      <x:c r="D49" t="n">
        <x:v>0</x:v>
      </x:c>
      <x:c r="E49" t="str">
        <x:v>ovv</x:v>
      </x:c>
      <x:c r="F49" s="45" t="n">
        <x:f>0</x:f>
        <x:v>0</x:v>
      </x:c>
      <x:c r="G49" s="45" t="n">
        <x:f>(3/2)*$B49+(1/2)*$C49</x:f>
        <x:v>0</x:v>
      </x:c>
      <x:c r="H49" s="45" t="n">
        <x:f>(3/2)*$B49+(1/2)*$C49</x:f>
        <x:v>0</x:v>
      </x:c>
      <x:c r="I49" s="45" t="n">
        <x:f>0</x:f>
        <x:v>0</x:v>
      </x:c>
      <x:c r="J49" s="45" t="n">
        <x:f>MAX((1/2)*($C49-$B49),0)</x:f>
        <x:v>0</x:v>
      </x:c>
      <x:c r="K49" s="45" t="n">
        <x:f>MAX((1/2)*($C49-$B49),0)</x:f>
        <x:v>0</x:v>
      </x:c>
      <x:c r="L49" s="45" t="n">
        <x:f>F49+I49</x:f>
        <x:v>0</x:v>
      </x:c>
      <x:c r="M49" s="45" t="n">
        <x:f>G49+J49</x:f>
        <x:v>0</x:v>
      </x:c>
      <x:c r="N49" s="45" t="n">
        <x:f>H49+K49</x:f>
        <x:v>0</x:v>
      </x:c>
      <x:c r="O49" s="45" t="n">
        <x:f>SUM(F49:H49)</x:f>
        <x:v>0</x:v>
      </x:c>
      <x:c r="P49" s="42" t="n">
        <x:f>IF(AND(F49&lt;=F65,F49&lt;=F17,F49&lt;=F33,G49&lt;=G37,G49&lt;=G45,G49&lt;=G41,H49&lt;=H46,H49&lt;=H48,H49&lt;=H47),1,0)</x:f>
        <x:v>1</x:v>
      </x:c>
      <x:c r="Q49" s="42" t="n">
        <x:f>IF(AND(L49&lt;=L65,L49&lt;=L17,L49&lt;=L33,M49&lt;=M37,M49&lt;=M45,M49&lt;=M41,N49&lt;=N46,N49&lt;=N48,N49&lt;=N47),1,0)</x:f>
        <x:v>1</x:v>
      </x:c>
      <x:c r="R49" s="42" t="n">
        <x:v>1</x:v>
      </x:c>
      <x:c r="S49" s="42" t="n">
        <x:v>1</x:v>
      </x:c>
    </x:row>
    <x:row r="50">
      <x:c r="A50" t="n">
        <x:v>1</x:v>
      </x:c>
      <x:c r="B50" t="n">
        <x:v>0</x:v>
      </x:c>
      <x:c r="C50" t="n">
        <x:v>0</x:v>
      </x:c>
      <x:c r="D50" t="n">
        <x:v>0</x:v>
      </x:c>
      <x:c r="E50" t="str">
        <x:v>vee</x:v>
      </x:c>
      <x:c r="F50" s="45" t="n">
        <x:f>2*$B50</x:f>
        <x:v>0</x:v>
      </x:c>
      <x:c r="G50" s="45" t="n">
        <x:f>(1/2)*$B50+(1/2)*$C50</x:f>
        <x:v>0</x:v>
      </x:c>
      <x:c r="H50" s="45" t="n">
        <x:f>(1/2)*$B50+(1/2)*$C50</x:f>
        <x:v>0</x:v>
      </x:c>
      <x:c r="I50" s="45" t="n">
        <x:f>0</x:f>
        <x:v>0</x:v>
      </x:c>
      <x:c r="J50" s="45" t="n">
        <x:f>MAX((1/2)*($C50-$B50),0)</x:f>
        <x:v>0</x:v>
      </x:c>
      <x:c r="K50" s="45" t="n">
        <x:f>MAX((1/2)*($C50-$B50),0)</x:f>
        <x:v>0</x:v>
      </x:c>
      <x:c r="L50" s="45" t="n">
        <x:f>F50+I50</x:f>
        <x:v>0</x:v>
      </x:c>
      <x:c r="M50" s="45" t="n">
        <x:f>G50+J50</x:f>
        <x:v>0</x:v>
      </x:c>
      <x:c r="N50" s="45" t="n">
        <x:f>H50+K50</x:f>
        <x:v>0</x:v>
      </x:c>
      <x:c r="O50" s="45" t="n">
        <x:f>SUM(F50:H50)</x:f>
        <x:v>0</x:v>
      </x:c>
      <x:c r="P50" s="42" t="n">
        <x:f>IF(AND(F50&lt;=F2,F50&lt;=F34,F50&lt;=F18,G50&lt;=G62,G50&lt;=G58,G50&lt;=G54,H50&lt;=H53,H50&lt;=H52,H50&lt;=H51),1,0)</x:f>
        <x:v>1</x:v>
      </x:c>
      <x:c r="Q50" s="42" t="n">
        <x:f>IF(AND(L50&lt;=L2,L50&lt;=L34,L50&lt;=L18,M50&lt;=M62,M50&lt;=M58,M50&lt;=M54,N50&lt;=N53,N50&lt;=N52,N50&lt;=N51),1,0)</x:f>
        <x:v>1</x:v>
      </x:c>
      <x:c r="R50" s="42" t="n">
        <x:v>1</x:v>
      </x:c>
      <x:c r="S50" s="42" t="n">
        <x:v>1</x:v>
      </x:c>
    </x:row>
    <x:row r="51">
      <x:c r="A51" t="n">
        <x:v>1</x:v>
      </x:c>
      <x:c r="B51" t="n">
        <x:v>0</x:v>
      </x:c>
      <x:c r="C51" t="n">
        <x:v>0</x:v>
      </x:c>
      <x:c r="D51" t="n">
        <x:v>0</x:v>
      </x:c>
      <x:c r="E51" t="str">
        <x:v>vel</x:v>
      </x:c>
      <x:c r="F51" s="45" t="n">
        <x:f>2*$B51</x:f>
        <x:v>0</x:v>
      </x:c>
      <x:c r="G51" s="45" t="n">
        <x:f>1*$B51</x:f>
        <x:v>0</x:v>
      </x:c>
      <x:c r="H51" s="45" t="n">
        <x:f>1*$D51</x:f>
        <x:v>0</x:v>
      </x:c>
      <x:c r="I51" s="45" t="n">
        <x:f>0</x:f>
        <x:v>0</x:v>
      </x:c>
      <x:c r="J51" s="45" t="n">
        <x:f>0</x:f>
        <x:v>0</x:v>
      </x:c>
      <x:c r="K51" s="45" t="n">
        <x:f>0</x:f>
        <x:v>0</x:v>
      </x:c>
      <x:c r="L51" s="45" t="n">
        <x:f>F51+I51</x:f>
        <x:v>0</x:v>
      </x:c>
      <x:c r="M51" s="45" t="n">
        <x:f>G51+J51</x:f>
        <x:v>0</x:v>
      </x:c>
      <x:c r="N51" s="45" t="n">
        <x:f>H51+K51</x:f>
        <x:v>0</x:v>
      </x:c>
      <x:c r="O51" s="45" t="n">
        <x:f>SUM(F51:H51)</x:f>
        <x:v>0</x:v>
      </x:c>
      <x:c r="P51" s="42" t="n">
        <x:f>IF(AND(F51&lt;=F3,F51&lt;=F35,F51&lt;=F19,G51&lt;=G63,G51&lt;=G59,G51&lt;=G55,H51&lt;=H53,H51&lt;=H50,H51&lt;=H52),1,0)</x:f>
        <x:v>1</x:v>
      </x:c>
      <x:c r="Q51" s="42" t="n">
        <x:f>IF(AND(L51&lt;=L3,L51&lt;=L35,L51&lt;=L19,M51&lt;=M63,M51&lt;=M59,M51&lt;=M55,N51&lt;=N53,N51&lt;=N50,N51&lt;=N52),1,0)</x:f>
        <x:v>1</x:v>
      </x:c>
      <x:c r="R51" s="42" t="n">
        <x:v>1</x:v>
      </x:c>
      <x:c r="S51" s="42" t="n">
        <x:v>1</x:v>
      </x:c>
    </x:row>
    <x:row r="52">
      <x:c r="A52" t="n">
        <x:v>1</x:v>
      </x:c>
      <x:c r="B52" t="n">
        <x:v>0</x:v>
      </x:c>
      <x:c r="C52" t="n">
        <x:v>0</x:v>
      </x:c>
      <x:c r="D52" t="n">
        <x:v>0</x:v>
      </x:c>
      <x:c r="E52" t="str">
        <x:v>veo</x:v>
      </x:c>
      <x:c r="F52" s="45" t="n">
        <x:f>2*$B52</x:f>
        <x:v>0</x:v>
      </x:c>
      <x:c r="G52" s="45" t="n">
        <x:f>1*$B52</x:f>
        <x:v>0</x:v>
      </x:c>
      <x:c r="H52" s="45" t="n">
        <x:f>0</x:f>
        <x:v>0</x:v>
      </x:c>
      <x:c r="I52" s="45" t="n">
        <x:f>0</x:f>
        <x:v>0</x:v>
      </x:c>
      <x:c r="J52" s="45" t="n">
        <x:f>0</x:f>
        <x:v>0</x:v>
      </x:c>
      <x:c r="K52" s="45" t="n">
        <x:f>0</x:f>
        <x:v>0</x:v>
      </x:c>
      <x:c r="L52" s="45" t="n">
        <x:f>F52+I52</x:f>
        <x:v>0</x:v>
      </x:c>
      <x:c r="M52" s="45" t="n">
        <x:f>G52+J52</x:f>
        <x:v>0</x:v>
      </x:c>
      <x:c r="N52" s="45" t="n">
        <x:f>H52+K52</x:f>
        <x:v>0</x:v>
      </x:c>
      <x:c r="O52" s="45" t="n">
        <x:f>SUM(F52:H52)</x:f>
        <x:v>0</x:v>
      </x:c>
      <x:c r="P52" s="42" t="n">
        <x:f>IF(AND(F52&lt;=F4,F52&lt;=F36,F52&lt;=F20,G52&lt;=G64,G52&lt;=G60,G52&lt;=G56,H52&lt;=H53,H52&lt;=H50,H52&lt;=H51),1,0)</x:f>
        <x:v>1</x:v>
      </x:c>
      <x:c r="Q52" s="42" t="n">
        <x:f>IF(AND(L52&lt;=L4,L52&lt;=L36,L52&lt;=L20,M52&lt;=M64,M52&lt;=M60,M52&lt;=M56,N52&lt;=N53,N52&lt;=N50,N52&lt;=N51),1,0)</x:f>
        <x:v>1</x:v>
      </x:c>
      <x:c r="R52" s="42" t="n">
        <x:v>1</x:v>
      </x:c>
      <x:c r="S52" s="42" t="n">
        <x:v>1</x:v>
      </x:c>
    </x:row>
    <x:row r="53">
      <x:c r="A53" t="n">
        <x:v>1</x:v>
      </x:c>
      <x:c r="B53" t="n">
        <x:v>0</x:v>
      </x:c>
      <x:c r="C53" t="n">
        <x:v>0</x:v>
      </x:c>
      <x:c r="D53" t="n">
        <x:v>0</x:v>
      </x:c>
      <x:c r="E53" t="str">
        <x:v>vev</x:v>
      </x:c>
      <x:c r="F53" s="45" t="n">
        <x:f>(3/2)*$B53+(1/2)*$C53</x:f>
        <x:v>0</x:v>
      </x:c>
      <x:c r="G53" s="45" t="n">
        <x:f>1*$C53</x:f>
        <x:v>0</x:v>
      </x:c>
      <x:c r="H53" s="45" t="n">
        <x:f>(3/2)*$B53+(1/2)*$C53</x:f>
        <x:v>0</x:v>
      </x:c>
      <x:c r="I53" s="45" t="n">
        <x:f>MAX((3/2)*($C53-$B53),0)</x:f>
        <x:v>0</x:v>
      </x:c>
      <x:c r="J53" s="45" t="n">
        <x:f>0</x:f>
        <x:v>0</x:v>
      </x:c>
      <x:c r="K53" s="45" t="n">
        <x:f>MAX((3/2)*($C53-$B53),0)</x:f>
        <x:v>0</x:v>
      </x:c>
      <x:c r="L53" s="45" t="n">
        <x:f>F53+I53</x:f>
        <x:v>0</x:v>
      </x:c>
      <x:c r="M53" s="45" t="n">
        <x:f>G53+J53</x:f>
        <x:v>0</x:v>
      </x:c>
      <x:c r="N53" s="45" t="n">
        <x:f>H53+K53</x:f>
        <x:v>0</x:v>
      </x:c>
      <x:c r="O53" s="45" t="n">
        <x:f>SUM(F53:H53)</x:f>
        <x:v>0</x:v>
      </x:c>
      <x:c r="P53" s="42" t="n">
        <x:f>IF(AND(F53&lt;=F5,F53&lt;=F37,F53&lt;=F21,G53&lt;=G65,G53&lt;=G61,G53&lt;=G57,H53&lt;=H50,H53&lt;=H52,H53&lt;=H51),1,0)</x:f>
        <x:v>1</x:v>
      </x:c>
      <x:c r="Q53" s="42" t="n">
        <x:f>IF(AND(L53&lt;=L5,L53&lt;=L37,L53&lt;=L21,M53&lt;=M65,M53&lt;=M61,M53&lt;=M57,N53&lt;=N50,N53&lt;=N52,N53&lt;=N51),1,0)</x:f>
        <x:v>1</x:v>
      </x:c>
      <x:c r="R53" s="42" t="n">
        <x:v>1</x:v>
      </x:c>
      <x:c r="S53" s="42" t="n">
        <x:v>1</x:v>
      </x:c>
    </x:row>
    <x:row r="54">
      <x:c r="A54" t="n">
        <x:v>1</x:v>
      </x:c>
      <x:c r="B54" t="n">
        <x:v>0</x:v>
      </x:c>
      <x:c r="C54" t="n">
        <x:v>0</x:v>
      </x:c>
      <x:c r="D54" t="n">
        <x:v>0</x:v>
      </x:c>
      <x:c r="E54" t="str">
        <x:v>vle</x:v>
      </x:c>
      <x:c r="F54" s="45" t="n">
        <x:f>2*$B54</x:f>
        <x:v>0</x:v>
      </x:c>
      <x:c r="G54" s="45" t="n">
        <x:f>1*$D54</x:f>
        <x:v>0</x:v>
      </x:c>
      <x:c r="H54" s="45" t="n">
        <x:f>1*$B54</x:f>
        <x:v>0</x:v>
      </x:c>
      <x:c r="I54" s="45" t="n">
        <x:f>0</x:f>
        <x:v>0</x:v>
      </x:c>
      <x:c r="J54" s="45" t="n">
        <x:f>0</x:f>
        <x:v>0</x:v>
      </x:c>
      <x:c r="K54" s="45" t="n">
        <x:f>0</x:f>
        <x:v>0</x:v>
      </x:c>
      <x:c r="L54" s="45" t="n">
        <x:f>F54+I54</x:f>
        <x:v>0</x:v>
      </x:c>
      <x:c r="M54" s="45" t="n">
        <x:f>G54+J54</x:f>
        <x:v>0</x:v>
      </x:c>
      <x:c r="N54" s="45" t="n">
        <x:f>H54+K54</x:f>
        <x:v>0</x:v>
      </x:c>
      <x:c r="O54" s="45" t="n">
        <x:f>SUM(F54:H54)</x:f>
        <x:v>0</x:v>
      </x:c>
      <x:c r="P54" s="42" t="n">
        <x:f>IF(AND(F54&lt;=F6,F54&lt;=F38,F54&lt;=F22,G54&lt;=G62,G54&lt;=G50,G54&lt;=G58,H54&lt;=H57,H54&lt;=H56,H54&lt;=H55),1,0)</x:f>
        <x:v>1</x:v>
      </x:c>
      <x:c r="Q54" s="42" t="n">
        <x:f>IF(AND(L54&lt;=L6,L54&lt;=L38,L54&lt;=L22,M54&lt;=M62,M54&lt;=M50,M54&lt;=M58,N54&lt;=N57,N54&lt;=N56,N54&lt;=N55),1,0)</x:f>
        <x:v>1</x:v>
      </x:c>
      <x:c r="R54" s="42" t="n">
        <x:v>1</x:v>
      </x:c>
      <x:c r="S54" s="42" t="n">
        <x:v>1</x:v>
      </x:c>
    </x:row>
    <x:row r="55">
      <x:c r="A55" t="n">
        <x:v>1</x:v>
      </x:c>
      <x:c r="B55" t="n">
        <x:v>0</x:v>
      </x:c>
      <x:c r="C55" t="n">
        <x:v>0</x:v>
      </x:c>
      <x:c r="D55" t="n">
        <x:v>0</x:v>
      </x:c>
      <x:c r="E55" t="str">
        <x:v>vll</x:v>
      </x:c>
      <x:c r="F55" s="45" t="n">
        <x:f>2*$B55</x:f>
        <x:v>0</x:v>
      </x:c>
      <x:c r="G55" s="45" t="n">
        <x:f>(1/2)*$C55+(3/2)*$D55</x:f>
        <x:v>0</x:v>
      </x:c>
      <x:c r="H55" s="45" t="n">
        <x:f>(1/2)*$C55+(3/2)*$D55</x:f>
        <x:v>0</x:v>
      </x:c>
      <x:c r="I55" s="45" t="n">
        <x:f>0</x:f>
        <x:v>0</x:v>
      </x:c>
      <x:c r="J55" s="45" t="n">
        <x:f>(1/2)*($C55+$D55)</x:f>
        <x:v>0</x:v>
      </x:c>
      <x:c r="K55" s="45" t="n">
        <x:f>(1/2)*($C55+$D55)</x:f>
        <x:v>0</x:v>
      </x:c>
      <x:c r="L55" s="45" t="n">
        <x:f>F55+I55</x:f>
        <x:v>0</x:v>
      </x:c>
      <x:c r="M55" s="45" t="n">
        <x:f>G55+J55</x:f>
        <x:v>0</x:v>
      </x:c>
      <x:c r="N55" s="45" t="n">
        <x:f>H55+K55</x:f>
        <x:v>0</x:v>
      </x:c>
      <x:c r="O55" s="45" t="n">
        <x:f>SUM(F55:H55)</x:f>
        <x:v>0</x:v>
      </x:c>
      <x:c r="P55" s="42" t="n">
        <x:f>IF(AND(F55&lt;=F7,F55&lt;=F39,F55&lt;=F23,G55&lt;=G63,G55&lt;=G51,G55&lt;=G59,H55&lt;=H57,H55&lt;=H54,H55&lt;=H56),1,0)</x:f>
        <x:v>1</x:v>
      </x:c>
      <x:c r="Q55" s="42" t="n">
        <x:f>IF(AND(L55&lt;=L7,L55&lt;=L39,L55&lt;=L23,M55&lt;=M63,M55&lt;=M51,M55&lt;=M59,N55&lt;=N57,N55&lt;=N54,N55&lt;=N56),1,0)</x:f>
        <x:v>1</x:v>
      </x:c>
      <x:c r="R55" s="42" t="n">
        <x:v>1</x:v>
      </x:c>
      <x:c r="S55" s="42" t="n">
        <x:v>1</x:v>
      </x:c>
    </x:row>
    <x:row r="56">
      <x:c r="A56" t="n">
        <x:v>1</x:v>
      </x:c>
      <x:c r="B56" t="n">
        <x:v>0</x:v>
      </x:c>
      <x:c r="C56" t="n">
        <x:v>0</x:v>
      </x:c>
      <x:c r="D56" t="n">
        <x:v>0</x:v>
      </x:c>
      <x:c r="E56" t="str">
        <x:v>vlo</x:v>
      </x:c>
      <x:c r="F56" s="45" t="n">
        <x:f>2*$B56</x:f>
        <x:v>0</x:v>
      </x:c>
      <x:c r="G56" s="45" t="n">
        <x:f>1*$D56</x:f>
        <x:v>0</x:v>
      </x:c>
      <x:c r="H56" s="45" t="n">
        <x:f>0</x:f>
        <x:v>0</x:v>
      </x:c>
      <x:c r="I56" s="45" t="n">
        <x:f>0</x:f>
        <x:v>0</x:v>
      </x:c>
      <x:c r="J56" s="45" t="n">
        <x:f>0</x:f>
        <x:v>0</x:v>
      </x:c>
      <x:c r="K56" s="45" t="n">
        <x:f>0</x:f>
        <x:v>0</x:v>
      </x:c>
      <x:c r="L56" s="45" t="n">
        <x:f>F56+I56</x:f>
        <x:v>0</x:v>
      </x:c>
      <x:c r="M56" s="45" t="n">
        <x:f>G56+J56</x:f>
        <x:v>0</x:v>
      </x:c>
      <x:c r="N56" s="45" t="n">
        <x:f>H56+K56</x:f>
        <x:v>0</x:v>
      </x:c>
      <x:c r="O56" s="45" t="n">
        <x:f>SUM(F56:H56)</x:f>
        <x:v>0</x:v>
      </x:c>
      <x:c r="P56" s="42" t="n">
        <x:f>IF(AND(F56&lt;=F8,F56&lt;=F40,F56&lt;=F24,G56&lt;=G64,G56&lt;=G52,G56&lt;=G60,H56&lt;=H57,H56&lt;=H54,H56&lt;=H55),1,0)</x:f>
        <x:v>1</x:v>
      </x:c>
      <x:c r="Q56" s="42" t="n">
        <x:f>IF(AND(L56&lt;=L8,L56&lt;=L40,L56&lt;=L24,M56&lt;=M64,M56&lt;=M52,M56&lt;=M60,N56&lt;=N57,N56&lt;=N54,N56&lt;=N55),1,0)</x:f>
        <x:v>1</x:v>
      </x:c>
      <x:c r="R56" s="42" t="n">
        <x:v>1</x:v>
      </x:c>
      <x:c r="S56" s="42" t="n">
        <x:v>1</x:v>
      </x:c>
    </x:row>
    <x:row r="57">
      <x:c r="A57" t="n">
        <x:v>1</x:v>
      </x:c>
      <x:c r="B57" t="n">
        <x:v>0</x:v>
      </x:c>
      <x:c r="C57" t="n">
        <x:v>0</x:v>
      </x:c>
      <x:c r="D57" t="n">
        <x:v>0</x:v>
      </x:c>
      <x:c r="E57" t="str">
        <x:v>vlv</x:v>
      </x:c>
      <x:c r="F57" s="45" t="n">
        <x:f>(3/2)*$B57+(1/2)*$C57</x:f>
        <x:v>0</x:v>
      </x:c>
      <x:c r="G57" s="45" t="n">
        <x:f>1*$D57</x:f>
        <x:v>0</x:v>
      </x:c>
      <x:c r="H57" s="45" t="n">
        <x:f>(3/2)*$B57+(1/2)*$C57</x:f>
        <x:v>0</x:v>
      </x:c>
      <x:c r="I57" s="45" t="n">
        <x:f>MAX((1/2)*($C57-$B57),0)</x:f>
        <x:v>0</x:v>
      </x:c>
      <x:c r="J57" s="45" t="n">
        <x:f>0</x:f>
        <x:v>0</x:v>
      </x:c>
      <x:c r="K57" s="45" t="n">
        <x:f>MAX((1/2)*($C57-$B57),0)</x:f>
        <x:v>0</x:v>
      </x:c>
      <x:c r="L57" s="45" t="n">
        <x:f>F57+I57</x:f>
        <x:v>0</x:v>
      </x:c>
      <x:c r="M57" s="45" t="n">
        <x:f>G57+J57</x:f>
        <x:v>0</x:v>
      </x:c>
      <x:c r="N57" s="45" t="n">
        <x:f>H57+K57</x:f>
        <x:v>0</x:v>
      </x:c>
      <x:c r="O57" s="45" t="n">
        <x:f>SUM(F57:H57)</x:f>
        <x:v>0</x:v>
      </x:c>
      <x:c r="P57" s="42" t="n">
        <x:f>IF(AND(F57&lt;=F9,F57&lt;=F41,F57&lt;=F25,G57&lt;=G65,G57&lt;=G53,G57&lt;=G61,H57&lt;=H54,H57&lt;=H56,H57&lt;=H55),1,0)</x:f>
        <x:v>1</x:v>
      </x:c>
      <x:c r="Q57" s="42" t="n">
        <x:f>IF(AND(L57&lt;=L9,L57&lt;=L41,L57&lt;=L25,M57&lt;=M65,M57&lt;=M53,M57&lt;=M61,N57&lt;=N54,N57&lt;=N56,N57&lt;=N55),1,0)</x:f>
        <x:v>1</x:v>
      </x:c>
      <x:c r="R57" s="42" t="n">
        <x:v>1</x:v>
      </x:c>
      <x:c r="S57" s="42" t="n">
        <x:v>1</x:v>
      </x:c>
    </x:row>
    <x:row r="58">
      <x:c r="A58" t="n">
        <x:v>1</x:v>
      </x:c>
      <x:c r="B58" t="n">
        <x:v>0</x:v>
      </x:c>
      <x:c r="C58" t="n">
        <x:v>0</x:v>
      </x:c>
      <x:c r="D58" t="n">
        <x:v>0</x:v>
      </x:c>
      <x:c r="E58" t="str">
        <x:v>voe</x:v>
      </x:c>
      <x:c r="F58" s="45" t="n">
        <x:f>2*$B58</x:f>
        <x:v>0</x:v>
      </x:c>
      <x:c r="G58" s="45" t="n">
        <x:f>0</x:f>
        <x:v>0</x:v>
      </x:c>
      <x:c r="H58" s="45" t="n">
        <x:f>1*$B58</x:f>
        <x:v>0</x:v>
      </x:c>
      <x:c r="I58" s="45" t="n">
        <x:f>0</x:f>
        <x:v>0</x:v>
      </x:c>
      <x:c r="J58" s="45" t="n">
        <x:f>0</x:f>
        <x:v>0</x:v>
      </x:c>
      <x:c r="K58" s="45" t="n">
        <x:f>0</x:f>
        <x:v>0</x:v>
      </x:c>
      <x:c r="L58" s="45" t="n">
        <x:f>F58+I58</x:f>
        <x:v>0</x:v>
      </x:c>
      <x:c r="M58" s="45" t="n">
        <x:f>G58+J58</x:f>
        <x:v>0</x:v>
      </x:c>
      <x:c r="N58" s="45" t="n">
        <x:f>H58+K58</x:f>
        <x:v>0</x:v>
      </x:c>
      <x:c r="O58" s="45" t="n">
        <x:f>SUM(F58:H58)</x:f>
        <x:v>0</x:v>
      </x:c>
      <x:c r="P58" s="42" t="n">
        <x:f>IF(AND(F58&lt;=F10,F58&lt;=F42,F58&lt;=F26,G58&lt;=G62,G58&lt;=G50,G58&lt;=G54,H58&lt;=H61,H58&lt;=H60,H58&lt;=H59),1,0)</x:f>
        <x:v>1</x:v>
      </x:c>
      <x:c r="Q58" s="42" t="n">
        <x:f>IF(AND(L58&lt;=L10,L58&lt;=L42,L58&lt;=L26,M58&lt;=M62,M58&lt;=M50,M58&lt;=M54,N58&lt;=N61,N58&lt;=N60,N58&lt;=N59),1,0)</x:f>
        <x:v>1</x:v>
      </x:c>
      <x:c r="R58" s="42" t="n">
        <x:v>1</x:v>
      </x:c>
      <x:c r="S58" s="42" t="n">
        <x:v>1</x:v>
      </x:c>
    </x:row>
    <x:row r="59">
      <x:c r="A59" t="n">
        <x:v>1</x:v>
      </x:c>
      <x:c r="B59" t="n">
        <x:v>0</x:v>
      </x:c>
      <x:c r="C59" t="n">
        <x:v>0</x:v>
      </x:c>
      <x:c r="D59" t="n">
        <x:v>0</x:v>
      </x:c>
      <x:c r="E59" t="str">
        <x:v>vol</x:v>
      </x:c>
      <x:c r="F59" s="45" t="n">
        <x:f>2*$B59</x:f>
        <x:v>0</x:v>
      </x:c>
      <x:c r="G59" s="45" t="n">
        <x:f>0</x:f>
        <x:v>0</x:v>
      </x:c>
      <x:c r="H59" s="45" t="n">
        <x:f>1*$D59</x:f>
        <x:v>0</x:v>
      </x:c>
      <x:c r="I59" s="45" t="n">
        <x:f>0</x:f>
        <x:v>0</x:v>
      </x:c>
      <x:c r="J59" s="45" t="n">
        <x:f>0</x:f>
        <x:v>0</x:v>
      </x:c>
      <x:c r="K59" s="45" t="n">
        <x:f>0</x:f>
        <x:v>0</x:v>
      </x:c>
      <x:c r="L59" s="45" t="n">
        <x:f>F59+I59</x:f>
        <x:v>0</x:v>
      </x:c>
      <x:c r="M59" s="45" t="n">
        <x:f>G59+J59</x:f>
        <x:v>0</x:v>
      </x:c>
      <x:c r="N59" s="45" t="n">
        <x:f>H59+K59</x:f>
        <x:v>0</x:v>
      </x:c>
      <x:c r="O59" s="45" t="n">
        <x:f>SUM(F59:H59)</x:f>
        <x:v>0</x:v>
      </x:c>
      <x:c r="P59" s="42" t="n">
        <x:f>IF(AND(F59&lt;=F11,F59&lt;=F43,F59&lt;=F27,G59&lt;=G63,G59&lt;=G51,G59&lt;=G55,H59&lt;=H61,H59&lt;=H58,H59&lt;=H60),1,0)</x:f>
        <x:v>1</x:v>
      </x:c>
      <x:c r="Q59" s="42" t="n">
        <x:f>IF(AND(L59&lt;=L11,L59&lt;=L43,L59&lt;=L27,M59&lt;=M63,M59&lt;=M51,M59&lt;=M55,N59&lt;=N61,N59&lt;=N58,N59&lt;=N60),1,0)</x:f>
        <x:v>1</x:v>
      </x:c>
      <x:c r="R59" s="42" t="n">
        <x:v>1</x:v>
      </x:c>
      <x:c r="S59" s="42" t="n">
        <x:v>1</x:v>
      </x:c>
    </x:row>
    <x:row r="60">
      <x:c r="A60" t="n">
        <x:v>1</x:v>
      </x:c>
      <x:c r="B60" t="n">
        <x:v>0</x:v>
      </x:c>
      <x:c r="C60" t="n">
        <x:v>0</x:v>
      </x:c>
      <x:c r="D60" t="n">
        <x:v>0</x:v>
      </x:c>
      <x:c r="E60" t="str">
        <x:v>voo</x:v>
      </x:c>
      <x:c r="F60" s="45" t="n">
        <x:f>2*$B60</x:f>
        <x:v>0</x:v>
      </x:c>
      <x:c r="G60" s="45" t="n">
        <x:f>(1/2)*$C60+(1/2)*$D60</x:f>
        <x:v>0</x:v>
      </x:c>
      <x:c r="H60" s="45" t="n">
        <x:f>(1/2)*$C60+(1/2)*$D60</x:f>
        <x:v>0</x:v>
      </x:c>
      <x:c r="I60" s="45" t="n">
        <x:f>0</x:f>
        <x:v>0</x:v>
      </x:c>
      <x:c r="J60" s="45" t="n">
        <x:f>(1/2)*($C60+$D60)</x:f>
        <x:v>0</x:v>
      </x:c>
      <x:c r="K60" s="45" t="n">
        <x:f>(1/2)*($C60+$D60)</x:f>
        <x:v>0</x:v>
      </x:c>
      <x:c r="L60" s="45" t="n">
        <x:f>F60+I60</x:f>
        <x:v>0</x:v>
      </x:c>
      <x:c r="M60" s="45" t="n">
        <x:f>G60+J60</x:f>
        <x:v>0</x:v>
      </x:c>
      <x:c r="N60" s="45" t="n">
        <x:f>H60+K60</x:f>
        <x:v>0</x:v>
      </x:c>
      <x:c r="O60" s="45" t="n">
        <x:f>SUM(F60:H60)</x:f>
        <x:v>0</x:v>
      </x:c>
      <x:c r="P60" s="42" t="n">
        <x:f>IF(AND(F60&lt;=F12,F60&lt;=F44,F60&lt;=F28,G60&lt;=G64,G60&lt;=G52,G60&lt;=G56,H60&lt;=H61,H60&lt;=H58,H60&lt;=H59),1,0)</x:f>
        <x:v>1</x:v>
      </x:c>
      <x:c r="Q60" s="42" t="n">
        <x:f>IF(AND(L60&lt;=L12,L60&lt;=L44,L60&lt;=L28,M60&lt;=M64,M60&lt;=M52,M60&lt;=M56,N60&lt;=N61,N60&lt;=N58,N60&lt;=N59),1,0)</x:f>
        <x:v>1</x:v>
      </x:c>
      <x:c r="R60" s="42" t="n">
        <x:v>1</x:v>
      </x:c>
      <x:c r="S60" s="42" t="n">
        <x:v>1</x:v>
      </x:c>
    </x:row>
    <x:row r="61">
      <x:c r="A61" t="n">
        <x:v>1</x:v>
      </x:c>
      <x:c r="B61" t="n">
        <x:v>0</x:v>
      </x:c>
      <x:c r="C61" t="n">
        <x:v>0</x:v>
      </x:c>
      <x:c r="D61" t="n">
        <x:v>0</x:v>
      </x:c>
      <x:c r="E61" t="str">
        <x:v>vov</x:v>
      </x:c>
      <x:c r="F61" s="45" t="n">
        <x:f>(3/2)*$B61+(1/2)*$C61</x:f>
        <x:v>0</x:v>
      </x:c>
      <x:c r="G61" s="45" t="n">
        <x:f>0</x:f>
        <x:v>0</x:v>
      </x:c>
      <x:c r="H61" s="45" t="n">
        <x:f>(3/2)*$B61+(1/2)*$C61</x:f>
        <x:v>0</x:v>
      </x:c>
      <x:c r="I61" s="45" t="n">
        <x:f>MAX((1/2)*($C61-$B61),0)</x:f>
        <x:v>0</x:v>
      </x:c>
      <x:c r="J61" s="45" t="n">
        <x:f>0</x:f>
        <x:v>0</x:v>
      </x:c>
      <x:c r="K61" s="45" t="n">
        <x:f>MAX((1/2)*($C61-$B61),0)</x:f>
        <x:v>0</x:v>
      </x:c>
      <x:c r="L61" s="45" t="n">
        <x:f>F61+I61</x:f>
        <x:v>0</x:v>
      </x:c>
      <x:c r="M61" s="45" t="n">
        <x:f>G61+J61</x:f>
        <x:v>0</x:v>
      </x:c>
      <x:c r="N61" s="45" t="n">
        <x:f>H61+K61</x:f>
        <x:v>0</x:v>
      </x:c>
      <x:c r="O61" s="45" t="n">
        <x:f>SUM(F61:H61)</x:f>
        <x:v>0</x:v>
      </x:c>
      <x:c r="P61" s="42" t="n">
        <x:f>IF(AND(F61&lt;=F13,F61&lt;=F45,F61&lt;=F29,G61&lt;=G65,G61&lt;=G53,G61&lt;=G57,H61&lt;=H58,H61&lt;=H60,H61&lt;=H59),1,0)</x:f>
        <x:v>1</x:v>
      </x:c>
      <x:c r="Q61" s="42" t="n">
        <x:f>IF(AND(L61&lt;=L13,L61&lt;=L45,L61&lt;=L29,M61&lt;=M65,M61&lt;=M53,M61&lt;=M57,N61&lt;=N58,N61&lt;=N60,N61&lt;=N59),1,0)</x:f>
        <x:v>1</x:v>
      </x:c>
      <x:c r="R61" s="42" t="n">
        <x:v>1</x:v>
      </x:c>
      <x:c r="S61" s="42" t="n">
        <x:v>1</x:v>
      </x:c>
    </x:row>
    <x:row r="62">
      <x:c r="A62" t="n">
        <x:v>1</x:v>
      </x:c>
      <x:c r="B62" t="n">
        <x:v>0</x:v>
      </x:c>
      <x:c r="C62" t="n">
        <x:v>0</x:v>
      </x:c>
      <x:c r="D62" t="n">
        <x:v>0</x:v>
      </x:c>
      <x:c r="E62" t="str">
        <x:v>vve</x:v>
      </x:c>
      <x:c r="F62" s="45" t="n">
        <x:f>(3/2)*$B62+(1/2)*$C62</x:f>
        <x:v>0</x:v>
      </x:c>
      <x:c r="G62" s="45" t="n">
        <x:f>(3/2)*$B62+(1/2)*$C62</x:f>
        <x:v>0</x:v>
      </x:c>
      <x:c r="H62" s="45" t="n">
        <x:f>1*$C62</x:f>
        <x:v>0</x:v>
      </x:c>
      <x:c r="I62" s="45" t="n">
        <x:f>MAX((3/2)*($C62-$B62),0)</x:f>
        <x:v>0</x:v>
      </x:c>
      <x:c r="J62" s="45" t="n">
        <x:f>MAX((3/2)*($C62-$B62),0)</x:f>
        <x:v>0</x:v>
      </x:c>
      <x:c r="K62" s="45" t="n">
        <x:f>0</x:f>
        <x:v>0</x:v>
      </x:c>
      <x:c r="L62" s="45" t="n">
        <x:f>F62+I62</x:f>
        <x:v>0</x:v>
      </x:c>
      <x:c r="M62" s="45" t="n">
        <x:f>G62+J62</x:f>
        <x:v>0</x:v>
      </x:c>
      <x:c r="N62" s="45" t="n">
        <x:f>H62+K62</x:f>
        <x:v>0</x:v>
      </x:c>
      <x:c r="O62" s="45" t="n">
        <x:f>SUM(F62:H62)</x:f>
        <x:v>0</x:v>
      </x:c>
      <x:c r="P62" s="42" t="n">
        <x:f>IF(AND(F62&lt;=F14,F62&lt;=F46,F62&lt;=F30,G62&lt;=G50,G62&lt;=G58,G62&lt;=G54,H62&lt;=H65,H62&lt;=H64,H62&lt;=H63),1,0)</x:f>
        <x:v>1</x:v>
      </x:c>
      <x:c r="Q62" s="42" t="n">
        <x:f>IF(AND(L62&lt;=L14,L62&lt;=L46,L62&lt;=L30,M62&lt;=M50,M62&lt;=M58,M62&lt;=M54,N62&lt;=N65,N62&lt;=N64,N62&lt;=N63),1,0)</x:f>
        <x:v>1</x:v>
      </x:c>
      <x:c r="R62" s="42" t="n">
        <x:v>1</x:v>
      </x:c>
      <x:c r="S62" s="42" t="n">
        <x:v>1</x:v>
      </x:c>
    </x:row>
    <x:row r="63">
      <x:c r="A63" t="n">
        <x:v>1</x:v>
      </x:c>
      <x:c r="B63" t="n">
        <x:v>0</x:v>
      </x:c>
      <x:c r="C63" t="n">
        <x:v>0</x:v>
      </x:c>
      <x:c r="D63" t="n">
        <x:v>0</x:v>
      </x:c>
      <x:c r="E63" t="str">
        <x:v>vvl</x:v>
      </x:c>
      <x:c r="F63" s="45" t="n">
        <x:f>(3/2)*$B63+(1/2)*$C63</x:f>
        <x:v>0</x:v>
      </x:c>
      <x:c r="G63" s="45" t="n">
        <x:f>(3/2)*$B63+(1/2)*$C63</x:f>
        <x:v>0</x:v>
      </x:c>
      <x:c r="H63" s="45" t="n">
        <x:f>1*$D63</x:f>
        <x:v>0</x:v>
      </x:c>
      <x:c r="I63" s="45" t="n">
        <x:f>MAX((1/2)*($C63-$B63),0)</x:f>
        <x:v>0</x:v>
      </x:c>
      <x:c r="J63" s="45" t="n">
        <x:f>MAX((1/2)*($C63-$B63),0)</x:f>
        <x:v>0</x:v>
      </x:c>
      <x:c r="K63" s="45" t="n">
        <x:f>0</x:f>
        <x:v>0</x:v>
      </x:c>
      <x:c r="L63" s="45" t="n">
        <x:f>F63+I63</x:f>
        <x:v>0</x:v>
      </x:c>
      <x:c r="M63" s="45" t="n">
        <x:f>G63+J63</x:f>
        <x:v>0</x:v>
      </x:c>
      <x:c r="N63" s="45" t="n">
        <x:f>H63+K63</x:f>
        <x:v>0</x:v>
      </x:c>
      <x:c r="O63" s="45" t="n">
        <x:f>SUM(F63:H63)</x:f>
        <x:v>0</x:v>
      </x:c>
      <x:c r="P63" s="42" t="n">
        <x:f>IF(AND(F63&lt;=F15,F63&lt;=F47,F63&lt;=F31,G63&lt;=G51,G63&lt;=G59,G63&lt;=G55,H63&lt;=H65,H63&lt;=H62,H63&lt;=H64),1,0)</x:f>
        <x:v>1</x:v>
      </x:c>
      <x:c r="Q63" s="42" t="n">
        <x:f>IF(AND(L63&lt;=L15,L63&lt;=L47,L63&lt;=L31,M63&lt;=M51,M63&lt;=M59,M63&lt;=M55,N63&lt;=N65,N63&lt;=N62,N63&lt;=N64),1,0)</x:f>
        <x:v>1</x:v>
      </x:c>
      <x:c r="R63" s="42" t="n">
        <x:v>1</x:v>
      </x:c>
      <x:c r="S63" s="42" t="n">
        <x:v>1</x:v>
      </x:c>
    </x:row>
    <x:row r="64">
      <x:c r="A64" t="n">
        <x:v>1</x:v>
      </x:c>
      <x:c r="B64" t="n">
        <x:v>0</x:v>
      </x:c>
      <x:c r="C64" t="n">
        <x:v>0</x:v>
      </x:c>
      <x:c r="D64" t="n">
        <x:v>0</x:v>
      </x:c>
      <x:c r="E64" t="str">
        <x:v>vvo</x:v>
      </x:c>
      <x:c r="F64" s="45" t="n">
        <x:f>(3/2)*$B64+(1/2)*$C64</x:f>
        <x:v>0</x:v>
      </x:c>
      <x:c r="G64" s="45" t="n">
        <x:f>(3/2)*$B64+(1/2)*$C64</x:f>
        <x:v>0</x:v>
      </x:c>
      <x:c r="H64" s="45" t="n">
        <x:f>0</x:f>
        <x:v>0</x:v>
      </x:c>
      <x:c r="I64" s="45" t="n">
        <x:f>MAX((1/2)*($C64-$B64),0)</x:f>
        <x:v>0</x:v>
      </x:c>
      <x:c r="J64" s="45" t="n">
        <x:f>MAX((1/2)*($C64-$B64),0)</x:f>
        <x:v>0</x:v>
      </x:c>
      <x:c r="K64" s="45" t="n">
        <x:f>0</x:f>
        <x:v>0</x:v>
      </x:c>
      <x:c r="L64" s="45" t="n">
        <x:f>F64+I64</x:f>
        <x:v>0</x:v>
      </x:c>
      <x:c r="M64" s="45" t="n">
        <x:f>G64+J64</x:f>
        <x:v>0</x:v>
      </x:c>
      <x:c r="N64" s="45" t="n">
        <x:f>H64+K64</x:f>
        <x:v>0</x:v>
      </x:c>
      <x:c r="O64" s="45" t="n">
        <x:f>SUM(F64:H64)</x:f>
        <x:v>0</x:v>
      </x:c>
      <x:c r="P64" s="42" t="n">
        <x:f>IF(AND(F64&lt;=F16,F64&lt;=F48,F64&lt;=F32,G64&lt;=G52,G64&lt;=G60,G64&lt;=G56,H64&lt;=H65,H64&lt;=H62,H64&lt;=H63),1,0)</x:f>
        <x:v>1</x:v>
      </x:c>
      <x:c r="Q64" s="42" t="n">
        <x:f>IF(AND(L64&lt;=L16,L64&lt;=L48,L64&lt;=L32,M64&lt;=M52,M64&lt;=M60,M64&lt;=M56,N64&lt;=N65,N64&lt;=N62,N64&lt;=N63),1,0)</x:f>
        <x:v>1</x:v>
      </x:c>
      <x:c r="R64" s="42" t="n">
        <x:v>1</x:v>
      </x:c>
      <x:c r="S64" s="42" t="n">
        <x:v>1</x:v>
      </x:c>
    </x:row>
    <x:row r="65">
      <x:c r="A65" t="n">
        <x:v>1</x:v>
      </x:c>
      <x:c r="B65" t="n">
        <x:v>0</x:v>
      </x:c>
      <x:c r="C65" t="n">
        <x:v>0</x:v>
      </x:c>
      <x:c r="D65" t="n">
        <x:v>0</x:v>
      </x:c>
      <x:c r="E65" t="str">
        <x:v>vvv</x:v>
      </x:c>
      <x:c r="F65" s="45" t="n">
        <x:f>1*$B65+1*$C65</x:f>
        <x:v>0</x:v>
      </x:c>
      <x:c r="G65" s="45" t="n">
        <x:f>1*$B65+1*$C65</x:f>
        <x:v>0</x:v>
      </x:c>
      <x:c r="H65" s="45" t="n">
        <x:f>1*$B65+1*$C65</x:f>
        <x:v>0</x:v>
      </x:c>
      <x:c r="I65" s="45" t="n">
        <x:f>MAX($C65-$B65,0)</x:f>
        <x:v>0</x:v>
      </x:c>
      <x:c r="J65" s="45" t="n">
        <x:f>MAX($C65-$B65,0)</x:f>
        <x:v>0</x:v>
      </x:c>
      <x:c r="K65" s="45" t="n">
        <x:f>MAX($C65-$B65,0)</x:f>
        <x:v>0</x:v>
      </x:c>
      <x:c r="L65" s="45" t="n">
        <x:f>F65+I65</x:f>
        <x:v>0</x:v>
      </x:c>
      <x:c r="M65" s="45" t="n">
        <x:f>G65+J65</x:f>
        <x:v>0</x:v>
      </x:c>
      <x:c r="N65" s="45" t="n">
        <x:f>H65+K65</x:f>
        <x:v>0</x:v>
      </x:c>
      <x:c r="O65" s="45" t="n">
        <x:f>SUM(F65:H65)</x:f>
        <x:v>0</x:v>
      </x:c>
      <x:c r="P65" s="42" t="n">
        <x:f>IF(AND(F65&lt;=F17,F65&lt;=F49,F65&lt;=F33,G65&lt;=G53,G65&lt;=G61,G65&lt;=G57,H65&lt;=H62,H65&lt;=H64,H65&lt;=H63),1,0)</x:f>
        <x:v>1</x:v>
      </x:c>
      <x:c r="Q65" s="42" t="n">
        <x:f>IF(AND(L65&lt;=L17,L65&lt;=L49,L65&lt;=L33,M65&lt;=M53,M65&lt;=M61,M65&lt;=M57,N65&lt;=N62,N65&lt;=N64,N65&lt;=N63),1,0)</x:f>
        <x:v>1</x:v>
      </x:c>
      <x:c r="R65" s="42" t="n">
        <x:v>1</x:v>
      </x:c>
      <x:c r="S65" s="42" t="n">
        <x:v>1</x:v>
      </x:c>
    </x:row>
    <x:row r="66">
      <x:c r="A66" t="n">
        <x:v>2</x:v>
      </x:c>
      <x:c r="B66" t="n">
        <x:v>0</x:v>
      </x:c>
      <x:c r="C66" t="n">
        <x:v>1</x:v>
      </x:c>
      <x:c r="D66" t="n">
        <x:v>0</x:v>
      </x:c>
      <x:c r="E66" t="str">
        <x:v>eee</x:v>
      </x:c>
      <x:c r="F66" s="45" t="n">
        <x:f>(1/3)*$B66+1*$C66+(1/3)*$D66</x:f>
        <x:v>1</x:v>
      </x:c>
      <x:c r="G66" s="45" t="n">
        <x:f>(1/3)*$B66+1*$C66+(1/3)*$D66</x:f>
        <x:v>1</x:v>
      </x:c>
      <x:c r="H66" s="45" t="n">
        <x:f>(1/3)*$B66+1*$C66+(1/3)*$D66</x:f>
        <x:v>1</x:v>
      </x:c>
      <x:c r="I66" s="45" t="n">
        <x:f>MAX($C66+(2/3)*$D66-(1/3)*$B66,0)</x:f>
        <x:v>1</x:v>
      </x:c>
      <x:c r="J66" s="45" t="n">
        <x:f>MAX($C66+(2/3)*$D66-(1/3)*$B66,0)</x:f>
        <x:v>1</x:v>
      </x:c>
      <x:c r="K66" s="45" t="n">
        <x:f>MAX($C66+(2/3)*$D66-(1/3)*$B66,0)</x:f>
        <x:v>1</x:v>
      </x:c>
      <x:c r="L66" s="45" t="n">
        <x:f>F66+I66</x:f>
        <x:v>2</x:v>
      </x:c>
      <x:c r="M66" s="45" t="n">
        <x:f>G66+J66</x:f>
        <x:v>2</x:v>
      </x:c>
      <x:c r="N66" s="45" t="n">
        <x:f>H66+K66</x:f>
        <x:v>2</x:v>
      </x:c>
      <x:c r="O66" s="45" t="n">
        <x:f>SUM(F66:H66)</x:f>
        <x:v>3</x:v>
      </x:c>
      <x:c r="P66" s="42" t="n">
        <x:f>IF(AND(F66&lt;=F114,F66&lt;=F98,F66&lt;=F82,G66&lt;=G78,G66&lt;=G74,G66&lt;=G70,H66&lt;=H69,H66&lt;=H68,H66&lt;=H67),1,0)</x:f>
        <x:v>0</x:v>
      </x:c>
      <x:c r="Q66" s="42" t="n">
        <x:f>IF(AND(L66&lt;=L114,L66&lt;=L98,L66&lt;=L82,M66&lt;=M78,M66&lt;=M74,M66&lt;=M70,N66&lt;=N69,N66&lt;=N68,N66&lt;=N67),1,0)</x:f>
        <x:v>0</x:v>
      </x:c>
      <x:c r="R66" s="42" t="n">
        <x:v>0</x:v>
      </x:c>
      <x:c r="S66" s="42" t="n">
        <x:v>0</x:v>
      </x:c>
    </x:row>
    <x:row r="67">
      <x:c r="A67" t="n">
        <x:v>2</x:v>
      </x:c>
      <x:c r="B67" t="n">
        <x:v>0</x:v>
      </x:c>
      <x:c r="C67" t="n">
        <x:v>1</x:v>
      </x:c>
      <x:c r="D67" t="n">
        <x:v>0</x:v>
      </x:c>
      <x:c r="E67" t="str">
        <x:v>eel</x:v>
      </x:c>
      <x:c r="F67" s="45" t="n">
        <x:f>(1/2)*$B67+(1/2)*$C67</x:f>
        <x:v>0.5</x:v>
      </x:c>
      <x:c r="G67" s="45" t="n">
        <x:f>(1/2)*$B67+(1/2)*$C67</x:f>
        <x:v>0.5</x:v>
      </x:c>
      <x:c r="H67" s="45" t="n">
        <x:f>1*$D67</x:f>
        <x:v>0</x:v>
      </x:c>
      <x:c r="I67" s="45" t="n">
        <x:f>MAX((1/2)*($C67-$B67),0)</x:f>
        <x:v>0.5</x:v>
      </x:c>
      <x:c r="J67" s="45" t="n">
        <x:f>MAX((1/2)*($C67-$B67),0)</x:f>
        <x:v>0.5</x:v>
      </x:c>
      <x:c r="K67" s="45" t="n">
        <x:f>0</x:f>
        <x:v>0</x:v>
      </x:c>
      <x:c r="L67" s="45" t="n">
        <x:f>F67+I67</x:f>
        <x:v>1</x:v>
      </x:c>
      <x:c r="M67" s="45" t="n">
        <x:f>G67+J67</x:f>
        <x:v>1</x:v>
      </x:c>
      <x:c r="N67" s="45" t="n">
        <x:f>H67+K67</x:f>
        <x:v>0</x:v>
      </x:c>
      <x:c r="O67" s="45" t="n">
        <x:f>SUM(F67:H67)</x:f>
        <x:v>1</x:v>
      </x:c>
      <x:c r="P67" s="42" t="n">
        <x:f>IF(AND(F67&lt;=F115,F67&lt;=F99,F67&lt;=F83,G67&lt;=G79,G67&lt;=G75,G67&lt;=G71,H67&lt;=H69,H67&lt;=H66,H67&lt;=H68),1,0)</x:f>
        <x:v>0</x:v>
      </x:c>
      <x:c r="Q67" s="42" t="n">
        <x:f>IF(AND(L67&lt;=L115,L67&lt;=L99,L67&lt;=L83,M67&lt;=M79,M67&lt;=M75,M67&lt;=M71,N67&lt;=N69,N67&lt;=N66,N67&lt;=N68),1,0)</x:f>
        <x:v>0</x:v>
      </x:c>
      <x:c r="R67" s="42" t="n">
        <x:v>0</x:v>
      </x:c>
      <x:c r="S67" s="42" t="n">
        <x:v>0</x:v>
      </x:c>
    </x:row>
    <x:row r="68">
      <x:c r="A68" t="n">
        <x:v>2</x:v>
      </x:c>
      <x:c r="B68" t="n">
        <x:v>0</x:v>
      </x:c>
      <x:c r="C68" t="n">
        <x:v>1</x:v>
      </x:c>
      <x:c r="D68" t="n">
        <x:v>0</x:v>
      </x:c>
      <x:c r="E68" t="str">
        <x:v>eeo</x:v>
      </x:c>
      <x:c r="F68" s="45" t="n">
        <x:f>(1/2)*$B68+(1/2)*$C68</x:f>
        <x:v>0.5</x:v>
      </x:c>
      <x:c r="G68" s="45" t="n">
        <x:f>(1/2)*$B68+(1/2)*$C68</x:f>
        <x:v>0.5</x:v>
      </x:c>
      <x:c r="H68" s="45" t="n">
        <x:f>1*$C68+1*$D68</x:f>
        <x:v>1</x:v>
      </x:c>
      <x:c r="I68" s="45" t="n">
        <x:f>MAX((3/2)*$C68+$D68-(1/2)*$B68,0)</x:f>
        <x:v>1.5</x:v>
      </x:c>
      <x:c r="J68" s="45" t="n">
        <x:f>MAX((3/2)*$C68+$D68-(1/2)*$B68,0)</x:f>
        <x:v>1.5</x:v>
      </x:c>
      <x:c r="K68" s="45" t="n">
        <x:f>0</x:f>
        <x:v>0</x:v>
      </x:c>
      <x:c r="L68" s="45" t="n">
        <x:f>F68+I68</x:f>
        <x:v>2</x:v>
      </x:c>
      <x:c r="M68" s="45" t="n">
        <x:f>G68+J68</x:f>
        <x:v>2</x:v>
      </x:c>
      <x:c r="N68" s="45" t="n">
        <x:f>H68+K68</x:f>
        <x:v>1</x:v>
      </x:c>
      <x:c r="O68" s="45" t="n">
        <x:f>SUM(F68:H68)</x:f>
        <x:v>2</x:v>
      </x:c>
      <x:c r="P68" s="42" t="n">
        <x:f>IF(AND(F68&lt;=F116,F68&lt;=F100,F68&lt;=F84,G68&lt;=G80,G68&lt;=G76,G68&lt;=G72,H68&lt;=H69,H68&lt;=H66,H68&lt;=H67),1,0)</x:f>
        <x:v>0</x:v>
      </x:c>
      <x:c r="Q68" s="42" t="n">
        <x:f>IF(AND(L68&lt;=L116,L68&lt;=L100,L68&lt;=L84,M68&lt;=M80,M68&lt;=M76,M68&lt;=M72,N68&lt;=N69,N68&lt;=N66,N68&lt;=N67),1,0)</x:f>
        <x:v>0</x:v>
      </x:c>
      <x:c r="R68" s="42" t="n">
        <x:v>0</x:v>
      </x:c>
      <x:c r="S68" s="42" t="n">
        <x:v>0</x:v>
      </x:c>
    </x:row>
    <x:row r="69">
      <x:c r="A69" t="n">
        <x:v>2</x:v>
      </x:c>
      <x:c r="B69" t="n">
        <x:v>0</x:v>
      </x:c>
      <x:c r="C69" t="n">
        <x:v>1</x:v>
      </x:c>
      <x:c r="D69" t="n">
        <x:v>0</x:v>
      </x:c>
      <x:c r="E69" t="str">
        <x:v>eev</x:v>
      </x:c>
      <x:c r="F69" s="45" t="n">
        <x:f>(1/2)*$B69+(1/2)*$C69</x:f>
        <x:v>0.5</x:v>
      </x:c>
      <x:c r="G69" s="45" t="n">
        <x:f>(1/2)*$B69+(1/2)*$C69</x:f>
        <x:v>0.5</x:v>
      </x:c>
      <x:c r="H69" s="45" t="n">
        <x:f>2*$B69</x:f>
        <x:v>0</x:v>
      </x:c>
      <x:c r="I69" s="45" t="n">
        <x:f>MAX((1/2)*($C69-$B69),0)</x:f>
        <x:v>0.5</x:v>
      </x:c>
      <x:c r="J69" s="45" t="n">
        <x:f>MAX((1/2)*($C69-$B69),0)</x:f>
        <x:v>0.5</x:v>
      </x:c>
      <x:c r="K69" s="45" t="n">
        <x:f>0</x:f>
        <x:v>0</x:v>
      </x:c>
      <x:c r="L69" s="45" t="n">
        <x:f>F69+I69</x:f>
        <x:v>1</x:v>
      </x:c>
      <x:c r="M69" s="45" t="n">
        <x:f>G69+J69</x:f>
        <x:v>1</x:v>
      </x:c>
      <x:c r="N69" s="45" t="n">
        <x:f>H69+K69</x:f>
        <x:v>0</x:v>
      </x:c>
      <x:c r="O69" s="45" t="n">
        <x:f>SUM(F69:H69)</x:f>
        <x:v>1</x:v>
      </x:c>
      <x:c r="P69" s="42" t="n">
        <x:f>IF(AND(F69&lt;=F117,F69&lt;=F101,F69&lt;=F85,G69&lt;=G81,G69&lt;=G77,G69&lt;=G73,H69&lt;=H66,H69&lt;=H68,H69&lt;=H67),1,0)</x:f>
        <x:v>0</x:v>
      </x:c>
      <x:c r="Q69" s="42" t="n">
        <x:f>IF(AND(L69&lt;=L117,L69&lt;=L101,L69&lt;=L85,M69&lt;=M81,M69&lt;=M77,M69&lt;=M73,N69&lt;=N66,N69&lt;=N68,N69&lt;=N67),1,0)</x:f>
        <x:v>0</x:v>
      </x:c>
      <x:c r="R69" s="42" t="n">
        <x:v>0</x:v>
      </x:c>
      <x:c r="S69" s="42" t="n">
        <x:v>0</x:v>
      </x:c>
    </x:row>
    <x:row r="70">
      <x:c r="A70" t="n">
        <x:v>2</x:v>
      </x:c>
      <x:c r="B70" t="n">
        <x:v>0</x:v>
      </x:c>
      <x:c r="C70" t="n">
        <x:v>1</x:v>
      </x:c>
      <x:c r="D70" t="n">
        <x:v>0</x:v>
      </x:c>
      <x:c r="E70" t="str">
        <x:v>ele</x:v>
      </x:c>
      <x:c r="F70" s="45" t="n">
        <x:f>(1/2)*$B70+(1/2)*$C70</x:f>
        <x:v>0.5</x:v>
      </x:c>
      <x:c r="G70" s="45" t="n">
        <x:f>1*$D70</x:f>
        <x:v>0</x:v>
      </x:c>
      <x:c r="H70" s="45" t="n">
        <x:f>(1/2)*$B70+(1/2)*$C70</x:f>
        <x:v>0.5</x:v>
      </x:c>
      <x:c r="I70" s="45" t="n">
        <x:f>MAX((1/2)*($C70-$B70),0)</x:f>
        <x:v>0.5</x:v>
      </x:c>
      <x:c r="J70" s="45" t="n">
        <x:f>0</x:f>
        <x:v>0</x:v>
      </x:c>
      <x:c r="K70" s="45" t="n">
        <x:f>MAX((1/2)*($C70-$B70),0)</x:f>
        <x:v>0.5</x:v>
      </x:c>
      <x:c r="L70" s="45" t="n">
        <x:f>F70+I70</x:f>
        <x:v>1</x:v>
      </x:c>
      <x:c r="M70" s="45" t="n">
        <x:f>G70+J70</x:f>
        <x:v>0</x:v>
      </x:c>
      <x:c r="N70" s="45" t="n">
        <x:f>H70+K70</x:f>
        <x:v>1</x:v>
      </x:c>
      <x:c r="O70" s="45" t="n">
        <x:f>SUM(F70:H70)</x:f>
        <x:v>1</x:v>
      </x:c>
      <x:c r="P70" s="42" t="n">
        <x:f>IF(AND(F70&lt;=F118,F70&lt;=F102,F70&lt;=F86,G70&lt;=G78,G70&lt;=G66,G70&lt;=G74,H70&lt;=H73,H70&lt;=H72,H70&lt;=H71),1,0)</x:f>
        <x:v>0</x:v>
      </x:c>
      <x:c r="Q70" s="42" t="n">
        <x:f>IF(AND(L70&lt;=L118,L70&lt;=L102,L70&lt;=L86,M70&lt;=M78,M70&lt;=M66,M70&lt;=M74,N70&lt;=N73,N70&lt;=N72,N70&lt;=N71),1,0)</x:f>
        <x:v>0</x:v>
      </x:c>
      <x:c r="R70" s="42" t="n">
        <x:v>0</x:v>
      </x:c>
      <x:c r="S70" s="42" t="n">
        <x:v>0</x:v>
      </x:c>
    </x:row>
    <x:row r="71">
      <x:c r="A71" t="n">
        <x:v>2</x:v>
      </x:c>
      <x:c r="B71" t="n">
        <x:v>0</x:v>
      </x:c>
      <x:c r="C71" t="n">
        <x:v>1</x:v>
      </x:c>
      <x:c r="D71" t="n">
        <x:v>0</x:v>
      </x:c>
      <x:c r="E71" t="str">
        <x:v>ell</x:v>
      </x:c>
      <x:c r="F71" s="45" t="n">
        <x:f>1*$B71</x:f>
        <x:v>0</x:v>
      </x:c>
      <x:c r="G71" s="45" t="n">
        <x:f>(1/2)*$C71+(3/2)*$D71</x:f>
        <x:v>0.5</x:v>
      </x:c>
      <x:c r="H71" s="45" t="n">
        <x:f>(1/2)*$C71+(3/2)*$D71</x:f>
        <x:v>0.5</x:v>
      </x:c>
      <x:c r="I71" s="45" t="n">
        <x:f>0</x:f>
        <x:v>0</x:v>
      </x:c>
      <x:c r="J71" s="45" t="n">
        <x:f>(1/2)*($C71+$D71)</x:f>
        <x:v>0.5</x:v>
      </x:c>
      <x:c r="K71" s="45" t="n">
        <x:f>(1/2)*($C71+$D71)</x:f>
        <x:v>0.5</x:v>
      </x:c>
      <x:c r="L71" s="45" t="n">
        <x:f>F71+I71</x:f>
        <x:v>0</x:v>
      </x:c>
      <x:c r="M71" s="45" t="n">
        <x:f>G71+J71</x:f>
        <x:v>1</x:v>
      </x:c>
      <x:c r="N71" s="45" t="n">
        <x:f>H71+K71</x:f>
        <x:v>1</x:v>
      </x:c>
      <x:c r="O71" s="45" t="n">
        <x:f>SUM(F71:H71)</x:f>
        <x:v>1</x:v>
      </x:c>
      <x:c r="P71" s="42" t="n">
        <x:f>IF(AND(F71&lt;=F119,F71&lt;=F103,F71&lt;=F87,G71&lt;=G79,G71&lt;=G67,G71&lt;=G75,H71&lt;=H73,H71&lt;=H70,H71&lt;=H72),1,0)</x:f>
        <x:v>0</x:v>
      </x:c>
      <x:c r="Q71" s="42" t="n">
        <x:f>IF(AND(L71&lt;=L119,L71&lt;=L103,L71&lt;=L87,M71&lt;=M79,M71&lt;=M67,M71&lt;=M75,N71&lt;=N73,N71&lt;=N70,N71&lt;=N72),1,0)</x:f>
        <x:v>0</x:v>
      </x:c>
      <x:c r="R71" s="42" t="n">
        <x:v>0</x:v>
      </x:c>
      <x:c r="S71" s="42" t="n">
        <x:v>0</x:v>
      </x:c>
    </x:row>
    <x:row r="72">
      <x:c r="A72" t="n">
        <x:v>2</x:v>
      </x:c>
      <x:c r="B72" t="n">
        <x:v>0</x:v>
      </x:c>
      <x:c r="C72" t="n">
        <x:v>1</x:v>
      </x:c>
      <x:c r="D72" t="n">
        <x:v>0</x:v>
      </x:c>
      <x:c r="E72" t="str">
        <x:v>elo</x:v>
      </x:c>
      <x:c r="F72" s="45" t="n">
        <x:f>1*$B72</x:f>
        <x:v>0</x:v>
      </x:c>
      <x:c r="G72" s="45" t="n">
        <x:f>1*$D72</x:f>
        <x:v>0</x:v>
      </x:c>
      <x:c r="H72" s="45" t="n">
        <x:f>0</x:f>
        <x:v>0</x:v>
      </x:c>
      <x:c r="I72" s="45" t="n">
        <x:f>0</x:f>
        <x:v>0</x:v>
      </x:c>
      <x:c r="J72" s="45" t="n">
        <x:f>0</x:f>
        <x:v>0</x:v>
      </x:c>
      <x:c r="K72" s="45" t="n">
        <x:f>0</x:f>
        <x:v>0</x:v>
      </x:c>
      <x:c r="L72" s="45" t="n">
        <x:f>F72+I72</x:f>
        <x:v>0</x:v>
      </x:c>
      <x:c r="M72" s="45" t="n">
        <x:f>G72+J72</x:f>
        <x:v>0</x:v>
      </x:c>
      <x:c r="N72" s="45" t="n">
        <x:f>H72+K72</x:f>
        <x:v>0</x:v>
      </x:c>
      <x:c r="O72" s="45" t="n">
        <x:f>SUM(F72:H72)</x:f>
        <x:v>0</x:v>
      </x:c>
      <x:c r="P72" s="42" t="n">
        <x:f>IF(AND(F72&lt;=F120,F72&lt;=F104,F72&lt;=F88,G72&lt;=G80,G72&lt;=G68,G72&lt;=G76,H72&lt;=H73,H72&lt;=H70,H72&lt;=H71),1,0)</x:f>
        <x:v>1</x:v>
      </x:c>
      <x:c r="Q72" s="42" t="n">
        <x:f>IF(AND(L72&lt;=L120,L72&lt;=L104,L72&lt;=L88,M72&lt;=M80,M72&lt;=M68,M72&lt;=M76,N72&lt;=N73,N72&lt;=N70,N72&lt;=N71),1,0)</x:f>
        <x:v>1</x:v>
      </x:c>
      <x:c r="R72" s="42" t="n">
        <x:v>1</x:v>
      </x:c>
      <x:c r="S72" s="42" t="n">
        <x:v>1</x:v>
      </x:c>
    </x:row>
    <x:row r="73">
      <x:c r="A73" t="n">
        <x:v>2</x:v>
      </x:c>
      <x:c r="B73" t="n">
        <x:v>0</x:v>
      </x:c>
      <x:c r="C73" t="n">
        <x:v>1</x:v>
      </x:c>
      <x:c r="D73" t="n">
        <x:v>0</x:v>
      </x:c>
      <x:c r="E73" t="str">
        <x:v>elv</x:v>
      </x:c>
      <x:c r="F73" s="45" t="n">
        <x:f>1*$B73</x:f>
        <x:v>0</x:v>
      </x:c>
      <x:c r="G73" s="45" t="n">
        <x:f>1*$D73</x:f>
        <x:v>0</x:v>
      </x:c>
      <x:c r="H73" s="45" t="n">
        <x:f>2*$B73</x:f>
        <x:v>0</x:v>
      </x:c>
      <x:c r="I73" s="45" t="n">
        <x:f>0</x:f>
        <x:v>0</x:v>
      </x:c>
      <x:c r="J73" s="45" t="n">
        <x:f>0</x:f>
        <x:v>0</x:v>
      </x:c>
      <x:c r="K73" s="45" t="n">
        <x:f>0</x:f>
        <x:v>0</x:v>
      </x:c>
      <x:c r="L73" s="45" t="n">
        <x:f>F73+I73</x:f>
        <x:v>0</x:v>
      </x:c>
      <x:c r="M73" s="45" t="n">
        <x:f>G73+J73</x:f>
        <x:v>0</x:v>
      </x:c>
      <x:c r="N73" s="45" t="n">
        <x:f>H73+K73</x:f>
        <x:v>0</x:v>
      </x:c>
      <x:c r="O73" s="45" t="n">
        <x:f>SUM(F73:H73)</x:f>
        <x:v>0</x:v>
      </x:c>
      <x:c r="P73" s="42" t="n">
        <x:f>IF(AND(F73&lt;=F121,F73&lt;=F105,F73&lt;=F89,G73&lt;=G81,G73&lt;=G69,G73&lt;=G77,H73&lt;=H70,H73&lt;=H72,H73&lt;=H71),1,0)</x:f>
        <x:v>1</x:v>
      </x:c>
      <x:c r="Q73" s="42" t="n">
        <x:f>IF(AND(L73&lt;=L121,L73&lt;=L105,L73&lt;=L89,M73&lt;=M81,M73&lt;=M69,M73&lt;=M77,N73&lt;=N70,N73&lt;=N72,N73&lt;=N71),1,0)</x:f>
        <x:v>1</x:v>
      </x:c>
      <x:c r="R73" s="42" t="n">
        <x:v>1</x:v>
      </x:c>
      <x:c r="S73" s="42" t="n">
        <x:v>1</x:v>
      </x:c>
    </x:row>
    <x:row r="74">
      <x:c r="A74" t="n">
        <x:v>2</x:v>
      </x:c>
      <x:c r="B74" t="n">
        <x:v>0</x:v>
      </x:c>
      <x:c r="C74" t="n">
        <x:v>1</x:v>
      </x:c>
      <x:c r="D74" t="n">
        <x:v>0</x:v>
      </x:c>
      <x:c r="E74" t="str">
        <x:v>eoe</x:v>
      </x:c>
      <x:c r="F74" s="45" t="n">
        <x:f>(1/2)*$B74+(1/2)*$C74</x:f>
        <x:v>0.5</x:v>
      </x:c>
      <x:c r="G74" s="45" t="n">
        <x:f>1*$C74+1*$D74</x:f>
        <x:v>1</x:v>
      </x:c>
      <x:c r="H74" s="45" t="n">
        <x:f>(1/2)*$B74+(1/2)*$C74</x:f>
        <x:v>0.5</x:v>
      </x:c>
      <x:c r="I74" s="45" t="n">
        <x:f>MAX((3/2)*$C74+$D74-(1/2)*$B74,0)</x:f>
        <x:v>1.5</x:v>
      </x:c>
      <x:c r="J74" s="45" t="n">
        <x:f>0</x:f>
        <x:v>0</x:v>
      </x:c>
      <x:c r="K74" s="45" t="n">
        <x:f>MAX((3/2)*$C74+$D74-(1/2)*$B74,0)</x:f>
        <x:v>1.5</x:v>
      </x:c>
      <x:c r="L74" s="45" t="n">
        <x:f>F74+I74</x:f>
        <x:v>2</x:v>
      </x:c>
      <x:c r="M74" s="45" t="n">
        <x:f>G74+J74</x:f>
        <x:v>1</x:v>
      </x:c>
      <x:c r="N74" s="45" t="n">
        <x:f>H74+K74</x:f>
        <x:v>2</x:v>
      </x:c>
      <x:c r="O74" s="45" t="n">
        <x:f>SUM(F74:H74)</x:f>
        <x:v>2</x:v>
      </x:c>
      <x:c r="P74" s="42" t="n">
        <x:f>IF(AND(F74&lt;=F122,F74&lt;=F106,F74&lt;=F90,G74&lt;=G78,G74&lt;=G66,G74&lt;=G70,H74&lt;=H77,H74&lt;=H76,H74&lt;=H75),1,0)</x:f>
        <x:v>0</x:v>
      </x:c>
      <x:c r="Q74" s="42" t="n">
        <x:f>IF(AND(L74&lt;=L122,L74&lt;=L106,L74&lt;=L90,M74&lt;=M78,M74&lt;=M66,M74&lt;=M70,N74&lt;=N77,N74&lt;=N76,N74&lt;=N75),1,0)</x:f>
        <x:v>0</x:v>
      </x:c>
      <x:c r="R74" s="42" t="n">
        <x:v>0</x:v>
      </x:c>
      <x:c r="S74" s="42" t="n">
        <x:v>0</x:v>
      </x:c>
    </x:row>
    <x:row r="75">
      <x:c r="A75" t="n">
        <x:v>2</x:v>
      </x:c>
      <x:c r="B75" t="n">
        <x:v>0</x:v>
      </x:c>
      <x:c r="C75" t="n">
        <x:v>1</x:v>
      </x:c>
      <x:c r="D75" t="n">
        <x:v>0</x:v>
      </x:c>
      <x:c r="E75" t="str">
        <x:v>eol</x:v>
      </x:c>
      <x:c r="F75" s="45" t="n">
        <x:f>1*$B75</x:f>
        <x:v>0</x:v>
      </x:c>
      <x:c r="G75" s="45" t="n">
        <x:f>0</x:f>
        <x:v>0</x:v>
      </x:c>
      <x:c r="H75" s="45" t="n">
        <x:f>1*$D75</x:f>
        <x:v>0</x:v>
      </x:c>
      <x:c r="I75" s="45" t="n">
        <x:f>0</x:f>
        <x:v>0</x:v>
      </x:c>
      <x:c r="J75" s="45" t="n">
        <x:f>0</x:f>
        <x:v>0</x:v>
      </x:c>
      <x:c r="K75" s="45" t="n">
        <x:f>0</x:f>
        <x:v>0</x:v>
      </x:c>
      <x:c r="L75" s="45" t="n">
        <x:f>F75+I75</x:f>
        <x:v>0</x:v>
      </x:c>
      <x:c r="M75" s="45" t="n">
        <x:f>G75+J75</x:f>
        <x:v>0</x:v>
      </x:c>
      <x:c r="N75" s="45" t="n">
        <x:f>H75+K75</x:f>
        <x:v>0</x:v>
      </x:c>
      <x:c r="O75" s="45" t="n">
        <x:f>SUM(F75:H75)</x:f>
        <x:v>0</x:v>
      </x:c>
      <x:c r="P75" s="42" t="n">
        <x:f>IF(AND(F75&lt;=F123,F75&lt;=F107,F75&lt;=F91,G75&lt;=G79,G75&lt;=G67,G75&lt;=G71,H75&lt;=H77,H75&lt;=H74,H75&lt;=H76),1,0)</x:f>
        <x:v>1</x:v>
      </x:c>
      <x:c r="Q75" s="42" t="n">
        <x:f>IF(AND(L75&lt;=L123,L75&lt;=L107,L75&lt;=L91,M75&lt;=M79,M75&lt;=M67,M75&lt;=M71,N75&lt;=N77,N75&lt;=N74,N75&lt;=N76),1,0)</x:f>
        <x:v>1</x:v>
      </x:c>
      <x:c r="R75" s="42" t="n">
        <x:v>1</x:v>
      </x:c>
      <x:c r="S75" s="42" t="n">
        <x:v>1</x:v>
      </x:c>
    </x:row>
    <x:row r="76">
      <x:c r="A76" t="n">
        <x:v>2</x:v>
      </x:c>
      <x:c r="B76" t="n">
        <x:v>0</x:v>
      </x:c>
      <x:c r="C76" t="n">
        <x:v>1</x:v>
      </x:c>
      <x:c r="D76" t="n">
        <x:v>0</x:v>
      </x:c>
      <x:c r="E76" t="str">
        <x:v>eoo</x:v>
      </x:c>
      <x:c r="F76" s="45" t="n">
        <x:f>1*$B76</x:f>
        <x:v>0</x:v>
      </x:c>
      <x:c r="G76" s="45" t="n">
        <x:f>(1/2)*$C76+(1/2)*$D76</x:f>
        <x:v>0.5</x:v>
      </x:c>
      <x:c r="H76" s="45" t="n">
        <x:f>(1/2)*$C76+(1/2)*$D76</x:f>
        <x:v>0.5</x:v>
      </x:c>
      <x:c r="I76" s="45" t="n">
        <x:f>0</x:f>
        <x:v>0</x:v>
      </x:c>
      <x:c r="J76" s="45" t="n">
        <x:f>(1/2)*($C76+$D76)</x:f>
        <x:v>0.5</x:v>
      </x:c>
      <x:c r="K76" s="45" t="n">
        <x:f>(1/2)*($C76+$D76)</x:f>
        <x:v>0.5</x:v>
      </x:c>
      <x:c r="L76" s="45" t="n">
        <x:f>F76+I76</x:f>
        <x:v>0</x:v>
      </x:c>
      <x:c r="M76" s="45" t="n">
        <x:f>G76+J76</x:f>
        <x:v>1</x:v>
      </x:c>
      <x:c r="N76" s="45" t="n">
        <x:f>H76+K76</x:f>
        <x:v>1</x:v>
      </x:c>
      <x:c r="O76" s="45" t="n">
        <x:f>SUM(F76:H76)</x:f>
        <x:v>1</x:v>
      </x:c>
      <x:c r="P76" s="42" t="n">
        <x:f>IF(AND(F76&lt;=F124,F76&lt;=F108,F76&lt;=F92,G76&lt;=G80,G76&lt;=G68,G76&lt;=G72,H76&lt;=H77,H76&lt;=H74,H76&lt;=H75),1,0)</x:f>
        <x:v>0</x:v>
      </x:c>
      <x:c r="Q76" s="42" t="n">
        <x:f>IF(AND(L76&lt;=L124,L76&lt;=L108,L76&lt;=L92,M76&lt;=M80,M76&lt;=M68,M76&lt;=M72,N76&lt;=N77,N76&lt;=N74,N76&lt;=N75),1,0)</x:f>
        <x:v>0</x:v>
      </x:c>
      <x:c r="R76" s="42" t="n">
        <x:v>0</x:v>
      </x:c>
      <x:c r="S76" s="42" t="n">
        <x:v>0</x:v>
      </x:c>
    </x:row>
    <x:row r="77">
      <x:c r="A77" t="n">
        <x:v>2</x:v>
      </x:c>
      <x:c r="B77" t="n">
        <x:v>0</x:v>
      </x:c>
      <x:c r="C77" t="n">
        <x:v>1</x:v>
      </x:c>
      <x:c r="D77" t="n">
        <x:v>0</x:v>
      </x:c>
      <x:c r="E77" t="str">
        <x:v>eov</x:v>
      </x:c>
      <x:c r="F77" s="45" t="n">
        <x:f>1*$B77</x:f>
        <x:v>0</x:v>
      </x:c>
      <x:c r="G77" s="45" t="n">
        <x:f>0</x:f>
        <x:v>0</x:v>
      </x:c>
      <x:c r="H77" s="45" t="n">
        <x:f>2*$B77</x:f>
        <x:v>0</x:v>
      </x:c>
      <x:c r="I77" s="45" t="n">
        <x:f>0</x:f>
        <x:v>0</x:v>
      </x:c>
      <x:c r="J77" s="45" t="n">
        <x:f>0</x:f>
        <x:v>0</x:v>
      </x:c>
      <x:c r="K77" s="45" t="n">
        <x:f>0</x:f>
        <x:v>0</x:v>
      </x:c>
      <x:c r="L77" s="45" t="n">
        <x:f>F77+I77</x:f>
        <x:v>0</x:v>
      </x:c>
      <x:c r="M77" s="45" t="n">
        <x:f>G77+J77</x:f>
        <x:v>0</x:v>
      </x:c>
      <x:c r="N77" s="45" t="n">
        <x:f>H77+K77</x:f>
        <x:v>0</x:v>
      </x:c>
      <x:c r="O77" s="45" t="n">
        <x:f>SUM(F77:H77)</x:f>
        <x:v>0</x:v>
      </x:c>
      <x:c r="P77" s="42" t="n">
        <x:f>IF(AND(F77&lt;=F125,F77&lt;=F109,F77&lt;=F93,G77&lt;=G81,G77&lt;=G69,G77&lt;=G73,H77&lt;=H74,H77&lt;=H76,H77&lt;=H75),1,0)</x:f>
        <x:v>1</x:v>
      </x:c>
      <x:c r="Q77" s="42" t="n">
        <x:f>IF(AND(L77&lt;=L125,L77&lt;=L109,L77&lt;=L93,M77&lt;=M81,M77&lt;=M69,M77&lt;=M73,N77&lt;=N74,N77&lt;=N76,N77&lt;=N75),1,0)</x:f>
        <x:v>1</x:v>
      </x:c>
      <x:c r="R77" s="42" t="n">
        <x:v>1</x:v>
      </x:c>
      <x:c r="S77" s="42" t="n">
        <x:v>1</x:v>
      </x:c>
    </x:row>
    <x:row r="78">
      <x:c r="A78" t="n">
        <x:v>2</x:v>
      </x:c>
      <x:c r="B78" t="n">
        <x:v>0</x:v>
      </x:c>
      <x:c r="C78" t="n">
        <x:v>1</x:v>
      </x:c>
      <x:c r="D78" t="n">
        <x:v>0</x:v>
      </x:c>
      <x:c r="E78" t="str">
        <x:v>eve</x:v>
      </x:c>
      <x:c r="F78" s="45" t="n">
        <x:f>(1/2)*$B78+(1/2)*$C78</x:f>
        <x:v>0.5</x:v>
      </x:c>
      <x:c r="G78" s="45" t="n">
        <x:f>2*$B78</x:f>
        <x:v>0</x:v>
      </x:c>
      <x:c r="H78" s="45" t="n">
        <x:f>(1/2)*$B78+(1/2)*$C78</x:f>
        <x:v>0.5</x:v>
      </x:c>
      <x:c r="I78" s="45" t="n">
        <x:f>MAX((1/2)*($C78-$B78),0)</x:f>
        <x:v>0.5</x:v>
      </x:c>
      <x:c r="J78" s="45" t="n">
        <x:f>0</x:f>
        <x:v>0</x:v>
      </x:c>
      <x:c r="K78" s="45" t="n">
        <x:f>MAX((1/2)*($C78-$B78),0)</x:f>
        <x:v>0.5</x:v>
      </x:c>
      <x:c r="L78" s="45" t="n">
        <x:f>F78+I78</x:f>
        <x:v>1</x:v>
      </x:c>
      <x:c r="M78" s="45" t="n">
        <x:f>G78+J78</x:f>
        <x:v>0</x:v>
      </x:c>
      <x:c r="N78" s="45" t="n">
        <x:f>H78+K78</x:f>
        <x:v>1</x:v>
      </x:c>
      <x:c r="O78" s="45" t="n">
        <x:f>SUM(F78:H78)</x:f>
        <x:v>1</x:v>
      </x:c>
      <x:c r="P78" s="42" t="n">
        <x:f>IF(AND(F78&lt;=F126,F78&lt;=F110,F78&lt;=F94,G78&lt;=G66,G78&lt;=G74,G78&lt;=G70,H78&lt;=H81,H78&lt;=H80,H78&lt;=H79),1,0)</x:f>
        <x:v>0</x:v>
      </x:c>
      <x:c r="Q78" s="42" t="n">
        <x:f>IF(AND(L78&lt;=L126,L78&lt;=L110,L78&lt;=L94,M78&lt;=M66,M78&lt;=M74,M78&lt;=M70,N78&lt;=N81,N78&lt;=N80,N78&lt;=N79),1,0)</x:f>
        <x:v>0</x:v>
      </x:c>
      <x:c r="R78" s="42" t="n">
        <x:v>0</x:v>
      </x:c>
      <x:c r="S78" s="42" t="n">
        <x:v>0</x:v>
      </x:c>
    </x:row>
    <x:row r="79">
      <x:c r="A79" t="n">
        <x:v>2</x:v>
      </x:c>
      <x:c r="B79" t="n">
        <x:v>0</x:v>
      </x:c>
      <x:c r="C79" t="n">
        <x:v>1</x:v>
      </x:c>
      <x:c r="D79" t="n">
        <x:v>0</x:v>
      </x:c>
      <x:c r="E79" t="str">
        <x:v>evl</x:v>
      </x:c>
      <x:c r="F79" s="45" t="n">
        <x:f>1*$B79</x:f>
        <x:v>0</x:v>
      </x:c>
      <x:c r="G79" s="45" t="n">
        <x:f>2*$B79</x:f>
        <x:v>0</x:v>
      </x:c>
      <x:c r="H79" s="45" t="n">
        <x:f>1*$D79</x:f>
        <x:v>0</x:v>
      </x:c>
      <x:c r="I79" s="45" t="n">
        <x:f>0</x:f>
        <x:v>0</x:v>
      </x:c>
      <x:c r="J79" s="45" t="n">
        <x:f>0</x:f>
        <x:v>0</x:v>
      </x:c>
      <x:c r="K79" s="45" t="n">
        <x:f>0</x:f>
        <x:v>0</x:v>
      </x:c>
      <x:c r="L79" s="45" t="n">
        <x:f>F79+I79</x:f>
        <x:v>0</x:v>
      </x:c>
      <x:c r="M79" s="45" t="n">
        <x:f>G79+J79</x:f>
        <x:v>0</x:v>
      </x:c>
      <x:c r="N79" s="45" t="n">
        <x:f>H79+K79</x:f>
        <x:v>0</x:v>
      </x:c>
      <x:c r="O79" s="45" t="n">
        <x:f>SUM(F79:H79)</x:f>
        <x:v>0</x:v>
      </x:c>
      <x:c r="P79" s="42" t="n">
        <x:f>IF(AND(F79&lt;=F127,F79&lt;=F111,F79&lt;=F95,G79&lt;=G67,G79&lt;=G75,G79&lt;=G71,H79&lt;=H81,H79&lt;=H78,H79&lt;=H80),1,0)</x:f>
        <x:v>1</x:v>
      </x:c>
      <x:c r="Q79" s="42" t="n">
        <x:f>IF(AND(L79&lt;=L127,L79&lt;=L111,L79&lt;=L95,M79&lt;=M67,M79&lt;=M75,M79&lt;=M71,N79&lt;=N81,N79&lt;=N78,N79&lt;=N80),1,0)</x:f>
        <x:v>1</x:v>
      </x:c>
      <x:c r="R79" s="42" t="n">
        <x:v>1</x:v>
      </x:c>
      <x:c r="S79" s="42" t="n">
        <x:v>1</x:v>
      </x:c>
    </x:row>
    <x:row r="80">
      <x:c r="A80" t="n">
        <x:v>2</x:v>
      </x:c>
      <x:c r="B80" t="n">
        <x:v>0</x:v>
      </x:c>
      <x:c r="C80" t="n">
        <x:v>1</x:v>
      </x:c>
      <x:c r="D80" t="n">
        <x:v>0</x:v>
      </x:c>
      <x:c r="E80" t="str">
        <x:v>evo</x:v>
      </x:c>
      <x:c r="F80" s="45" t="n">
        <x:f>1*$B80</x:f>
        <x:v>0</x:v>
      </x:c>
      <x:c r="G80" s="45" t="n">
        <x:f>2*$B80</x:f>
        <x:v>0</x:v>
      </x:c>
      <x:c r="H80" s="45" t="n">
        <x:f>0</x:f>
        <x:v>0</x:v>
      </x:c>
      <x:c r="I80" s="45" t="n">
        <x:f>0</x:f>
        <x:v>0</x:v>
      </x:c>
      <x:c r="J80" s="45" t="n">
        <x:f>0</x:f>
        <x:v>0</x:v>
      </x:c>
      <x:c r="K80" s="45" t="n">
        <x:f>0</x:f>
        <x:v>0</x:v>
      </x:c>
      <x:c r="L80" s="45" t="n">
        <x:f>F80+I80</x:f>
        <x:v>0</x:v>
      </x:c>
      <x:c r="M80" s="45" t="n">
        <x:f>G80+J80</x:f>
        <x:v>0</x:v>
      </x:c>
      <x:c r="N80" s="45" t="n">
        <x:f>H80+K80</x:f>
        <x:v>0</x:v>
      </x:c>
      <x:c r="O80" s="45" t="n">
        <x:f>SUM(F80:H80)</x:f>
        <x:v>0</x:v>
      </x:c>
      <x:c r="P80" s="42" t="n">
        <x:f>IF(AND(F80&lt;=F128,F80&lt;=F112,F80&lt;=F96,G80&lt;=G68,G80&lt;=G76,G80&lt;=G72,H80&lt;=H81,H80&lt;=H78,H80&lt;=H79),1,0)</x:f>
        <x:v>1</x:v>
      </x:c>
      <x:c r="Q80" s="42" t="n">
        <x:f>IF(AND(L80&lt;=L128,L80&lt;=L112,L80&lt;=L96,M80&lt;=M68,M80&lt;=M76,M80&lt;=M72,N80&lt;=N81,N80&lt;=N78,N80&lt;=N79),1,0)</x:f>
        <x:v>1</x:v>
      </x:c>
      <x:c r="R80" s="42" t="n">
        <x:v>1</x:v>
      </x:c>
      <x:c r="S80" s="42" t="n">
        <x:v>1</x:v>
      </x:c>
    </x:row>
    <x:row r="81">
      <x:c r="A81" t="n">
        <x:v>2</x:v>
      </x:c>
      <x:c r="B81" t="n">
        <x:v>0</x:v>
      </x:c>
      <x:c r="C81" t="n">
        <x:v>1</x:v>
      </x:c>
      <x:c r="D81" t="n">
        <x:v>0</x:v>
      </x:c>
      <x:c r="E81" t="str">
        <x:v>evv</x:v>
      </x:c>
      <x:c r="F81" s="45" t="n">
        <x:f>1*$C81</x:f>
        <x:v>1</x:v>
      </x:c>
      <x:c r="G81" s="45" t="n">
        <x:f>(3/2)*$B81+(1/2)*$C81</x:f>
        <x:v>0.5</x:v>
      </x:c>
      <x:c r="H81" s="45" t="n">
        <x:f>(3/2)*$B81+(1/2)*$C81</x:f>
        <x:v>0.5</x:v>
      </x:c>
      <x:c r="I81" s="45" t="n">
        <x:f>0</x:f>
        <x:v>0</x:v>
      </x:c>
      <x:c r="J81" s="45" t="n">
        <x:f>MAX((3/2)*($C81-$B81),0)</x:f>
        <x:v>1.5</x:v>
      </x:c>
      <x:c r="K81" s="45" t="n">
        <x:f>MAX((3/2)*($C81-$B81),0)</x:f>
        <x:v>1.5</x:v>
      </x:c>
      <x:c r="L81" s="45" t="n">
        <x:f>F81+I81</x:f>
        <x:v>1</x:v>
      </x:c>
      <x:c r="M81" s="45" t="n">
        <x:f>G81+J81</x:f>
        <x:v>2</x:v>
      </x:c>
      <x:c r="N81" s="45" t="n">
        <x:f>H81+K81</x:f>
        <x:v>2</x:v>
      </x:c>
      <x:c r="O81" s="45" t="n">
        <x:f>SUM(F81:H81)</x:f>
        <x:v>2</x:v>
      </x:c>
      <x:c r="P81" s="42" t="n">
        <x:f>IF(AND(F81&lt;=F129,F81&lt;=F113,F81&lt;=F97,G81&lt;=G69,G81&lt;=G77,G81&lt;=G73,H81&lt;=H78,H81&lt;=H80,H81&lt;=H79),1,0)</x:f>
        <x:v>0</x:v>
      </x:c>
      <x:c r="Q81" s="42" t="n">
        <x:f>IF(AND(L81&lt;=L129,L81&lt;=L113,L81&lt;=L97,M81&lt;=M69,M81&lt;=M77,M81&lt;=M73,N81&lt;=N78,N81&lt;=N80,N81&lt;=N79),1,0)</x:f>
        <x:v>0</x:v>
      </x:c>
      <x:c r="R81" s="42" t="n">
        <x:v>0</x:v>
      </x:c>
      <x:c r="S81" s="42" t="n">
        <x:v>0</x:v>
      </x:c>
    </x:row>
    <x:row r="82">
      <x:c r="A82" t="n">
        <x:v>2</x:v>
      </x:c>
      <x:c r="B82" t="n">
        <x:v>0</x:v>
      </x:c>
      <x:c r="C82" t="n">
        <x:v>1</x:v>
      </x:c>
      <x:c r="D82" t="n">
        <x:v>0</x:v>
      </x:c>
      <x:c r="E82" t="str">
        <x:v>lee</x:v>
      </x:c>
      <x:c r="F82" s="45" t="n">
        <x:f>1*$D82</x:f>
        <x:v>0</x:v>
      </x:c>
      <x:c r="G82" s="45" t="n">
        <x:f>(1/2)*$B82+(1/2)*$C82</x:f>
        <x:v>0.5</x:v>
      </x:c>
      <x:c r="H82" s="45" t="n">
        <x:f>(1/2)*$B82+(1/2)*$C82</x:f>
        <x:v>0.5</x:v>
      </x:c>
      <x:c r="I82" s="45" t="n">
        <x:f>0</x:f>
        <x:v>0</x:v>
      </x:c>
      <x:c r="J82" s="45" t="n">
        <x:f>MAX((1/2)*($C82-$B82),0)</x:f>
        <x:v>0.5</x:v>
      </x:c>
      <x:c r="K82" s="45" t="n">
        <x:f>MAX((1/2)*($C82-$B82),0)</x:f>
        <x:v>0.5</x:v>
      </x:c>
      <x:c r="L82" s="45" t="n">
        <x:f>F82+I82</x:f>
        <x:v>0</x:v>
      </x:c>
      <x:c r="M82" s="45" t="n">
        <x:f>G82+J82</x:f>
        <x:v>1</x:v>
      </x:c>
      <x:c r="N82" s="45" t="n">
        <x:f>H82+K82</x:f>
        <x:v>1</x:v>
      </x:c>
      <x:c r="O82" s="45" t="n">
        <x:f>SUM(F82:H82)</x:f>
        <x:v>1</x:v>
      </x:c>
      <x:c r="P82" s="42" t="n">
        <x:f>IF(AND(F82&lt;=F114,F82&lt;=F66,F82&lt;=F98,G82&lt;=G94,G82&lt;=G90,G82&lt;=G86,H82&lt;=H85,H82&lt;=H84,H82&lt;=H83),1,0)</x:f>
        <x:v>0</x:v>
      </x:c>
      <x:c r="Q82" s="42" t="n">
        <x:f>IF(AND(L82&lt;=L114,L82&lt;=L66,L82&lt;=L98,M82&lt;=M94,M82&lt;=M90,M82&lt;=M86,N82&lt;=N85,N82&lt;=N84,N82&lt;=N83),1,0)</x:f>
        <x:v>0</x:v>
      </x:c>
      <x:c r="R82" s="42" t="n">
        <x:v>0</x:v>
      </x:c>
      <x:c r="S82" s="42" t="n">
        <x:v>0</x:v>
      </x:c>
    </x:row>
    <x:row r="83">
      <x:c r="A83" t="n">
        <x:v>2</x:v>
      </x:c>
      <x:c r="B83" t="n">
        <x:v>0</x:v>
      </x:c>
      <x:c r="C83" t="n">
        <x:v>1</x:v>
      </x:c>
      <x:c r="D83" t="n">
        <x:v>0</x:v>
      </x:c>
      <x:c r="E83" t="str">
        <x:v>lel</x:v>
      </x:c>
      <x:c r="F83" s="45" t="n">
        <x:f>(1/2)*$C83+(3/2)*$D83</x:f>
        <x:v>0.5</x:v>
      </x:c>
      <x:c r="G83" s="45" t="n">
        <x:f>1*$B83</x:f>
        <x:v>0</x:v>
      </x:c>
      <x:c r="H83" s="45" t="n">
        <x:f>(1/2)*$C83+(3/2)*$D83</x:f>
        <x:v>0.5</x:v>
      </x:c>
      <x:c r="I83" s="45" t="n">
        <x:f>(1/2)*($C83+$D83)</x:f>
        <x:v>0.5</x:v>
      </x:c>
      <x:c r="J83" s="45" t="n">
        <x:f>0</x:f>
        <x:v>0</x:v>
      </x:c>
      <x:c r="K83" s="45" t="n">
        <x:f>(1/2)*($C83+$D83)</x:f>
        <x:v>0.5</x:v>
      </x:c>
      <x:c r="L83" s="45" t="n">
        <x:f>F83+I83</x:f>
        <x:v>1</x:v>
      </x:c>
      <x:c r="M83" s="45" t="n">
        <x:f>G83+J83</x:f>
        <x:v>0</x:v>
      </x:c>
      <x:c r="N83" s="45" t="n">
        <x:f>H83+K83</x:f>
        <x:v>1</x:v>
      </x:c>
      <x:c r="O83" s="45" t="n">
        <x:f>SUM(F83:H83)</x:f>
        <x:v>1</x:v>
      </x:c>
      <x:c r="P83" s="42" t="n">
        <x:f>IF(AND(F83&lt;=F115,F83&lt;=F67,F83&lt;=F99,G83&lt;=G95,G83&lt;=G91,G83&lt;=G87,H83&lt;=H85,H83&lt;=H82,H83&lt;=H84),1,0)</x:f>
        <x:v>0</x:v>
      </x:c>
      <x:c r="Q83" s="42" t="n">
        <x:f>IF(AND(L83&lt;=L115,L83&lt;=L67,L83&lt;=L99,M83&lt;=M95,M83&lt;=M91,M83&lt;=M87,N83&lt;=N85,N83&lt;=N82,N83&lt;=N84),1,0)</x:f>
        <x:v>0</x:v>
      </x:c>
      <x:c r="R83" s="42" t="n">
        <x:v>0</x:v>
      </x:c>
      <x:c r="S83" s="42" t="n">
        <x:v>0</x:v>
      </x:c>
    </x:row>
    <x:row r="84">
      <x:c r="A84" t="n">
        <x:v>2</x:v>
      </x:c>
      <x:c r="B84" t="n">
        <x:v>0</x:v>
      </x:c>
      <x:c r="C84" t="n">
        <x:v>1</x:v>
      </x:c>
      <x:c r="D84" t="n">
        <x:v>0</x:v>
      </x:c>
      <x:c r="E84" t="str">
        <x:v>leo</x:v>
      </x:c>
      <x:c r="F84" s="45" t="n">
        <x:f>1*$D84</x:f>
        <x:v>0</x:v>
      </x:c>
      <x:c r="G84" s="45" t="n">
        <x:f>1*$B84</x:f>
        <x:v>0</x:v>
      </x:c>
      <x:c r="H84" s="45" t="n">
        <x:f>0</x:f>
        <x:v>0</x:v>
      </x:c>
      <x:c r="I84" s="45" t="n">
        <x:f>0</x:f>
        <x:v>0</x:v>
      </x:c>
      <x:c r="J84" s="45" t="n">
        <x:f>0</x:f>
        <x:v>0</x:v>
      </x:c>
      <x:c r="K84" s="45" t="n">
        <x:f>0</x:f>
        <x:v>0</x:v>
      </x:c>
      <x:c r="L84" s="45" t="n">
        <x:f>F84+I84</x:f>
        <x:v>0</x:v>
      </x:c>
      <x:c r="M84" s="45" t="n">
        <x:f>G84+J84</x:f>
        <x:v>0</x:v>
      </x:c>
      <x:c r="N84" s="45" t="n">
        <x:f>H84+K84</x:f>
        <x:v>0</x:v>
      </x:c>
      <x:c r="O84" s="45" t="n">
        <x:f>SUM(F84:H84)</x:f>
        <x:v>0</x:v>
      </x:c>
      <x:c r="P84" s="42" t="n">
        <x:f>IF(AND(F84&lt;=F116,F84&lt;=F68,F84&lt;=F100,G84&lt;=G96,G84&lt;=G92,G84&lt;=G88,H84&lt;=H85,H84&lt;=H82,H84&lt;=H83),1,0)</x:f>
        <x:v>1</x:v>
      </x:c>
      <x:c r="Q84" s="42" t="n">
        <x:f>IF(AND(L84&lt;=L116,L84&lt;=L68,L84&lt;=L100,M84&lt;=M96,M84&lt;=M92,M84&lt;=M88,N84&lt;=N85,N84&lt;=N82,N84&lt;=N83),1,0)</x:f>
        <x:v>1</x:v>
      </x:c>
      <x:c r="R84" s="42" t="n">
        <x:v>1</x:v>
      </x:c>
      <x:c r="S84" s="42" t="n">
        <x:v>1</x:v>
      </x:c>
    </x:row>
    <x:row r="85">
      <x:c r="A85" t="n">
        <x:v>2</x:v>
      </x:c>
      <x:c r="B85" t="n">
        <x:v>0</x:v>
      </x:c>
      <x:c r="C85" t="n">
        <x:v>1</x:v>
      </x:c>
      <x:c r="D85" t="n">
        <x:v>0</x:v>
      </x:c>
      <x:c r="E85" t="str">
        <x:v>lev</x:v>
      </x:c>
      <x:c r="F85" s="45" t="n">
        <x:f>1*$D85</x:f>
        <x:v>0</x:v>
      </x:c>
      <x:c r="G85" s="45" t="n">
        <x:f>1*$B85</x:f>
        <x:v>0</x:v>
      </x:c>
      <x:c r="H85" s="45" t="n">
        <x:f>2*$B85</x:f>
        <x:v>0</x:v>
      </x:c>
      <x:c r="I85" s="45" t="n">
        <x:f>0</x:f>
        <x:v>0</x:v>
      </x:c>
      <x:c r="J85" s="45" t="n">
        <x:f>0</x:f>
        <x:v>0</x:v>
      </x:c>
      <x:c r="K85" s="45" t="n">
        <x:f>0</x:f>
        <x:v>0</x:v>
      </x:c>
      <x:c r="L85" s="45" t="n">
        <x:f>F85+I85</x:f>
        <x:v>0</x:v>
      </x:c>
      <x:c r="M85" s="45" t="n">
        <x:f>G85+J85</x:f>
        <x:v>0</x:v>
      </x:c>
      <x:c r="N85" s="45" t="n">
        <x:f>H85+K85</x:f>
        <x:v>0</x:v>
      </x:c>
      <x:c r="O85" s="45" t="n">
        <x:f>SUM(F85:H85)</x:f>
        <x:v>0</x:v>
      </x:c>
      <x:c r="P85" s="42" t="n">
        <x:f>IF(AND(F85&lt;=F117,F85&lt;=F69,F85&lt;=F101,G85&lt;=G97,G85&lt;=G93,G85&lt;=G89,H85&lt;=H82,H85&lt;=H84,H85&lt;=H83),1,0)</x:f>
        <x:v>1</x:v>
      </x:c>
      <x:c r="Q85" s="42" t="n">
        <x:f>IF(AND(L85&lt;=L117,L85&lt;=L69,L85&lt;=L101,M85&lt;=M97,M85&lt;=M93,M85&lt;=M89,N85&lt;=N82,N85&lt;=N84,N85&lt;=N83),1,0)</x:f>
        <x:v>1</x:v>
      </x:c>
      <x:c r="R85" s="42" t="n">
        <x:v>1</x:v>
      </x:c>
      <x:c r="S85" s="42" t="n">
        <x:v>1</x:v>
      </x:c>
    </x:row>
    <x:row r="86">
      <x:c r="A86" t="n">
        <x:v>2</x:v>
      </x:c>
      <x:c r="B86" t="n">
        <x:v>0</x:v>
      </x:c>
      <x:c r="C86" t="n">
        <x:v>1</x:v>
      </x:c>
      <x:c r="D86" t="n">
        <x:v>0</x:v>
      </x:c>
      <x:c r="E86" t="str">
        <x:v>lle</x:v>
      </x:c>
      <x:c r="F86" s="45" t="n">
        <x:f>(1/2)*$C86+(3/2)*$D86</x:f>
        <x:v>0.5</x:v>
      </x:c>
      <x:c r="G86" s="45" t="n">
        <x:f>(1/2)*$C86+(3/2)*$D86</x:f>
        <x:v>0.5</x:v>
      </x:c>
      <x:c r="H86" s="45" t="n">
        <x:f>1*$B86</x:f>
        <x:v>0</x:v>
      </x:c>
      <x:c r="I86" s="45" t="n">
        <x:f>(1/2)*($C86+$D86)</x:f>
        <x:v>0.5</x:v>
      </x:c>
      <x:c r="J86" s="45" t="n">
        <x:f>(1/2)*($C86+$D86)</x:f>
        <x:v>0.5</x:v>
      </x:c>
      <x:c r="K86" s="45" t="n">
        <x:f>0</x:f>
        <x:v>0</x:v>
      </x:c>
      <x:c r="L86" s="45" t="n">
        <x:f>F86+I86</x:f>
        <x:v>1</x:v>
      </x:c>
      <x:c r="M86" s="45" t="n">
        <x:f>G86+J86</x:f>
        <x:v>1</x:v>
      </x:c>
      <x:c r="N86" s="45" t="n">
        <x:f>H86+K86</x:f>
        <x:v>0</x:v>
      </x:c>
      <x:c r="O86" s="45" t="n">
        <x:f>SUM(F86:H86)</x:f>
        <x:v>1</x:v>
      </x:c>
      <x:c r="P86" s="42" t="n">
        <x:f>IF(AND(F86&lt;=F118,F86&lt;=F70,F86&lt;=F102,G86&lt;=G94,G86&lt;=G82,G86&lt;=G90,H86&lt;=H89,H86&lt;=H88,H86&lt;=H87),1,0)</x:f>
        <x:v>0</x:v>
      </x:c>
      <x:c r="Q86" s="42" t="n">
        <x:f>IF(AND(L86&lt;=L118,L86&lt;=L70,L86&lt;=L102,M86&lt;=M94,M86&lt;=M82,M86&lt;=M90,N86&lt;=N89,N86&lt;=N88,N86&lt;=N87),1,0)</x:f>
        <x:v>0</x:v>
      </x:c>
      <x:c r="R86" s="42" t="n">
        <x:v>0</x:v>
      </x:c>
      <x:c r="S86" s="42" t="n">
        <x:v>0</x:v>
      </x:c>
    </x:row>
    <x:row r="87">
      <x:c r="A87" t="n">
        <x:v>2</x:v>
      </x:c>
      <x:c r="B87" t="n">
        <x:v>0</x:v>
      </x:c>
      <x:c r="C87" t="n">
        <x:v>1</x:v>
      </x:c>
      <x:c r="D87" t="n">
        <x:v>0</x:v>
      </x:c>
      <x:c r="E87" t="str">
        <x:v>lll</x:v>
      </x:c>
      <x:c r="F87" s="45" t="n">
        <x:f>1*$C87+2*$D87</x:f>
        <x:v>1</x:v>
      </x:c>
      <x:c r="G87" s="45" t="n">
        <x:f>1*$C87+2*$D87</x:f>
        <x:v>1</x:v>
      </x:c>
      <x:c r="H87" s="45" t="n">
        <x:f>1*$C87+2*$D87</x:f>
        <x:v>1</x:v>
      </x:c>
      <x:c r="I87" s="45" t="n">
        <x:f>$C87+$D87</x:f>
        <x:v>1</x:v>
      </x:c>
      <x:c r="J87" s="45" t="n">
        <x:f>$C87+$D87</x:f>
        <x:v>1</x:v>
      </x:c>
      <x:c r="K87" s="45" t="n">
        <x:f>$C87+$D87</x:f>
        <x:v>1</x:v>
      </x:c>
      <x:c r="L87" s="45" t="n">
        <x:f>F87+I87</x:f>
        <x:v>2</x:v>
      </x:c>
      <x:c r="M87" s="45" t="n">
        <x:f>G87+J87</x:f>
        <x:v>2</x:v>
      </x:c>
      <x:c r="N87" s="45" t="n">
        <x:f>H87+K87</x:f>
        <x:v>2</x:v>
      </x:c>
      <x:c r="O87" s="45" t="n">
        <x:f>SUM(F87:H87)</x:f>
        <x:v>3</x:v>
      </x:c>
      <x:c r="P87" s="42" t="n">
        <x:f>IF(AND(F87&lt;=F119,F87&lt;=F71,F87&lt;=F103,G87&lt;=G95,G87&lt;=G83,G87&lt;=G91,H87&lt;=H89,H87&lt;=H86,H87&lt;=H88),1,0)</x:f>
        <x:v>0</x:v>
      </x:c>
      <x:c r="Q87" s="42" t="n">
        <x:f>IF(AND(L87&lt;=L119,L87&lt;=L71,L87&lt;=L103,M87&lt;=M95,M87&lt;=M83,M87&lt;=M91,N87&lt;=N89,N87&lt;=N86,N87&lt;=N88),1,0)</x:f>
        <x:v>0</x:v>
      </x:c>
      <x:c r="R87" s="42" t="n">
        <x:v>0</x:v>
      </x:c>
      <x:c r="S87" s="42" t="n">
        <x:v>0</x:v>
      </x:c>
    </x:row>
    <x:row r="88">
      <x:c r="A88" t="n">
        <x:v>2</x:v>
      </x:c>
      <x:c r="B88" t="n">
        <x:v>0</x:v>
      </x:c>
      <x:c r="C88" t="n">
        <x:v>1</x:v>
      </x:c>
      <x:c r="D88" t="n">
        <x:v>0</x:v>
      </x:c>
      <x:c r="E88" t="str">
        <x:v>llo</x:v>
      </x:c>
      <x:c r="F88" s="45" t="n">
        <x:f>(1/2)*$C88+(3/2)*$D88</x:f>
        <x:v>0.5</x:v>
      </x:c>
      <x:c r="G88" s="45" t="n">
        <x:f>(1/2)*$C88+(3/2)*$D88</x:f>
        <x:v>0.5</x:v>
      </x:c>
      <x:c r="H88" s="45" t="n">
        <x:f>0</x:f>
        <x:v>0</x:v>
      </x:c>
      <x:c r="I88" s="45" t="n">
        <x:f>(1/2)*($C88+$D88)</x:f>
        <x:v>0.5</x:v>
      </x:c>
      <x:c r="J88" s="45" t="n">
        <x:f>(1/2)*($C88+$D88)</x:f>
        <x:v>0.5</x:v>
      </x:c>
      <x:c r="K88" s="45" t="n">
        <x:f>0</x:f>
        <x:v>0</x:v>
      </x:c>
      <x:c r="L88" s="45" t="n">
        <x:f>F88+I88</x:f>
        <x:v>1</x:v>
      </x:c>
      <x:c r="M88" s="45" t="n">
        <x:f>G88+J88</x:f>
        <x:v>1</x:v>
      </x:c>
      <x:c r="N88" s="45" t="n">
        <x:f>H88+K88</x:f>
        <x:v>0</x:v>
      </x:c>
      <x:c r="O88" s="45" t="n">
        <x:f>SUM(F88:H88)</x:f>
        <x:v>1</x:v>
      </x:c>
      <x:c r="P88" s="42" t="n">
        <x:f>IF(AND(F88&lt;=F120,F88&lt;=F72,F88&lt;=F104,G88&lt;=G96,G88&lt;=G84,G88&lt;=G92,H88&lt;=H89,H88&lt;=H86,H88&lt;=H87),1,0)</x:f>
        <x:v>0</x:v>
      </x:c>
      <x:c r="Q88" s="42" t="n">
        <x:f>IF(AND(L88&lt;=L120,L88&lt;=L72,L88&lt;=L104,M88&lt;=M96,M88&lt;=M84,M88&lt;=M92,N88&lt;=N89,N88&lt;=N86,N88&lt;=N87),1,0)</x:f>
        <x:v>0</x:v>
      </x:c>
      <x:c r="R88" s="42" t="n">
        <x:v>0</x:v>
      </x:c>
      <x:c r="S88" s="42" t="n">
        <x:v>0</x:v>
      </x:c>
    </x:row>
    <x:row r="89">
      <x:c r="A89" t="n">
        <x:v>2</x:v>
      </x:c>
      <x:c r="B89" t="n">
        <x:v>0</x:v>
      </x:c>
      <x:c r="C89" t="n">
        <x:v>1</x:v>
      </x:c>
      <x:c r="D89" t="n">
        <x:v>0</x:v>
      </x:c>
      <x:c r="E89" t="str">
        <x:v>llv</x:v>
      </x:c>
      <x:c r="F89" s="45" t="n">
        <x:f>(1/2)*$C89+(3/2)*$D89</x:f>
        <x:v>0.5</x:v>
      </x:c>
      <x:c r="G89" s="45" t="n">
        <x:f>(1/2)*$C89+(3/2)*$D89</x:f>
        <x:v>0.5</x:v>
      </x:c>
      <x:c r="H89" s="45" t="n">
        <x:f>2*$B89</x:f>
        <x:v>0</x:v>
      </x:c>
      <x:c r="I89" s="45" t="n">
        <x:f>(1/2)*($C89+$D89)</x:f>
        <x:v>0.5</x:v>
      </x:c>
      <x:c r="J89" s="45" t="n">
        <x:f>(1/2)*($C89+$D89)</x:f>
        <x:v>0.5</x:v>
      </x:c>
      <x:c r="K89" s="45" t="n">
        <x:f>0</x:f>
        <x:v>0</x:v>
      </x:c>
      <x:c r="L89" s="45" t="n">
        <x:f>F89+I89</x:f>
        <x:v>1</x:v>
      </x:c>
      <x:c r="M89" s="45" t="n">
        <x:f>G89+J89</x:f>
        <x:v>1</x:v>
      </x:c>
      <x:c r="N89" s="45" t="n">
        <x:f>H89+K89</x:f>
        <x:v>0</x:v>
      </x:c>
      <x:c r="O89" s="45" t="n">
        <x:f>SUM(F89:H89)</x:f>
        <x:v>1</x:v>
      </x:c>
      <x:c r="P89" s="42" t="n">
        <x:f>IF(AND(F89&lt;=F121,F89&lt;=F73,F89&lt;=F105,G89&lt;=G97,G89&lt;=G85,G89&lt;=G93,H89&lt;=H86,H89&lt;=H88,H89&lt;=H87),1,0)</x:f>
        <x:v>0</x:v>
      </x:c>
      <x:c r="Q89" s="42" t="n">
        <x:f>IF(AND(L89&lt;=L121,L89&lt;=L73,L89&lt;=L105,M89&lt;=M97,M89&lt;=M85,M89&lt;=M93,N89&lt;=N86,N89&lt;=N88,N89&lt;=N87),1,0)</x:f>
        <x:v>0</x:v>
      </x:c>
      <x:c r="R89" s="42" t="n">
        <x:v>0</x:v>
      </x:c>
      <x:c r="S89" s="42" t="n">
        <x:v>0</x:v>
      </x:c>
    </x:row>
    <x:row r="90">
      <x:c r="A90" t="n">
        <x:v>2</x:v>
      </x:c>
      <x:c r="B90" t="n">
        <x:v>0</x:v>
      </x:c>
      <x:c r="C90" t="n">
        <x:v>1</x:v>
      </x:c>
      <x:c r="D90" t="n">
        <x:v>0</x:v>
      </x:c>
      <x:c r="E90" t="str">
        <x:v>loe</x:v>
      </x:c>
      <x:c r="F90" s="45" t="n">
        <x:f>1*$D90</x:f>
        <x:v>0</x:v>
      </x:c>
      <x:c r="G90" s="45" t="n">
        <x:f>0</x:f>
        <x:v>0</x:v>
      </x:c>
      <x:c r="H90" s="45" t="n">
        <x:f>1*$B90</x:f>
        <x:v>0</x:v>
      </x:c>
      <x:c r="I90" s="45" t="n">
        <x:f>0</x:f>
        <x:v>0</x:v>
      </x:c>
      <x:c r="J90" s="45" t="n">
        <x:f>0</x:f>
        <x:v>0</x:v>
      </x:c>
      <x:c r="K90" s="45" t="n">
        <x:f>0</x:f>
        <x:v>0</x:v>
      </x:c>
      <x:c r="L90" s="45" t="n">
        <x:f>F90+I90</x:f>
        <x:v>0</x:v>
      </x:c>
      <x:c r="M90" s="45" t="n">
        <x:f>G90+J90</x:f>
        <x:v>0</x:v>
      </x:c>
      <x:c r="N90" s="45" t="n">
        <x:f>H90+K90</x:f>
        <x:v>0</x:v>
      </x:c>
      <x:c r="O90" s="45" t="n">
        <x:f>SUM(F90:H90)</x:f>
        <x:v>0</x:v>
      </x:c>
      <x:c r="P90" s="42" t="n">
        <x:f>IF(AND(F90&lt;=F122,F90&lt;=F74,F90&lt;=F106,G90&lt;=G94,G90&lt;=G82,G90&lt;=G86,H90&lt;=H93,H90&lt;=H92,H90&lt;=H91),1,0)</x:f>
        <x:v>1</x:v>
      </x:c>
      <x:c r="Q90" s="42" t="n">
        <x:f>IF(AND(L90&lt;=L122,L90&lt;=L74,L90&lt;=L106,M90&lt;=M94,M90&lt;=M82,M90&lt;=M86,N90&lt;=N93,N90&lt;=N92,N90&lt;=N91),1,0)</x:f>
        <x:v>1</x:v>
      </x:c>
      <x:c r="R90" s="42" t="n">
        <x:v>1</x:v>
      </x:c>
      <x:c r="S90" s="42" t="n">
        <x:v>1</x:v>
      </x:c>
    </x:row>
    <x:row r="91">
      <x:c r="A91" t="n">
        <x:v>2</x:v>
      </x:c>
      <x:c r="B91" t="n">
        <x:v>0</x:v>
      </x:c>
      <x:c r="C91" t="n">
        <x:v>1</x:v>
      </x:c>
      <x:c r="D91" t="n">
        <x:v>0</x:v>
      </x:c>
      <x:c r="E91" t="str">
        <x:v>lol</x:v>
      </x:c>
      <x:c r="F91" s="45" t="n">
        <x:f>(1/2)*$C91+(3/2)*$D91</x:f>
        <x:v>0.5</x:v>
      </x:c>
      <x:c r="G91" s="45" t="n">
        <x:f>0</x:f>
        <x:v>0</x:v>
      </x:c>
      <x:c r="H91" s="45" t="n">
        <x:f>(1/2)*$C91+(3/2)*$D91</x:f>
        <x:v>0.5</x:v>
      </x:c>
      <x:c r="I91" s="45" t="n">
        <x:f>(1/2)*($C91+$D91)</x:f>
        <x:v>0.5</x:v>
      </x:c>
      <x:c r="J91" s="45" t="n">
        <x:f>0</x:f>
        <x:v>0</x:v>
      </x:c>
      <x:c r="K91" s="45" t="n">
        <x:f>(1/2)*($C91+$D91)</x:f>
        <x:v>0.5</x:v>
      </x:c>
      <x:c r="L91" s="45" t="n">
        <x:f>F91+I91</x:f>
        <x:v>1</x:v>
      </x:c>
      <x:c r="M91" s="45" t="n">
        <x:f>G91+J91</x:f>
        <x:v>0</x:v>
      </x:c>
      <x:c r="N91" s="45" t="n">
        <x:f>H91+K91</x:f>
        <x:v>1</x:v>
      </x:c>
      <x:c r="O91" s="45" t="n">
        <x:f>SUM(F91:H91)</x:f>
        <x:v>1</x:v>
      </x:c>
      <x:c r="P91" s="42" t="n">
        <x:f>IF(AND(F91&lt;=F123,F91&lt;=F75,F91&lt;=F107,G91&lt;=G95,G91&lt;=G83,G91&lt;=G87,H91&lt;=H93,H91&lt;=H90,H91&lt;=H92),1,0)</x:f>
        <x:v>0</x:v>
      </x:c>
      <x:c r="Q91" s="42" t="n">
        <x:f>IF(AND(L91&lt;=L123,L91&lt;=L75,L91&lt;=L107,M91&lt;=M95,M91&lt;=M83,M91&lt;=M87,N91&lt;=N93,N91&lt;=N90,N91&lt;=N92),1,0)</x:f>
        <x:v>0</x:v>
      </x:c>
      <x:c r="R91" s="42" t="n">
        <x:v>0</x:v>
      </x:c>
      <x:c r="S91" s="42" t="n">
        <x:v>0</x:v>
      </x:c>
    </x:row>
    <x:row r="92">
      <x:c r="A92" t="n">
        <x:v>2</x:v>
      </x:c>
      <x:c r="B92" t="n">
        <x:v>0</x:v>
      </x:c>
      <x:c r="C92" t="n">
        <x:v>1</x:v>
      </x:c>
      <x:c r="D92" t="n">
        <x:v>0</x:v>
      </x:c>
      <x:c r="E92" t="str">
        <x:v>loo</x:v>
      </x:c>
      <x:c r="F92" s="45" t="n">
        <x:f>1*$C92+2*$D92</x:f>
        <x:v>1</x:v>
      </x:c>
      <x:c r="G92" s="45" t="n">
        <x:f>(1/2)*$C92+(1/2)*$D92</x:f>
        <x:v>0.5</x:v>
      </x:c>
      <x:c r="H92" s="45" t="n">
        <x:f>(1/2)*$C92+(1/2)*$D92</x:f>
        <x:v>0.5</x:v>
      </x:c>
      <x:c r="I92" s="45" t="n">
        <x:f>0</x:f>
        <x:v>0</x:v>
      </x:c>
      <x:c r="J92" s="45" t="n">
        <x:f>(3/2)*($C92+$D92)</x:f>
        <x:v>1.5</x:v>
      </x:c>
      <x:c r="K92" s="45" t="n">
        <x:f>(3/2)*($C92+$D92)</x:f>
        <x:v>1.5</x:v>
      </x:c>
      <x:c r="L92" s="45" t="n">
        <x:f>F92+I92</x:f>
        <x:v>1</x:v>
      </x:c>
      <x:c r="M92" s="45" t="n">
        <x:f>G92+J92</x:f>
        <x:v>2</x:v>
      </x:c>
      <x:c r="N92" s="45" t="n">
        <x:f>H92+K92</x:f>
        <x:v>2</x:v>
      </x:c>
      <x:c r="O92" s="45" t="n">
        <x:f>SUM(F92:H92)</x:f>
        <x:v>2</x:v>
      </x:c>
      <x:c r="P92" s="42" t="n">
        <x:f>IF(AND(F92&lt;=F124,F92&lt;=F76,F92&lt;=F108,G92&lt;=G96,G92&lt;=G84,G92&lt;=G88,H92&lt;=H93,H92&lt;=H90,H92&lt;=H91),1,0)</x:f>
        <x:v>0</x:v>
      </x:c>
      <x:c r="Q92" s="42" t="n">
        <x:f>IF(AND(L92&lt;=L124,L92&lt;=L76,L92&lt;=L108,M92&lt;=M96,M92&lt;=M84,M92&lt;=M88,N92&lt;=N93,N92&lt;=N90,N92&lt;=N91),1,0)</x:f>
        <x:v>0</x:v>
      </x:c>
      <x:c r="R92" s="42" t="n">
        <x:v>0</x:v>
      </x:c>
      <x:c r="S92" s="42" t="n">
        <x:v>0</x:v>
      </x:c>
    </x:row>
    <x:row r="93">
      <x:c r="A93" t="n">
        <x:v>2</x:v>
      </x:c>
      <x:c r="B93" t="n">
        <x:v>0</x:v>
      </x:c>
      <x:c r="C93" t="n">
        <x:v>1</x:v>
      </x:c>
      <x:c r="D93" t="n">
        <x:v>0</x:v>
      </x:c>
      <x:c r="E93" t="str">
        <x:v>lov</x:v>
      </x:c>
      <x:c r="F93" s="45" t="n">
        <x:f>1*$D93</x:f>
        <x:v>0</x:v>
      </x:c>
      <x:c r="G93" s="45" t="n">
        <x:f>0</x:f>
        <x:v>0</x:v>
      </x:c>
      <x:c r="H93" s="45" t="n">
        <x:f>2*$B93</x:f>
        <x:v>0</x:v>
      </x:c>
      <x:c r="I93" s="45" t="n">
        <x:f>0</x:f>
        <x:v>0</x:v>
      </x:c>
      <x:c r="J93" s="45" t="n">
        <x:f>0</x:f>
        <x:v>0</x:v>
      </x:c>
      <x:c r="K93" s="45" t="n">
        <x:f>0</x:f>
        <x:v>0</x:v>
      </x:c>
      <x:c r="L93" s="45" t="n">
        <x:f>F93+I93</x:f>
        <x:v>0</x:v>
      </x:c>
      <x:c r="M93" s="45" t="n">
        <x:f>G93+J93</x:f>
        <x:v>0</x:v>
      </x:c>
      <x:c r="N93" s="45" t="n">
        <x:f>H93+K93</x:f>
        <x:v>0</x:v>
      </x:c>
      <x:c r="O93" s="45" t="n">
        <x:f>SUM(F93:H93)</x:f>
        <x:v>0</x:v>
      </x:c>
      <x:c r="P93" s="42" t="n">
        <x:f>IF(AND(F93&lt;=F125,F93&lt;=F77,F93&lt;=F109,G93&lt;=G97,G93&lt;=G85,G93&lt;=G89,H93&lt;=H90,H93&lt;=H92,H93&lt;=H91),1,0)</x:f>
        <x:v>1</x:v>
      </x:c>
      <x:c r="Q93" s="42" t="n">
        <x:f>IF(AND(L93&lt;=L125,L93&lt;=L77,L93&lt;=L109,M93&lt;=M97,M93&lt;=M85,M93&lt;=M89,N93&lt;=N90,N93&lt;=N92,N93&lt;=N91),1,0)</x:f>
        <x:v>1</x:v>
      </x:c>
      <x:c r="R93" s="42" t="n">
        <x:v>1</x:v>
      </x:c>
      <x:c r="S93" s="42" t="n">
        <x:v>1</x:v>
      </x:c>
    </x:row>
    <x:row r="94">
      <x:c r="A94" t="n">
        <x:v>2</x:v>
      </x:c>
      <x:c r="B94" t="n">
        <x:v>0</x:v>
      </x:c>
      <x:c r="C94" t="n">
        <x:v>1</x:v>
      </x:c>
      <x:c r="D94" t="n">
        <x:v>0</x:v>
      </x:c>
      <x:c r="E94" t="str">
        <x:v>lve</x:v>
      </x:c>
      <x:c r="F94" s="45" t="n">
        <x:f>1*$D94</x:f>
        <x:v>0</x:v>
      </x:c>
      <x:c r="G94" s="45" t="n">
        <x:f>2*$B94</x:f>
        <x:v>0</x:v>
      </x:c>
      <x:c r="H94" s="45" t="n">
        <x:f>1*$B94</x:f>
        <x:v>0</x:v>
      </x:c>
      <x:c r="I94" s="45" t="n">
        <x:f>0</x:f>
        <x:v>0</x:v>
      </x:c>
      <x:c r="J94" s="45" t="n">
        <x:f>0</x:f>
        <x:v>0</x:v>
      </x:c>
      <x:c r="K94" s="45" t="n">
        <x:f>0</x:f>
        <x:v>0</x:v>
      </x:c>
      <x:c r="L94" s="45" t="n">
        <x:f>F94+I94</x:f>
        <x:v>0</x:v>
      </x:c>
      <x:c r="M94" s="45" t="n">
        <x:f>G94+J94</x:f>
        <x:v>0</x:v>
      </x:c>
      <x:c r="N94" s="45" t="n">
        <x:f>H94+K94</x:f>
        <x:v>0</x:v>
      </x:c>
      <x:c r="O94" s="45" t="n">
        <x:f>SUM(F94:H94)</x:f>
        <x:v>0</x:v>
      </x:c>
      <x:c r="P94" s="42" t="n">
        <x:f>IF(AND(F94&lt;=F126,F94&lt;=F78,F94&lt;=F110,G94&lt;=G82,G94&lt;=G90,G94&lt;=G86,H94&lt;=H97,H94&lt;=H96,H94&lt;=H95),1,0)</x:f>
        <x:v>1</x:v>
      </x:c>
      <x:c r="Q94" s="42" t="n">
        <x:f>IF(AND(L94&lt;=L126,L94&lt;=L78,L94&lt;=L110,M94&lt;=M82,M94&lt;=M90,M94&lt;=M86,N94&lt;=N97,N94&lt;=N96,N94&lt;=N95),1,0)</x:f>
        <x:v>1</x:v>
      </x:c>
      <x:c r="R94" s="42" t="n">
        <x:v>1</x:v>
      </x:c>
      <x:c r="S94" s="42" t="n">
        <x:v>1</x:v>
      </x:c>
    </x:row>
    <x:row r="95">
      <x:c r="A95" t="n">
        <x:v>2</x:v>
      </x:c>
      <x:c r="B95" t="n">
        <x:v>0</x:v>
      </x:c>
      <x:c r="C95" t="n">
        <x:v>1</x:v>
      </x:c>
      <x:c r="D95" t="n">
        <x:v>0</x:v>
      </x:c>
      <x:c r="E95" t="str">
        <x:v>lvl</x:v>
      </x:c>
      <x:c r="F95" s="45" t="n">
        <x:f>(1/2)*$C95+(3/2)*$D95</x:f>
        <x:v>0.5</x:v>
      </x:c>
      <x:c r="G95" s="45" t="n">
        <x:f>2*$B95</x:f>
        <x:v>0</x:v>
      </x:c>
      <x:c r="H95" s="45" t="n">
        <x:f>(1/2)*$C95+(3/2)*$D95</x:f>
        <x:v>0.5</x:v>
      </x:c>
      <x:c r="I95" s="45" t="n">
        <x:f>(1/2)*($C95+$D95)</x:f>
        <x:v>0.5</x:v>
      </x:c>
      <x:c r="J95" s="45" t="n">
        <x:f>0</x:f>
        <x:v>0</x:v>
      </x:c>
      <x:c r="K95" s="45" t="n">
        <x:f>(1/2)*($C95+$D95)</x:f>
        <x:v>0.5</x:v>
      </x:c>
      <x:c r="L95" s="45" t="n">
        <x:f>F95+I95</x:f>
        <x:v>1</x:v>
      </x:c>
      <x:c r="M95" s="45" t="n">
        <x:f>G95+J95</x:f>
        <x:v>0</x:v>
      </x:c>
      <x:c r="N95" s="45" t="n">
        <x:f>H95+K95</x:f>
        <x:v>1</x:v>
      </x:c>
      <x:c r="O95" s="45" t="n">
        <x:f>SUM(F95:H95)</x:f>
        <x:v>1</x:v>
      </x:c>
      <x:c r="P95" s="42" t="n">
        <x:f>IF(AND(F95&lt;=F127,F95&lt;=F79,F95&lt;=F111,G95&lt;=G83,G95&lt;=G91,G95&lt;=G87,H95&lt;=H97,H95&lt;=H94,H95&lt;=H96),1,0)</x:f>
        <x:v>0</x:v>
      </x:c>
      <x:c r="Q95" s="42" t="n">
        <x:f>IF(AND(L95&lt;=L127,L95&lt;=L79,L95&lt;=L111,M95&lt;=M83,M95&lt;=M91,M95&lt;=M87,N95&lt;=N97,N95&lt;=N94,N95&lt;=N96),1,0)</x:f>
        <x:v>0</x:v>
      </x:c>
      <x:c r="R95" s="42" t="n">
        <x:v>0</x:v>
      </x:c>
      <x:c r="S95" s="42" t="n">
        <x:v>0</x:v>
      </x:c>
    </x:row>
    <x:row r="96">
      <x:c r="A96" t="n">
        <x:v>2</x:v>
      </x:c>
      <x:c r="B96" t="n">
        <x:v>0</x:v>
      </x:c>
      <x:c r="C96" t="n">
        <x:v>1</x:v>
      </x:c>
      <x:c r="D96" t="n">
        <x:v>0</x:v>
      </x:c>
      <x:c r="E96" t="str">
        <x:v>lvo</x:v>
      </x:c>
      <x:c r="F96" s="45" t="n">
        <x:f>1*$D96</x:f>
        <x:v>0</x:v>
      </x:c>
      <x:c r="G96" s="45" t="n">
        <x:f>2*$B96</x:f>
        <x:v>0</x:v>
      </x:c>
      <x:c r="H96" s="45" t="n">
        <x:f>0</x:f>
        <x:v>0</x:v>
      </x:c>
      <x:c r="I96" s="45" t="n">
        <x:f>0</x:f>
        <x:v>0</x:v>
      </x:c>
      <x:c r="J96" s="45" t="n">
        <x:f>0</x:f>
        <x:v>0</x:v>
      </x:c>
      <x:c r="K96" s="45" t="n">
        <x:f>0</x:f>
        <x:v>0</x:v>
      </x:c>
      <x:c r="L96" s="45" t="n">
        <x:f>F96+I96</x:f>
        <x:v>0</x:v>
      </x:c>
      <x:c r="M96" s="45" t="n">
        <x:f>G96+J96</x:f>
        <x:v>0</x:v>
      </x:c>
      <x:c r="N96" s="45" t="n">
        <x:f>H96+K96</x:f>
        <x:v>0</x:v>
      </x:c>
      <x:c r="O96" s="45" t="n">
        <x:f>SUM(F96:H96)</x:f>
        <x:v>0</x:v>
      </x:c>
      <x:c r="P96" s="42" t="n">
        <x:f>IF(AND(F96&lt;=F128,F96&lt;=F80,F96&lt;=F112,G96&lt;=G84,G96&lt;=G92,G96&lt;=G88,H96&lt;=H97,H96&lt;=H94,H96&lt;=H95),1,0)</x:f>
        <x:v>1</x:v>
      </x:c>
      <x:c r="Q96" s="42" t="n">
        <x:f>IF(AND(L96&lt;=L128,L96&lt;=L80,L96&lt;=L112,M96&lt;=M84,M96&lt;=M92,M96&lt;=M88,N96&lt;=N97,N96&lt;=N94,N96&lt;=N95),1,0)</x:f>
        <x:v>1</x:v>
      </x:c>
      <x:c r="R96" s="42" t="n">
        <x:v>1</x:v>
      </x:c>
      <x:c r="S96" s="42" t="n">
        <x:v>1</x:v>
      </x:c>
    </x:row>
    <x:row r="97">
      <x:c r="A97" t="n">
        <x:v>2</x:v>
      </x:c>
      <x:c r="B97" t="n">
        <x:v>0</x:v>
      </x:c>
      <x:c r="C97" t="n">
        <x:v>1</x:v>
      </x:c>
      <x:c r="D97" t="n">
        <x:v>0</x:v>
      </x:c>
      <x:c r="E97" t="str">
        <x:v>lvv</x:v>
      </x:c>
      <x:c r="F97" s="45" t="n">
        <x:f>1*$D97</x:f>
        <x:v>0</x:v>
      </x:c>
      <x:c r="G97" s="45" t="n">
        <x:f>(3/2)*$B97+(1/2)*$C97</x:f>
        <x:v>0.5</x:v>
      </x:c>
      <x:c r="H97" s="45" t="n">
        <x:f>(3/2)*$B97+(1/2)*$C97</x:f>
        <x:v>0.5</x:v>
      </x:c>
      <x:c r="I97" s="45" t="n">
        <x:f>0</x:f>
        <x:v>0</x:v>
      </x:c>
      <x:c r="J97" s="45" t="n">
        <x:f>MAX((1/2)*($C97-$B97),0)</x:f>
        <x:v>0.5</x:v>
      </x:c>
      <x:c r="K97" s="45" t="n">
        <x:f>MAX((1/2)*($C97-$B97),0)</x:f>
        <x:v>0.5</x:v>
      </x:c>
      <x:c r="L97" s="45" t="n">
        <x:f>F97+I97</x:f>
        <x:v>0</x:v>
      </x:c>
      <x:c r="M97" s="45" t="n">
        <x:f>G97+J97</x:f>
        <x:v>1</x:v>
      </x:c>
      <x:c r="N97" s="45" t="n">
        <x:f>H97+K97</x:f>
        <x:v>1</x:v>
      </x:c>
      <x:c r="O97" s="45" t="n">
        <x:f>SUM(F97:H97)</x:f>
        <x:v>1</x:v>
      </x:c>
      <x:c r="P97" s="42" t="n">
        <x:f>IF(AND(F97&lt;=F129,F97&lt;=F81,F97&lt;=F113,G97&lt;=G85,G97&lt;=G93,G97&lt;=G89,H97&lt;=H94,H97&lt;=H96,H97&lt;=H95),1,0)</x:f>
        <x:v>0</x:v>
      </x:c>
      <x:c r="Q97" s="42" t="n">
        <x:f>IF(AND(L97&lt;=L129,L97&lt;=L81,L97&lt;=L113,M97&lt;=M85,M97&lt;=M93,M97&lt;=M89,N97&lt;=N94,N97&lt;=N96,N97&lt;=N95),1,0)</x:f>
        <x:v>0</x:v>
      </x:c>
      <x:c r="R97" s="42" t="n">
        <x:v>0</x:v>
      </x:c>
      <x:c r="S97" s="42" t="n">
        <x:v>0</x:v>
      </x:c>
    </x:row>
    <x:row r="98">
      <x:c r="A98" t="n">
        <x:v>2</x:v>
      </x:c>
      <x:c r="B98" t="n">
        <x:v>0</x:v>
      </x:c>
      <x:c r="C98" t="n">
        <x:v>1</x:v>
      </x:c>
      <x:c r="D98" t="n">
        <x:v>0</x:v>
      </x:c>
      <x:c r="E98" t="str">
        <x:v>oee</x:v>
      </x:c>
      <x:c r="F98" s="45" t="n">
        <x:f>1*$C98+1*$D98</x:f>
        <x:v>1</x:v>
      </x:c>
      <x:c r="G98" s="45" t="n">
        <x:f>(1/2)*$B98+(1/2)*$C98</x:f>
        <x:v>0.5</x:v>
      </x:c>
      <x:c r="H98" s="45" t="n">
        <x:f>(1/2)*$B98+(1/2)*$C98</x:f>
        <x:v>0.5</x:v>
      </x:c>
      <x:c r="I98" s="45" t="n">
        <x:f>0</x:f>
        <x:v>0</x:v>
      </x:c>
      <x:c r="J98" s="45" t="n">
        <x:f>MAX((3/2)*$C98+$D98-(1/2)*$B98,0)</x:f>
        <x:v>1.5</x:v>
      </x:c>
      <x:c r="K98" s="45" t="n">
        <x:f>MAX((3/2)*$C98+$D98-(1/2)*$B98,0)</x:f>
        <x:v>1.5</x:v>
      </x:c>
      <x:c r="L98" s="45" t="n">
        <x:f>F98+I98</x:f>
        <x:v>1</x:v>
      </x:c>
      <x:c r="M98" s="45" t="n">
        <x:f>G98+J98</x:f>
        <x:v>2</x:v>
      </x:c>
      <x:c r="N98" s="45" t="n">
        <x:f>H98+K98</x:f>
        <x:v>2</x:v>
      </x:c>
      <x:c r="O98" s="45" t="n">
        <x:f>SUM(F98:H98)</x:f>
        <x:v>2</x:v>
      </x:c>
      <x:c r="P98" s="42" t="n">
        <x:f>IF(AND(F98&lt;=F114,F98&lt;=F66,F98&lt;=F82,G98&lt;=G110,G98&lt;=G106,G98&lt;=G102,H98&lt;=H101,H98&lt;=H100,H98&lt;=H99),1,0)</x:f>
        <x:v>0</x:v>
      </x:c>
      <x:c r="Q98" s="42" t="n">
        <x:f>IF(AND(L98&lt;=L114,L98&lt;=L66,L98&lt;=L82,M98&lt;=M110,M98&lt;=M106,M98&lt;=M102,N98&lt;=N101,N98&lt;=N100,N98&lt;=N99),1,0)</x:f>
        <x:v>0</x:v>
      </x:c>
      <x:c r="R98" s="42" t="n">
        <x:v>0</x:v>
      </x:c>
      <x:c r="S98" s="42" t="n">
        <x:v>0</x:v>
      </x:c>
    </x:row>
    <x:row r="99">
      <x:c r="A99" t="n">
        <x:v>2</x:v>
      </x:c>
      <x:c r="B99" t="n">
        <x:v>0</x:v>
      </x:c>
      <x:c r="C99" t="n">
        <x:v>1</x:v>
      </x:c>
      <x:c r="D99" t="n">
        <x:v>0</x:v>
      </x:c>
      <x:c r="E99" t="str">
        <x:v>oel</x:v>
      </x:c>
      <x:c r="F99" s="45" t="n">
        <x:f>0</x:f>
        <x:v>0</x:v>
      </x:c>
      <x:c r="G99" s="45" t="n">
        <x:f>1*$B99</x:f>
        <x:v>0</x:v>
      </x:c>
      <x:c r="H99" s="45" t="n">
        <x:f>1*$D99</x:f>
        <x:v>0</x:v>
      </x:c>
      <x:c r="I99" s="45" t="n">
        <x:f>0</x:f>
        <x:v>0</x:v>
      </x:c>
      <x:c r="J99" s="45" t="n">
        <x:f>0</x:f>
        <x:v>0</x:v>
      </x:c>
      <x:c r="K99" s="45" t="n">
        <x:f>0</x:f>
        <x:v>0</x:v>
      </x:c>
      <x:c r="L99" s="45" t="n">
        <x:f>F99+I99</x:f>
        <x:v>0</x:v>
      </x:c>
      <x:c r="M99" s="45" t="n">
        <x:f>G99+J99</x:f>
        <x:v>0</x:v>
      </x:c>
      <x:c r="N99" s="45" t="n">
        <x:f>H99+K99</x:f>
        <x:v>0</x:v>
      </x:c>
      <x:c r="O99" s="45" t="n">
        <x:f>SUM(F99:H99)</x:f>
        <x:v>0</x:v>
      </x:c>
      <x:c r="P99" s="42" t="n">
        <x:f>IF(AND(F99&lt;=F115,F99&lt;=F67,F99&lt;=F83,G99&lt;=G111,G99&lt;=G107,G99&lt;=G103,H99&lt;=H101,H99&lt;=H98,H99&lt;=H100),1,0)</x:f>
        <x:v>1</x:v>
      </x:c>
      <x:c r="Q99" s="42" t="n">
        <x:f>IF(AND(L99&lt;=L115,L99&lt;=L67,L99&lt;=L83,M99&lt;=M111,M99&lt;=M107,M99&lt;=M103,N99&lt;=N101,N99&lt;=N98,N99&lt;=N100),1,0)</x:f>
        <x:v>1</x:v>
      </x:c>
      <x:c r="R99" s="42" t="n">
        <x:v>1</x:v>
      </x:c>
      <x:c r="S99" s="42" t="n">
        <x:v>1</x:v>
      </x:c>
    </x:row>
    <x:row r="100">
      <x:c r="A100" t="n">
        <x:v>2</x:v>
      </x:c>
      <x:c r="B100" t="n">
        <x:v>0</x:v>
      </x:c>
      <x:c r="C100" t="n">
        <x:v>1</x:v>
      </x:c>
      <x:c r="D100" t="n">
        <x:v>0</x:v>
      </x:c>
      <x:c r="E100" t="str">
        <x:v>oeo</x:v>
      </x:c>
      <x:c r="F100" s="45" t="n">
        <x:f>(1/2)*$C100+(1/2)*$D100</x:f>
        <x:v>0.5</x:v>
      </x:c>
      <x:c r="G100" s="45" t="n">
        <x:f>1*$B100</x:f>
        <x:v>0</x:v>
      </x:c>
      <x:c r="H100" s="45" t="n">
        <x:f>(1/2)*$C100+(1/2)*$D100</x:f>
        <x:v>0.5</x:v>
      </x:c>
      <x:c r="I100" s="45" t="n">
        <x:f>(1/2)*($C100+$D100)</x:f>
        <x:v>0.5</x:v>
      </x:c>
      <x:c r="J100" s="45" t="n">
        <x:f>0</x:f>
        <x:v>0</x:v>
      </x:c>
      <x:c r="K100" s="45" t="n">
        <x:f>(1/2)*($C100+$D100)</x:f>
        <x:v>0.5</x:v>
      </x:c>
      <x:c r="L100" s="45" t="n">
        <x:f>F100+I100</x:f>
        <x:v>1</x:v>
      </x:c>
      <x:c r="M100" s="45" t="n">
        <x:f>G100+J100</x:f>
        <x:v>0</x:v>
      </x:c>
      <x:c r="N100" s="45" t="n">
        <x:f>H100+K100</x:f>
        <x:v>1</x:v>
      </x:c>
      <x:c r="O100" s="45" t="n">
        <x:f>SUM(F100:H100)</x:f>
        <x:v>1</x:v>
      </x:c>
      <x:c r="P100" s="42" t="n">
        <x:f>IF(AND(F100&lt;=F116,F100&lt;=F68,F100&lt;=F84,G100&lt;=G112,G100&lt;=G108,G100&lt;=G104,H100&lt;=H101,H100&lt;=H98,H100&lt;=H99),1,0)</x:f>
        <x:v>0</x:v>
      </x:c>
      <x:c r="Q100" s="42" t="n">
        <x:f>IF(AND(L100&lt;=L116,L100&lt;=L68,L100&lt;=L84,M100&lt;=M112,M100&lt;=M108,M100&lt;=M104,N100&lt;=N101,N100&lt;=N98,N100&lt;=N99),1,0)</x:f>
        <x:v>0</x:v>
      </x:c>
      <x:c r="R100" s="42" t="n">
        <x:v>0</x:v>
      </x:c>
      <x:c r="S100" s="42" t="n">
        <x:v>0</x:v>
      </x:c>
    </x:row>
    <x:row r="101">
      <x:c r="A101" t="n">
        <x:v>2</x:v>
      </x:c>
      <x:c r="B101" t="n">
        <x:v>0</x:v>
      </x:c>
      <x:c r="C101" t="n">
        <x:v>1</x:v>
      </x:c>
      <x:c r="D101" t="n">
        <x:v>0</x:v>
      </x:c>
      <x:c r="E101" t="str">
        <x:v>oev</x:v>
      </x:c>
      <x:c r="F101" s="45" t="n">
        <x:f>0</x:f>
        <x:v>0</x:v>
      </x:c>
      <x:c r="G101" s="45" t="n">
        <x:f>1*$B101</x:f>
        <x:v>0</x:v>
      </x:c>
      <x:c r="H101" s="45" t="n">
        <x:f>2*$B101</x:f>
        <x:v>0</x:v>
      </x:c>
      <x:c r="I101" s="45" t="n">
        <x:f>0</x:f>
        <x:v>0</x:v>
      </x:c>
      <x:c r="J101" s="45" t="n">
        <x:f>0</x:f>
        <x:v>0</x:v>
      </x:c>
      <x:c r="K101" s="45" t="n">
        <x:f>0</x:f>
        <x:v>0</x:v>
      </x:c>
      <x:c r="L101" s="45" t="n">
        <x:f>F101+I101</x:f>
        <x:v>0</x:v>
      </x:c>
      <x:c r="M101" s="45" t="n">
        <x:f>G101+J101</x:f>
        <x:v>0</x:v>
      </x:c>
      <x:c r="N101" s="45" t="n">
        <x:f>H101+K101</x:f>
        <x:v>0</x:v>
      </x:c>
      <x:c r="O101" s="45" t="n">
        <x:f>SUM(F101:H101)</x:f>
        <x:v>0</x:v>
      </x:c>
      <x:c r="P101" s="42" t="n">
        <x:f>IF(AND(F101&lt;=F117,F101&lt;=F69,F101&lt;=F85,G101&lt;=G113,G101&lt;=G109,G101&lt;=G105,H101&lt;=H98,H101&lt;=H100,H101&lt;=H99),1,0)</x:f>
        <x:v>1</x:v>
      </x:c>
      <x:c r="Q101" s="42" t="n">
        <x:f>IF(AND(L101&lt;=L117,L101&lt;=L69,L101&lt;=L85,M101&lt;=M113,M101&lt;=M109,M101&lt;=M105,N101&lt;=N98,N101&lt;=N100,N101&lt;=N99),1,0)</x:f>
        <x:v>1</x:v>
      </x:c>
      <x:c r="R101" s="42" t="n">
        <x:v>1</x:v>
      </x:c>
      <x:c r="S101" s="42" t="n">
        <x:v>1</x:v>
      </x:c>
    </x:row>
    <x:row r="102">
      <x:c r="A102" t="n">
        <x:v>2</x:v>
      </x:c>
      <x:c r="B102" t="n">
        <x:v>0</x:v>
      </x:c>
      <x:c r="C102" t="n">
        <x:v>1</x:v>
      </x:c>
      <x:c r="D102" t="n">
        <x:v>0</x:v>
      </x:c>
      <x:c r="E102" t="str">
        <x:v>ole</x:v>
      </x:c>
      <x:c r="F102" s="45" t="n">
        <x:f>0</x:f>
        <x:v>0</x:v>
      </x:c>
      <x:c r="G102" s="45" t="n">
        <x:f>1*$D102</x:f>
        <x:v>0</x:v>
      </x:c>
      <x:c r="H102" s="45" t="n">
        <x:f>1*$B102</x:f>
        <x:v>0</x:v>
      </x:c>
      <x:c r="I102" s="45" t="n">
        <x:f>0</x:f>
        <x:v>0</x:v>
      </x:c>
      <x:c r="J102" s="45" t="n">
        <x:f>0</x:f>
        <x:v>0</x:v>
      </x:c>
      <x:c r="K102" s="45" t="n">
        <x:f>0</x:f>
        <x:v>0</x:v>
      </x:c>
      <x:c r="L102" s="45" t="n">
        <x:f>F102+I102</x:f>
        <x:v>0</x:v>
      </x:c>
      <x:c r="M102" s="45" t="n">
        <x:f>G102+J102</x:f>
        <x:v>0</x:v>
      </x:c>
      <x:c r="N102" s="45" t="n">
        <x:f>H102+K102</x:f>
        <x:v>0</x:v>
      </x:c>
      <x:c r="O102" s="45" t="n">
        <x:f>SUM(F102:H102)</x:f>
        <x:v>0</x:v>
      </x:c>
      <x:c r="P102" s="42" t="n">
        <x:f>IF(AND(F102&lt;=F118,F102&lt;=F70,F102&lt;=F86,G102&lt;=G110,G102&lt;=G98,G102&lt;=G106,H102&lt;=H105,H102&lt;=H104,H102&lt;=H103),1,0)</x:f>
        <x:v>1</x:v>
      </x:c>
      <x:c r="Q102" s="42" t="n">
        <x:f>IF(AND(L102&lt;=L118,L102&lt;=L70,L102&lt;=L86,M102&lt;=M110,M102&lt;=M98,M102&lt;=M106,N102&lt;=N105,N102&lt;=N104,N102&lt;=N103),1,0)</x:f>
        <x:v>1</x:v>
      </x:c>
      <x:c r="R102" s="42" t="n">
        <x:v>1</x:v>
      </x:c>
      <x:c r="S102" s="42" t="n">
        <x:v>1</x:v>
      </x:c>
    </x:row>
    <x:row r="103">
      <x:c r="A103" t="n">
        <x:v>2</x:v>
      </x:c>
      <x:c r="B103" t="n">
        <x:v>0</x:v>
      </x:c>
      <x:c r="C103" t="n">
        <x:v>1</x:v>
      </x:c>
      <x:c r="D103" t="n">
        <x:v>0</x:v>
      </x:c>
      <x:c r="E103" t="str">
        <x:v>oll</x:v>
      </x:c>
      <x:c r="F103" s="45" t="n">
        <x:f>0</x:f>
        <x:v>0</x:v>
      </x:c>
      <x:c r="G103" s="45" t="n">
        <x:f>(1/2)*$C103+(3/2)*$D103</x:f>
        <x:v>0.5</x:v>
      </x:c>
      <x:c r="H103" s="45" t="n">
        <x:f>(1/2)*$C103+(3/2)*$D103</x:f>
        <x:v>0.5</x:v>
      </x:c>
      <x:c r="I103" s="45" t="n">
        <x:f>0</x:f>
        <x:v>0</x:v>
      </x:c>
      <x:c r="J103" s="45" t="n">
        <x:f>(1/2)*($C103+$D103)</x:f>
        <x:v>0.5</x:v>
      </x:c>
      <x:c r="K103" s="45" t="n">
        <x:f>(1/2)*($C103+$D103)</x:f>
        <x:v>0.5</x:v>
      </x:c>
      <x:c r="L103" s="45" t="n">
        <x:f>F103+I103</x:f>
        <x:v>0</x:v>
      </x:c>
      <x:c r="M103" s="45" t="n">
        <x:f>G103+J103</x:f>
        <x:v>1</x:v>
      </x:c>
      <x:c r="N103" s="45" t="n">
        <x:f>H103+K103</x:f>
        <x:v>1</x:v>
      </x:c>
      <x:c r="O103" s="45" t="n">
        <x:f>SUM(F103:H103)</x:f>
        <x:v>1</x:v>
      </x:c>
      <x:c r="P103" s="42" t="n">
        <x:f>IF(AND(F103&lt;=F119,F103&lt;=F71,F103&lt;=F87,G103&lt;=G111,G103&lt;=G99,G103&lt;=G107,H103&lt;=H105,H103&lt;=H102,H103&lt;=H104),1,0)</x:f>
        <x:v>0</x:v>
      </x:c>
      <x:c r="Q103" s="42" t="n">
        <x:f>IF(AND(L103&lt;=L119,L103&lt;=L71,L103&lt;=L87,M103&lt;=M111,M103&lt;=M99,M103&lt;=M107,N103&lt;=N105,N103&lt;=N102,N103&lt;=N104),1,0)</x:f>
        <x:v>0</x:v>
      </x:c>
      <x:c r="R103" s="42" t="n">
        <x:v>0</x:v>
      </x:c>
      <x:c r="S103" s="42" t="n">
        <x:v>0</x:v>
      </x:c>
    </x:row>
    <x:row r="104">
      <x:c r="A104" t="n">
        <x:v>2</x:v>
      </x:c>
      <x:c r="B104" t="n">
        <x:v>0</x:v>
      </x:c>
      <x:c r="C104" t="n">
        <x:v>1</x:v>
      </x:c>
      <x:c r="D104" t="n">
        <x:v>0</x:v>
      </x:c>
      <x:c r="E104" t="str">
        <x:v>olo</x:v>
      </x:c>
      <x:c r="F104" s="45" t="n">
        <x:f>(1/2)*$C104+(1/2)*$D104</x:f>
        <x:v>0.5</x:v>
      </x:c>
      <x:c r="G104" s="45" t="n">
        <x:f>1*$C104+2*$D104</x:f>
        <x:v>1</x:v>
      </x:c>
      <x:c r="H104" s="45" t="n">
        <x:f>(1/2)*$C104+(1/2)*$D104</x:f>
        <x:v>0.5</x:v>
      </x:c>
      <x:c r="I104" s="45" t="n">
        <x:f>(3/2)*($C104+$D104)</x:f>
        <x:v>1.5</x:v>
      </x:c>
      <x:c r="J104" s="45" t="n">
        <x:f>0</x:f>
        <x:v>0</x:v>
      </x:c>
      <x:c r="K104" s="45" t="n">
        <x:f>(3/2)*($C104+$D104)</x:f>
        <x:v>1.5</x:v>
      </x:c>
      <x:c r="L104" s="45" t="n">
        <x:f>F104+I104</x:f>
        <x:v>2</x:v>
      </x:c>
      <x:c r="M104" s="45" t="n">
        <x:f>G104+J104</x:f>
        <x:v>1</x:v>
      </x:c>
      <x:c r="N104" s="45" t="n">
        <x:f>H104+K104</x:f>
        <x:v>2</x:v>
      </x:c>
      <x:c r="O104" s="45" t="n">
        <x:f>SUM(F104:H104)</x:f>
        <x:v>2</x:v>
      </x:c>
      <x:c r="P104" s="42" t="n">
        <x:f>IF(AND(F104&lt;=F120,F104&lt;=F72,F104&lt;=F88,G104&lt;=G112,G104&lt;=G100,G104&lt;=G108,H104&lt;=H105,H104&lt;=H102,H104&lt;=H103),1,0)</x:f>
        <x:v>0</x:v>
      </x:c>
      <x:c r="Q104" s="42" t="n">
        <x:f>IF(AND(L104&lt;=L120,L104&lt;=L72,L104&lt;=L88,M104&lt;=M112,M104&lt;=M100,M104&lt;=M108,N104&lt;=N105,N104&lt;=N102,N104&lt;=N103),1,0)</x:f>
        <x:v>0</x:v>
      </x:c>
      <x:c r="R104" s="42" t="n">
        <x:v>0</x:v>
      </x:c>
      <x:c r="S104" s="42" t="n">
        <x:v>0</x:v>
      </x:c>
    </x:row>
    <x:row r="105">
      <x:c r="A105" t="n">
        <x:v>2</x:v>
      </x:c>
      <x:c r="B105" t="n">
        <x:v>0</x:v>
      </x:c>
      <x:c r="C105" t="n">
        <x:v>1</x:v>
      </x:c>
      <x:c r="D105" t="n">
        <x:v>0</x:v>
      </x:c>
      <x:c r="E105" t="str">
        <x:v>olv</x:v>
      </x:c>
      <x:c r="F105" s="45" t="n">
        <x:f>0</x:f>
        <x:v>0</x:v>
      </x:c>
      <x:c r="G105" s="45" t="n">
        <x:f>1*$D105</x:f>
        <x:v>0</x:v>
      </x:c>
      <x:c r="H105" s="45" t="n">
        <x:f>2*$B105</x:f>
        <x:v>0</x:v>
      </x:c>
      <x:c r="I105" s="45" t="n">
        <x:f>0</x:f>
        <x:v>0</x:v>
      </x:c>
      <x:c r="J105" s="45" t="n">
        <x:f>0</x:f>
        <x:v>0</x:v>
      </x:c>
      <x:c r="K105" s="45" t="n">
        <x:f>0</x:f>
        <x:v>0</x:v>
      </x:c>
      <x:c r="L105" s="45" t="n">
        <x:f>F105+I105</x:f>
        <x:v>0</x:v>
      </x:c>
      <x:c r="M105" s="45" t="n">
        <x:f>G105+J105</x:f>
        <x:v>0</x:v>
      </x:c>
      <x:c r="N105" s="45" t="n">
        <x:f>H105+K105</x:f>
        <x:v>0</x:v>
      </x:c>
      <x:c r="O105" s="45" t="n">
        <x:f>SUM(F105:H105)</x:f>
        <x:v>0</x:v>
      </x:c>
      <x:c r="P105" s="42" t="n">
        <x:f>IF(AND(F105&lt;=F121,F105&lt;=F73,F105&lt;=F89,G105&lt;=G113,G105&lt;=G101,G105&lt;=G109,H105&lt;=H102,H105&lt;=H104,H105&lt;=H103),1,0)</x:f>
        <x:v>1</x:v>
      </x:c>
      <x:c r="Q105" s="42" t="n">
        <x:f>IF(AND(L105&lt;=L121,L105&lt;=L73,L105&lt;=L89,M105&lt;=M113,M105&lt;=M101,M105&lt;=M109,N105&lt;=N102,N105&lt;=N104,N105&lt;=N103),1,0)</x:f>
        <x:v>1</x:v>
      </x:c>
      <x:c r="R105" s="42" t="n">
        <x:v>1</x:v>
      </x:c>
      <x:c r="S105" s="42" t="n">
        <x:v>1</x:v>
      </x:c>
    </x:row>
    <x:row r="106">
      <x:c r="A106" t="n">
        <x:v>2</x:v>
      </x:c>
      <x:c r="B106" t="n">
        <x:v>0</x:v>
      </x:c>
      <x:c r="C106" t="n">
        <x:v>1</x:v>
      </x:c>
      <x:c r="D106" t="n">
        <x:v>0</x:v>
      </x:c>
      <x:c r="E106" t="str">
        <x:v>ooe</x:v>
      </x:c>
      <x:c r="F106" s="45" t="n">
        <x:f>(1/2)*$C106+(1/2)*$D106</x:f>
        <x:v>0.5</x:v>
      </x:c>
      <x:c r="G106" s="45" t="n">
        <x:f>(1/2)*$C106+(1/2)*$D106</x:f>
        <x:v>0.5</x:v>
      </x:c>
      <x:c r="H106" s="45" t="n">
        <x:f>1*$B106</x:f>
        <x:v>0</x:v>
      </x:c>
      <x:c r="I106" s="45" t="n">
        <x:f>(1/2)*($C106+$D106)</x:f>
        <x:v>0.5</x:v>
      </x:c>
      <x:c r="J106" s="45" t="n">
        <x:f>(1/2)*($C106+$D106)</x:f>
        <x:v>0.5</x:v>
      </x:c>
      <x:c r="K106" s="45" t="n">
        <x:f>0</x:f>
        <x:v>0</x:v>
      </x:c>
      <x:c r="L106" s="45" t="n">
        <x:f>F106+I106</x:f>
        <x:v>1</x:v>
      </x:c>
      <x:c r="M106" s="45" t="n">
        <x:f>G106+J106</x:f>
        <x:v>1</x:v>
      </x:c>
      <x:c r="N106" s="45" t="n">
        <x:f>H106+K106</x:f>
        <x:v>0</x:v>
      </x:c>
      <x:c r="O106" s="45" t="n">
        <x:f>SUM(F106:H106)</x:f>
        <x:v>1</x:v>
      </x:c>
      <x:c r="P106" s="42" t="n">
        <x:f>IF(AND(F106&lt;=F122,F106&lt;=F74,F106&lt;=F90,G106&lt;=G110,G106&lt;=G98,G106&lt;=G102,H106&lt;=H109,H106&lt;=H108,H106&lt;=H107),1,0)</x:f>
        <x:v>0</x:v>
      </x:c>
      <x:c r="Q106" s="42" t="n">
        <x:f>IF(AND(L106&lt;=L122,L106&lt;=L74,L106&lt;=L90,M106&lt;=M110,M106&lt;=M98,M106&lt;=M102,N106&lt;=N109,N106&lt;=N108,N106&lt;=N107),1,0)</x:f>
        <x:v>0</x:v>
      </x:c>
      <x:c r="R106" s="42" t="n">
        <x:v>0</x:v>
      </x:c>
      <x:c r="S106" s="42" t="n">
        <x:v>0</x:v>
      </x:c>
    </x:row>
    <x:row r="107">
      <x:c r="A107" t="n">
        <x:v>2</x:v>
      </x:c>
      <x:c r="B107" t="n">
        <x:v>0</x:v>
      </x:c>
      <x:c r="C107" t="n">
        <x:v>1</x:v>
      </x:c>
      <x:c r="D107" t="n">
        <x:v>0</x:v>
      </x:c>
      <x:c r="E107" t="str">
        <x:v>ool</x:v>
      </x:c>
      <x:c r="F107" s="45" t="n">
        <x:f>(1/2)*$C107+(1/2)*$D107</x:f>
        <x:v>0.5</x:v>
      </x:c>
      <x:c r="G107" s="45" t="n">
        <x:f>(1/2)*$C107+(1/2)*$D107</x:f>
        <x:v>0.5</x:v>
      </x:c>
      <x:c r="H107" s="45" t="n">
        <x:f>1*$C107+2*$D107</x:f>
        <x:v>1</x:v>
      </x:c>
      <x:c r="I107" s="45" t="n">
        <x:f>(3/2)*($C107+$D107)</x:f>
        <x:v>1.5</x:v>
      </x:c>
      <x:c r="J107" s="45" t="n">
        <x:f>(3/2)*($C107+$D107)</x:f>
        <x:v>1.5</x:v>
      </x:c>
      <x:c r="K107" s="45" t="n">
        <x:f>0</x:f>
        <x:v>0</x:v>
      </x:c>
      <x:c r="L107" s="45" t="n">
        <x:f>F107+I107</x:f>
        <x:v>2</x:v>
      </x:c>
      <x:c r="M107" s="45" t="n">
        <x:f>G107+J107</x:f>
        <x:v>2</x:v>
      </x:c>
      <x:c r="N107" s="45" t="n">
        <x:f>H107+K107</x:f>
        <x:v>1</x:v>
      </x:c>
      <x:c r="O107" s="45" t="n">
        <x:f>SUM(F107:H107)</x:f>
        <x:v>2</x:v>
      </x:c>
      <x:c r="P107" s="42" t="n">
        <x:f>IF(AND(F107&lt;=F123,F107&lt;=F75,F107&lt;=F91,G107&lt;=G111,G107&lt;=G99,G107&lt;=G103,H107&lt;=H109,H107&lt;=H106,H107&lt;=H108),1,0)</x:f>
        <x:v>0</x:v>
      </x:c>
      <x:c r="Q107" s="42" t="n">
        <x:f>IF(AND(L107&lt;=L123,L107&lt;=L75,L107&lt;=L91,M107&lt;=M111,M107&lt;=M99,M107&lt;=M103,N107&lt;=N109,N107&lt;=N106,N107&lt;=N108),1,0)</x:f>
        <x:v>0</x:v>
      </x:c>
      <x:c r="R107" s="42" t="n">
        <x:v>0</x:v>
      </x:c>
      <x:c r="S107" s="42" t="n">
        <x:v>0</x:v>
      </x:c>
    </x:row>
    <x:row r="108">
      <x:c r="A108" t="n">
        <x:v>2</x:v>
      </x:c>
      <x:c r="B108" t="n">
        <x:v>0</x:v>
      </x:c>
      <x:c r="C108" t="n">
        <x:v>1</x:v>
      </x:c>
      <x:c r="D108" t="n">
        <x:v>0</x:v>
      </x:c>
      <x:c r="E108" t="str">
        <x:v>ooo</x:v>
      </x:c>
      <x:c r="F108" s="45" t="n">
        <x:f>1*$C108+1*$D108</x:f>
        <x:v>1</x:v>
      </x:c>
      <x:c r="G108" s="45" t="n">
        <x:f>1*$C108+1*$D108</x:f>
        <x:v>1</x:v>
      </x:c>
      <x:c r="H108" s="45" t="n">
        <x:f>1*$C108+1*$D108</x:f>
        <x:v>1</x:v>
      </x:c>
      <x:c r="I108" s="45" t="n">
        <x:f>$C108+$D108</x:f>
        <x:v>1</x:v>
      </x:c>
      <x:c r="J108" s="45" t="n">
        <x:f>$C108+$D108</x:f>
        <x:v>1</x:v>
      </x:c>
      <x:c r="K108" s="45" t="n">
        <x:f>$C108+$D108</x:f>
        <x:v>1</x:v>
      </x:c>
      <x:c r="L108" s="45" t="n">
        <x:f>F108+I108</x:f>
        <x:v>2</x:v>
      </x:c>
      <x:c r="M108" s="45" t="n">
        <x:f>G108+J108</x:f>
        <x:v>2</x:v>
      </x:c>
      <x:c r="N108" s="45" t="n">
        <x:f>H108+K108</x:f>
        <x:v>2</x:v>
      </x:c>
      <x:c r="O108" s="45" t="n">
        <x:f>SUM(F108:H108)</x:f>
        <x:v>3</x:v>
      </x:c>
      <x:c r="P108" s="42" t="n">
        <x:f>IF(AND(F108&lt;=F124,F108&lt;=F76,F108&lt;=F92,G108&lt;=G112,G108&lt;=G100,G108&lt;=G104,H108&lt;=H109,H108&lt;=H106,H108&lt;=H107),1,0)</x:f>
        <x:v>0</x:v>
      </x:c>
      <x:c r="Q108" s="42" t="n">
        <x:f>IF(AND(L108&lt;=L124,L108&lt;=L76,L108&lt;=L92,M108&lt;=M112,M108&lt;=M100,M108&lt;=M104,N108&lt;=N109,N108&lt;=N106,N108&lt;=N107),1,0)</x:f>
        <x:v>0</x:v>
      </x:c>
      <x:c r="R108" s="42" t="n">
        <x:v>0</x:v>
      </x:c>
      <x:c r="S108" s="42" t="n">
        <x:v>0</x:v>
      </x:c>
    </x:row>
    <x:row r="109">
      <x:c r="A109" t="n">
        <x:v>2</x:v>
      </x:c>
      <x:c r="B109" t="n">
        <x:v>0</x:v>
      </x:c>
      <x:c r="C109" t="n">
        <x:v>1</x:v>
      </x:c>
      <x:c r="D109" t="n">
        <x:v>0</x:v>
      </x:c>
      <x:c r="E109" t="str">
        <x:v>oov</x:v>
      </x:c>
      <x:c r="F109" s="45" t="n">
        <x:f>(1/2)*$C109+(1/2)*$D109</x:f>
        <x:v>0.5</x:v>
      </x:c>
      <x:c r="G109" s="45" t="n">
        <x:f>(1/2)*$C109+(1/2)*$D109</x:f>
        <x:v>0.5</x:v>
      </x:c>
      <x:c r="H109" s="45" t="n">
        <x:f>2*$B109</x:f>
        <x:v>0</x:v>
      </x:c>
      <x:c r="I109" s="45" t="n">
        <x:f>(1/2)*($C109+$D109)</x:f>
        <x:v>0.5</x:v>
      </x:c>
      <x:c r="J109" s="45" t="n">
        <x:f>(1/2)*($C109+$D109)</x:f>
        <x:v>0.5</x:v>
      </x:c>
      <x:c r="K109" s="45" t="n">
        <x:f>0</x:f>
        <x:v>0</x:v>
      </x:c>
      <x:c r="L109" s="45" t="n">
        <x:f>F109+I109</x:f>
        <x:v>1</x:v>
      </x:c>
      <x:c r="M109" s="45" t="n">
        <x:f>G109+J109</x:f>
        <x:v>1</x:v>
      </x:c>
      <x:c r="N109" s="45" t="n">
        <x:f>H109+K109</x:f>
        <x:v>0</x:v>
      </x:c>
      <x:c r="O109" s="45" t="n">
        <x:f>SUM(F109:H109)</x:f>
        <x:v>1</x:v>
      </x:c>
      <x:c r="P109" s="42" t="n">
        <x:f>IF(AND(F109&lt;=F125,F109&lt;=F77,F109&lt;=F93,G109&lt;=G113,G109&lt;=G101,G109&lt;=G105,H109&lt;=H106,H109&lt;=H108,H109&lt;=H107),1,0)</x:f>
        <x:v>0</x:v>
      </x:c>
      <x:c r="Q109" s="42" t="n">
        <x:f>IF(AND(L109&lt;=L125,L109&lt;=L77,L109&lt;=L93,M109&lt;=M113,M109&lt;=M101,M109&lt;=M105,N109&lt;=N106,N109&lt;=N108,N109&lt;=N107),1,0)</x:f>
        <x:v>0</x:v>
      </x:c>
      <x:c r="R109" s="42" t="n">
        <x:v>0</x:v>
      </x:c>
      <x:c r="S109" s="42" t="n">
        <x:v>0</x:v>
      </x:c>
    </x:row>
    <x:row r="110">
      <x:c r="A110" t="n">
        <x:v>2</x:v>
      </x:c>
      <x:c r="B110" t="n">
        <x:v>0</x:v>
      </x:c>
      <x:c r="C110" t="n">
        <x:v>1</x:v>
      </x:c>
      <x:c r="D110" t="n">
        <x:v>0</x:v>
      </x:c>
      <x:c r="E110" t="str">
        <x:v>ove</x:v>
      </x:c>
      <x:c r="F110" s="45" t="n">
        <x:f>0</x:f>
        <x:v>0</x:v>
      </x:c>
      <x:c r="G110" s="45" t="n">
        <x:f>2*$B110</x:f>
        <x:v>0</x:v>
      </x:c>
      <x:c r="H110" s="45" t="n">
        <x:f>1*$B110</x:f>
        <x:v>0</x:v>
      </x:c>
      <x:c r="I110" s="45" t="n">
        <x:f>0</x:f>
        <x:v>0</x:v>
      </x:c>
      <x:c r="J110" s="45" t="n">
        <x:f>0</x:f>
        <x:v>0</x:v>
      </x:c>
      <x:c r="K110" s="45" t="n">
        <x:f>0</x:f>
        <x:v>0</x:v>
      </x:c>
      <x:c r="L110" s="45" t="n">
        <x:f>F110+I110</x:f>
        <x:v>0</x:v>
      </x:c>
      <x:c r="M110" s="45" t="n">
        <x:f>G110+J110</x:f>
        <x:v>0</x:v>
      </x:c>
      <x:c r="N110" s="45" t="n">
        <x:f>H110+K110</x:f>
        <x:v>0</x:v>
      </x:c>
      <x:c r="O110" s="45" t="n">
        <x:f>SUM(F110:H110)</x:f>
        <x:v>0</x:v>
      </x:c>
      <x:c r="P110" s="42" t="n">
        <x:f>IF(AND(F110&lt;=F126,F110&lt;=F78,F110&lt;=F94,G110&lt;=G98,G110&lt;=G106,G110&lt;=G102,H110&lt;=H113,H110&lt;=H112,H110&lt;=H111),1,0)</x:f>
        <x:v>1</x:v>
      </x:c>
      <x:c r="Q110" s="42" t="n">
        <x:f>IF(AND(L110&lt;=L126,L110&lt;=L78,L110&lt;=L94,M110&lt;=M98,M110&lt;=M106,M110&lt;=M102,N110&lt;=N113,N110&lt;=N112,N110&lt;=N111),1,0)</x:f>
        <x:v>1</x:v>
      </x:c>
      <x:c r="R110" s="42" t="n">
        <x:v>1</x:v>
      </x:c>
      <x:c r="S110" s="42" t="n">
        <x:v>1</x:v>
      </x:c>
    </x:row>
    <x:row r="111">
      <x:c r="A111" t="n">
        <x:v>2</x:v>
      </x:c>
      <x:c r="B111" t="n">
        <x:v>0</x:v>
      </x:c>
      <x:c r="C111" t="n">
        <x:v>1</x:v>
      </x:c>
      <x:c r="D111" t="n">
        <x:v>0</x:v>
      </x:c>
      <x:c r="E111" t="str">
        <x:v>ovl</x:v>
      </x:c>
      <x:c r="F111" s="45" t="n">
        <x:f>0</x:f>
        <x:v>0</x:v>
      </x:c>
      <x:c r="G111" s="45" t="n">
        <x:f>2*$B111</x:f>
        <x:v>0</x:v>
      </x:c>
      <x:c r="H111" s="45" t="n">
        <x:f>1*$D111</x:f>
        <x:v>0</x:v>
      </x:c>
      <x:c r="I111" s="45" t="n">
        <x:f>0</x:f>
        <x:v>0</x:v>
      </x:c>
      <x:c r="J111" s="45" t="n">
        <x:f>0</x:f>
        <x:v>0</x:v>
      </x:c>
      <x:c r="K111" s="45" t="n">
        <x:f>0</x:f>
        <x:v>0</x:v>
      </x:c>
      <x:c r="L111" s="45" t="n">
        <x:f>F111+I111</x:f>
        <x:v>0</x:v>
      </x:c>
      <x:c r="M111" s="45" t="n">
        <x:f>G111+J111</x:f>
        <x:v>0</x:v>
      </x:c>
      <x:c r="N111" s="45" t="n">
        <x:f>H111+K111</x:f>
        <x:v>0</x:v>
      </x:c>
      <x:c r="O111" s="45" t="n">
        <x:f>SUM(F111:H111)</x:f>
        <x:v>0</x:v>
      </x:c>
      <x:c r="P111" s="42" t="n">
        <x:f>IF(AND(F111&lt;=F127,F111&lt;=F79,F111&lt;=F95,G111&lt;=G99,G111&lt;=G107,G111&lt;=G103,H111&lt;=H113,H111&lt;=H110,H111&lt;=H112),1,0)</x:f>
        <x:v>1</x:v>
      </x:c>
      <x:c r="Q111" s="42" t="n">
        <x:f>IF(AND(L111&lt;=L127,L111&lt;=L79,L111&lt;=L95,M111&lt;=M99,M111&lt;=M107,M111&lt;=M103,N111&lt;=N113,N111&lt;=N110,N111&lt;=N112),1,0)</x:f>
        <x:v>1</x:v>
      </x:c>
      <x:c r="R111" s="42" t="n">
        <x:v>1</x:v>
      </x:c>
      <x:c r="S111" s="42" t="n">
        <x:v>1</x:v>
      </x:c>
    </x:row>
    <x:row r="112">
      <x:c r="A112" t="n">
        <x:v>2</x:v>
      </x:c>
      <x:c r="B112" t="n">
        <x:v>0</x:v>
      </x:c>
      <x:c r="C112" t="n">
        <x:v>1</x:v>
      </x:c>
      <x:c r="D112" t="n">
        <x:v>0</x:v>
      </x:c>
      <x:c r="E112" t="str">
        <x:v>ovo</x:v>
      </x:c>
      <x:c r="F112" s="45" t="n">
        <x:f>(1/2)*$C112+(1/2)*$D112</x:f>
        <x:v>0.5</x:v>
      </x:c>
      <x:c r="G112" s="45" t="n">
        <x:f>2*$B112</x:f>
        <x:v>0</x:v>
      </x:c>
      <x:c r="H112" s="45" t="n">
        <x:f>(1/2)*$C112+(1/2)*$D112</x:f>
        <x:v>0.5</x:v>
      </x:c>
      <x:c r="I112" s="45" t="n">
        <x:f>(1/2)*($C112+$D112)</x:f>
        <x:v>0.5</x:v>
      </x:c>
      <x:c r="J112" s="45" t="n">
        <x:f>0</x:f>
        <x:v>0</x:v>
      </x:c>
      <x:c r="K112" s="45" t="n">
        <x:f>(1/2)*($C112+$D112)</x:f>
        <x:v>0.5</x:v>
      </x:c>
      <x:c r="L112" s="45" t="n">
        <x:f>F112+I112</x:f>
        <x:v>1</x:v>
      </x:c>
      <x:c r="M112" s="45" t="n">
        <x:f>G112+J112</x:f>
        <x:v>0</x:v>
      </x:c>
      <x:c r="N112" s="45" t="n">
        <x:f>H112+K112</x:f>
        <x:v>1</x:v>
      </x:c>
      <x:c r="O112" s="45" t="n">
        <x:f>SUM(F112:H112)</x:f>
        <x:v>1</x:v>
      </x:c>
      <x:c r="P112" s="42" t="n">
        <x:f>IF(AND(F112&lt;=F128,F112&lt;=F80,F112&lt;=F96,G112&lt;=G100,G112&lt;=G108,G112&lt;=G104,H112&lt;=H113,H112&lt;=H110,H112&lt;=H111),1,0)</x:f>
        <x:v>0</x:v>
      </x:c>
      <x:c r="Q112" s="42" t="n">
        <x:f>IF(AND(L112&lt;=L128,L112&lt;=L80,L112&lt;=L96,M112&lt;=M100,M112&lt;=M108,M112&lt;=M104,N112&lt;=N113,N112&lt;=N110,N112&lt;=N111),1,0)</x:f>
        <x:v>0</x:v>
      </x:c>
      <x:c r="R112" s="42" t="n">
        <x:v>0</x:v>
      </x:c>
      <x:c r="S112" s="42" t="n">
        <x:v>0</x:v>
      </x:c>
    </x:row>
    <x:row r="113">
      <x:c r="A113" t="n">
        <x:v>2</x:v>
      </x:c>
      <x:c r="B113" t="n">
        <x:v>0</x:v>
      </x:c>
      <x:c r="C113" t="n">
        <x:v>1</x:v>
      </x:c>
      <x:c r="D113" t="n">
        <x:v>0</x:v>
      </x:c>
      <x:c r="E113" t="str">
        <x:v>ovv</x:v>
      </x:c>
      <x:c r="F113" s="45" t="n">
        <x:f>0</x:f>
        <x:v>0</x:v>
      </x:c>
      <x:c r="G113" s="45" t="n">
        <x:f>(3/2)*$B113+(1/2)*$C113</x:f>
        <x:v>0.5</x:v>
      </x:c>
      <x:c r="H113" s="45" t="n">
        <x:f>(3/2)*$B113+(1/2)*$C113</x:f>
        <x:v>0.5</x:v>
      </x:c>
      <x:c r="I113" s="45" t="n">
        <x:f>0</x:f>
        <x:v>0</x:v>
      </x:c>
      <x:c r="J113" s="45" t="n">
        <x:f>MAX((1/2)*($C113-$B113),0)</x:f>
        <x:v>0.5</x:v>
      </x:c>
      <x:c r="K113" s="45" t="n">
        <x:f>MAX((1/2)*($C113-$B113),0)</x:f>
        <x:v>0.5</x:v>
      </x:c>
      <x:c r="L113" s="45" t="n">
        <x:f>F113+I113</x:f>
        <x:v>0</x:v>
      </x:c>
      <x:c r="M113" s="45" t="n">
        <x:f>G113+J113</x:f>
        <x:v>1</x:v>
      </x:c>
      <x:c r="N113" s="45" t="n">
        <x:f>H113+K113</x:f>
        <x:v>1</x:v>
      </x:c>
      <x:c r="O113" s="45" t="n">
        <x:f>SUM(F113:H113)</x:f>
        <x:v>1</x:v>
      </x:c>
      <x:c r="P113" s="42" t="n">
        <x:f>IF(AND(F113&lt;=F129,F113&lt;=F81,F113&lt;=F97,G113&lt;=G101,G113&lt;=G109,G113&lt;=G105,H113&lt;=H110,H113&lt;=H112,H113&lt;=H111),1,0)</x:f>
        <x:v>0</x:v>
      </x:c>
      <x:c r="Q113" s="42" t="n">
        <x:f>IF(AND(L113&lt;=L129,L113&lt;=L81,L113&lt;=L97,M113&lt;=M101,M113&lt;=M109,M113&lt;=M105,N113&lt;=N110,N113&lt;=N112,N113&lt;=N111),1,0)</x:f>
        <x:v>0</x:v>
      </x:c>
      <x:c r="R113" s="42" t="n">
        <x:v>0</x:v>
      </x:c>
      <x:c r="S113" s="42" t="n">
        <x:v>0</x:v>
      </x:c>
    </x:row>
    <x:row r="114">
      <x:c r="A114" t="n">
        <x:v>2</x:v>
      </x:c>
      <x:c r="B114" t="n">
        <x:v>0</x:v>
      </x:c>
      <x:c r="C114" t="n">
        <x:v>1</x:v>
      </x:c>
      <x:c r="D114" t="n">
        <x:v>0</x:v>
      </x:c>
      <x:c r="E114" t="str">
        <x:v>vee</x:v>
      </x:c>
      <x:c r="F114" s="45" t="n">
        <x:f>2*$B114</x:f>
        <x:v>0</x:v>
      </x:c>
      <x:c r="G114" s="45" t="n">
        <x:f>(1/2)*$B114+(1/2)*$C114</x:f>
        <x:v>0.5</x:v>
      </x:c>
      <x:c r="H114" s="45" t="n">
        <x:f>(1/2)*$B114+(1/2)*$C114</x:f>
        <x:v>0.5</x:v>
      </x:c>
      <x:c r="I114" s="45" t="n">
        <x:f>0</x:f>
        <x:v>0</x:v>
      </x:c>
      <x:c r="J114" s="45" t="n">
        <x:f>MAX((1/2)*($C114-$B114),0)</x:f>
        <x:v>0.5</x:v>
      </x:c>
      <x:c r="K114" s="45" t="n">
        <x:f>MAX((1/2)*($C114-$B114),0)</x:f>
        <x:v>0.5</x:v>
      </x:c>
      <x:c r="L114" s="45" t="n">
        <x:f>F114+I114</x:f>
        <x:v>0</x:v>
      </x:c>
      <x:c r="M114" s="45" t="n">
        <x:f>G114+J114</x:f>
        <x:v>1</x:v>
      </x:c>
      <x:c r="N114" s="45" t="n">
        <x:f>H114+K114</x:f>
        <x:v>1</x:v>
      </x:c>
      <x:c r="O114" s="45" t="n">
        <x:f>SUM(F114:H114)</x:f>
        <x:v>1</x:v>
      </x:c>
      <x:c r="P114" s="42" t="n">
        <x:f>IF(AND(F114&lt;=F66,F114&lt;=F98,F114&lt;=F82,G114&lt;=G126,G114&lt;=G122,G114&lt;=G118,H114&lt;=H117,H114&lt;=H116,H114&lt;=H115),1,0)</x:f>
        <x:v>0</x:v>
      </x:c>
      <x:c r="Q114" s="42" t="n">
        <x:f>IF(AND(L114&lt;=L66,L114&lt;=L98,L114&lt;=L82,M114&lt;=M126,M114&lt;=M122,M114&lt;=M118,N114&lt;=N117,N114&lt;=N116,N114&lt;=N115),1,0)</x:f>
        <x:v>0</x:v>
      </x:c>
      <x:c r="R114" s="42" t="n">
        <x:v>0</x:v>
      </x:c>
      <x:c r="S114" s="42" t="n">
        <x:v>0</x:v>
      </x:c>
    </x:row>
    <x:row r="115">
      <x:c r="A115" t="n">
        <x:v>2</x:v>
      </x:c>
      <x:c r="B115" t="n">
        <x:v>0</x:v>
      </x:c>
      <x:c r="C115" t="n">
        <x:v>1</x:v>
      </x:c>
      <x:c r="D115" t="n">
        <x:v>0</x:v>
      </x:c>
      <x:c r="E115" t="str">
        <x:v>vel</x:v>
      </x:c>
      <x:c r="F115" s="45" t="n">
        <x:f>2*$B115</x:f>
        <x:v>0</x:v>
      </x:c>
      <x:c r="G115" s="45" t="n">
        <x:f>1*$B115</x:f>
        <x:v>0</x:v>
      </x:c>
      <x:c r="H115" s="45" t="n">
        <x:f>1*$D115</x:f>
        <x:v>0</x:v>
      </x:c>
      <x:c r="I115" s="45" t="n">
        <x:f>0</x:f>
        <x:v>0</x:v>
      </x:c>
      <x:c r="J115" s="45" t="n">
        <x:f>0</x:f>
        <x:v>0</x:v>
      </x:c>
      <x:c r="K115" s="45" t="n">
        <x:f>0</x:f>
        <x:v>0</x:v>
      </x:c>
      <x:c r="L115" s="45" t="n">
        <x:f>F115+I115</x:f>
        <x:v>0</x:v>
      </x:c>
      <x:c r="M115" s="45" t="n">
        <x:f>G115+J115</x:f>
        <x:v>0</x:v>
      </x:c>
      <x:c r="N115" s="45" t="n">
        <x:f>H115+K115</x:f>
        <x:v>0</x:v>
      </x:c>
      <x:c r="O115" s="45" t="n">
        <x:f>SUM(F115:H115)</x:f>
        <x:v>0</x:v>
      </x:c>
      <x:c r="P115" s="42" t="n">
        <x:f>IF(AND(F115&lt;=F67,F115&lt;=F99,F115&lt;=F83,G115&lt;=G127,G115&lt;=G123,G115&lt;=G119,H115&lt;=H117,H115&lt;=H114,H115&lt;=H116),1,0)</x:f>
        <x:v>1</x:v>
      </x:c>
      <x:c r="Q115" s="42" t="n">
        <x:f>IF(AND(L115&lt;=L67,L115&lt;=L99,L115&lt;=L83,M115&lt;=M127,M115&lt;=M123,M115&lt;=M119,N115&lt;=N117,N115&lt;=N114,N115&lt;=N116),1,0)</x:f>
        <x:v>1</x:v>
      </x:c>
      <x:c r="R115" s="42" t="n">
        <x:v>1</x:v>
      </x:c>
      <x:c r="S115" s="42" t="n">
        <x:v>1</x:v>
      </x:c>
    </x:row>
    <x:row r="116">
      <x:c r="A116" t="n">
        <x:v>2</x:v>
      </x:c>
      <x:c r="B116" t="n">
        <x:v>0</x:v>
      </x:c>
      <x:c r="C116" t="n">
        <x:v>1</x:v>
      </x:c>
      <x:c r="D116" t="n">
        <x:v>0</x:v>
      </x:c>
      <x:c r="E116" t="str">
        <x:v>veo</x:v>
      </x:c>
      <x:c r="F116" s="45" t="n">
        <x:f>2*$B116</x:f>
        <x:v>0</x:v>
      </x:c>
      <x:c r="G116" s="45" t="n">
        <x:f>1*$B116</x:f>
        <x:v>0</x:v>
      </x:c>
      <x:c r="H116" s="45" t="n">
        <x:f>0</x:f>
        <x:v>0</x:v>
      </x:c>
      <x:c r="I116" s="45" t="n">
        <x:f>0</x:f>
        <x:v>0</x:v>
      </x:c>
      <x:c r="J116" s="45" t="n">
        <x:f>0</x:f>
        <x:v>0</x:v>
      </x:c>
      <x:c r="K116" s="45" t="n">
        <x:f>0</x:f>
        <x:v>0</x:v>
      </x:c>
      <x:c r="L116" s="45" t="n">
        <x:f>F116+I116</x:f>
        <x:v>0</x:v>
      </x:c>
      <x:c r="M116" s="45" t="n">
        <x:f>G116+J116</x:f>
        <x:v>0</x:v>
      </x:c>
      <x:c r="N116" s="45" t="n">
        <x:f>H116+K116</x:f>
        <x:v>0</x:v>
      </x:c>
      <x:c r="O116" s="45" t="n">
        <x:f>SUM(F116:H116)</x:f>
        <x:v>0</x:v>
      </x:c>
      <x:c r="P116" s="42" t="n">
        <x:f>IF(AND(F116&lt;=F68,F116&lt;=F100,F116&lt;=F84,G116&lt;=G128,G116&lt;=G124,G116&lt;=G120,H116&lt;=H117,H116&lt;=H114,H116&lt;=H115),1,0)</x:f>
        <x:v>1</x:v>
      </x:c>
      <x:c r="Q116" s="42" t="n">
        <x:f>IF(AND(L116&lt;=L68,L116&lt;=L100,L116&lt;=L84,M116&lt;=M128,M116&lt;=M124,M116&lt;=M120,N116&lt;=N117,N116&lt;=N114,N116&lt;=N115),1,0)</x:f>
        <x:v>1</x:v>
      </x:c>
      <x:c r="R116" s="42" t="n">
        <x:v>1</x:v>
      </x:c>
      <x:c r="S116" s="42" t="n">
        <x:v>1</x:v>
      </x:c>
    </x:row>
    <x:row r="117">
      <x:c r="A117" t="n">
        <x:v>2</x:v>
      </x:c>
      <x:c r="B117" t="n">
        <x:v>0</x:v>
      </x:c>
      <x:c r="C117" t="n">
        <x:v>1</x:v>
      </x:c>
      <x:c r="D117" t="n">
        <x:v>0</x:v>
      </x:c>
      <x:c r="E117" t="str">
        <x:v>vev</x:v>
      </x:c>
      <x:c r="F117" s="45" t="n">
        <x:f>(3/2)*$B117+(1/2)*$C117</x:f>
        <x:v>0.5</x:v>
      </x:c>
      <x:c r="G117" s="45" t="n">
        <x:f>1*$C117</x:f>
        <x:v>1</x:v>
      </x:c>
      <x:c r="H117" s="45" t="n">
        <x:f>(3/2)*$B117+(1/2)*$C117</x:f>
        <x:v>0.5</x:v>
      </x:c>
      <x:c r="I117" s="45" t="n">
        <x:f>MAX((3/2)*($C117-$B117),0)</x:f>
        <x:v>1.5</x:v>
      </x:c>
      <x:c r="J117" s="45" t="n">
        <x:f>0</x:f>
        <x:v>0</x:v>
      </x:c>
      <x:c r="K117" s="45" t="n">
        <x:f>MAX((3/2)*($C117-$B117),0)</x:f>
        <x:v>1.5</x:v>
      </x:c>
      <x:c r="L117" s="45" t="n">
        <x:f>F117+I117</x:f>
        <x:v>2</x:v>
      </x:c>
      <x:c r="M117" s="45" t="n">
        <x:f>G117+J117</x:f>
        <x:v>1</x:v>
      </x:c>
      <x:c r="N117" s="45" t="n">
        <x:f>H117+K117</x:f>
        <x:v>2</x:v>
      </x:c>
      <x:c r="O117" s="45" t="n">
        <x:f>SUM(F117:H117)</x:f>
        <x:v>2</x:v>
      </x:c>
      <x:c r="P117" s="42" t="n">
        <x:f>IF(AND(F117&lt;=F69,F117&lt;=F101,F117&lt;=F85,G117&lt;=G129,G117&lt;=G125,G117&lt;=G121,H117&lt;=H114,H117&lt;=H116,H117&lt;=H115),1,0)</x:f>
        <x:v>0</x:v>
      </x:c>
      <x:c r="Q117" s="42" t="n">
        <x:f>IF(AND(L117&lt;=L69,L117&lt;=L101,L117&lt;=L85,M117&lt;=M129,M117&lt;=M125,M117&lt;=M121,N117&lt;=N114,N117&lt;=N116,N117&lt;=N115),1,0)</x:f>
        <x:v>0</x:v>
      </x:c>
      <x:c r="R117" s="42" t="n">
        <x:v>0</x:v>
      </x:c>
      <x:c r="S117" s="42" t="n">
        <x:v>0</x:v>
      </x:c>
    </x:row>
    <x:row r="118">
      <x:c r="A118" t="n">
        <x:v>2</x:v>
      </x:c>
      <x:c r="B118" t="n">
        <x:v>0</x:v>
      </x:c>
      <x:c r="C118" t="n">
        <x:v>1</x:v>
      </x:c>
      <x:c r="D118" t="n">
        <x:v>0</x:v>
      </x:c>
      <x:c r="E118" t="str">
        <x:v>vle</x:v>
      </x:c>
      <x:c r="F118" s="45" t="n">
        <x:f>2*$B118</x:f>
        <x:v>0</x:v>
      </x:c>
      <x:c r="G118" s="45" t="n">
        <x:f>1*$D118</x:f>
        <x:v>0</x:v>
      </x:c>
      <x:c r="H118" s="45" t="n">
        <x:f>1*$B118</x:f>
        <x:v>0</x:v>
      </x:c>
      <x:c r="I118" s="45" t="n">
        <x:f>0</x:f>
        <x:v>0</x:v>
      </x:c>
      <x:c r="J118" s="45" t="n">
        <x:f>0</x:f>
        <x:v>0</x:v>
      </x:c>
      <x:c r="K118" s="45" t="n">
        <x:f>0</x:f>
        <x:v>0</x:v>
      </x:c>
      <x:c r="L118" s="45" t="n">
        <x:f>F118+I118</x:f>
        <x:v>0</x:v>
      </x:c>
      <x:c r="M118" s="45" t="n">
        <x:f>G118+J118</x:f>
        <x:v>0</x:v>
      </x:c>
      <x:c r="N118" s="45" t="n">
        <x:f>H118+K118</x:f>
        <x:v>0</x:v>
      </x:c>
      <x:c r="O118" s="45" t="n">
        <x:f>SUM(F118:H118)</x:f>
        <x:v>0</x:v>
      </x:c>
      <x:c r="P118" s="42" t="n">
        <x:f>IF(AND(F118&lt;=F70,F118&lt;=F102,F118&lt;=F86,G118&lt;=G126,G118&lt;=G114,G118&lt;=G122,H118&lt;=H121,H118&lt;=H120,H118&lt;=H119),1,0)</x:f>
        <x:v>1</x:v>
      </x:c>
      <x:c r="Q118" s="42" t="n">
        <x:f>IF(AND(L118&lt;=L70,L118&lt;=L102,L118&lt;=L86,M118&lt;=M126,M118&lt;=M114,M118&lt;=M122,N118&lt;=N121,N118&lt;=N120,N118&lt;=N119),1,0)</x:f>
        <x:v>1</x:v>
      </x:c>
      <x:c r="R118" s="42" t="n">
        <x:v>1</x:v>
      </x:c>
      <x:c r="S118" s="42" t="n">
        <x:v>1</x:v>
      </x:c>
    </x:row>
    <x:row r="119">
      <x:c r="A119" t="n">
        <x:v>2</x:v>
      </x:c>
      <x:c r="B119" t="n">
        <x:v>0</x:v>
      </x:c>
      <x:c r="C119" t="n">
        <x:v>1</x:v>
      </x:c>
      <x:c r="D119" t="n">
        <x:v>0</x:v>
      </x:c>
      <x:c r="E119" t="str">
        <x:v>vll</x:v>
      </x:c>
      <x:c r="F119" s="45" t="n">
        <x:f>2*$B119</x:f>
        <x:v>0</x:v>
      </x:c>
      <x:c r="G119" s="45" t="n">
        <x:f>(1/2)*$C119+(3/2)*$D119</x:f>
        <x:v>0.5</x:v>
      </x:c>
      <x:c r="H119" s="45" t="n">
        <x:f>(1/2)*$C119+(3/2)*$D119</x:f>
        <x:v>0.5</x:v>
      </x:c>
      <x:c r="I119" s="45" t="n">
        <x:f>0</x:f>
        <x:v>0</x:v>
      </x:c>
      <x:c r="J119" s="45" t="n">
        <x:f>(1/2)*($C119+$D119)</x:f>
        <x:v>0.5</x:v>
      </x:c>
      <x:c r="K119" s="45" t="n">
        <x:f>(1/2)*($C119+$D119)</x:f>
        <x:v>0.5</x:v>
      </x:c>
      <x:c r="L119" s="45" t="n">
        <x:f>F119+I119</x:f>
        <x:v>0</x:v>
      </x:c>
      <x:c r="M119" s="45" t="n">
        <x:f>G119+J119</x:f>
        <x:v>1</x:v>
      </x:c>
      <x:c r="N119" s="45" t="n">
        <x:f>H119+K119</x:f>
        <x:v>1</x:v>
      </x:c>
      <x:c r="O119" s="45" t="n">
        <x:f>SUM(F119:H119)</x:f>
        <x:v>1</x:v>
      </x:c>
      <x:c r="P119" s="42" t="n">
        <x:f>IF(AND(F119&lt;=F71,F119&lt;=F103,F119&lt;=F87,G119&lt;=G127,G119&lt;=G115,G119&lt;=G123,H119&lt;=H121,H119&lt;=H118,H119&lt;=H120),1,0)</x:f>
        <x:v>0</x:v>
      </x:c>
      <x:c r="Q119" s="42" t="n">
        <x:f>IF(AND(L119&lt;=L71,L119&lt;=L103,L119&lt;=L87,M119&lt;=M127,M119&lt;=M115,M119&lt;=M123,N119&lt;=N121,N119&lt;=N118,N119&lt;=N120),1,0)</x:f>
        <x:v>0</x:v>
      </x:c>
      <x:c r="R119" s="42" t="n">
        <x:v>0</x:v>
      </x:c>
      <x:c r="S119" s="42" t="n">
        <x:v>0</x:v>
      </x:c>
    </x:row>
    <x:row r="120">
      <x:c r="A120" t="n">
        <x:v>2</x:v>
      </x:c>
      <x:c r="B120" t="n">
        <x:v>0</x:v>
      </x:c>
      <x:c r="C120" t="n">
        <x:v>1</x:v>
      </x:c>
      <x:c r="D120" t="n">
        <x:v>0</x:v>
      </x:c>
      <x:c r="E120" t="str">
        <x:v>vlo</x:v>
      </x:c>
      <x:c r="F120" s="45" t="n">
        <x:f>2*$B120</x:f>
        <x:v>0</x:v>
      </x:c>
      <x:c r="G120" s="45" t="n">
        <x:f>1*$D120</x:f>
        <x:v>0</x:v>
      </x:c>
      <x:c r="H120" s="45" t="n">
        <x:f>0</x:f>
        <x:v>0</x:v>
      </x:c>
      <x:c r="I120" s="45" t="n">
        <x:f>0</x:f>
        <x:v>0</x:v>
      </x:c>
      <x:c r="J120" s="45" t="n">
        <x:f>0</x:f>
        <x:v>0</x:v>
      </x:c>
      <x:c r="K120" s="45" t="n">
        <x:f>0</x:f>
        <x:v>0</x:v>
      </x:c>
      <x:c r="L120" s="45" t="n">
        <x:f>F120+I120</x:f>
        <x:v>0</x:v>
      </x:c>
      <x:c r="M120" s="45" t="n">
        <x:f>G120+J120</x:f>
        <x:v>0</x:v>
      </x:c>
      <x:c r="N120" s="45" t="n">
        <x:f>H120+K120</x:f>
        <x:v>0</x:v>
      </x:c>
      <x:c r="O120" s="45" t="n">
        <x:f>SUM(F120:H120)</x:f>
        <x:v>0</x:v>
      </x:c>
      <x:c r="P120" s="42" t="n">
        <x:f>IF(AND(F120&lt;=F72,F120&lt;=F104,F120&lt;=F88,G120&lt;=G128,G120&lt;=G116,G120&lt;=G124,H120&lt;=H121,H120&lt;=H118,H120&lt;=H119),1,0)</x:f>
        <x:v>1</x:v>
      </x:c>
      <x:c r="Q120" s="42" t="n">
        <x:f>IF(AND(L120&lt;=L72,L120&lt;=L104,L120&lt;=L88,M120&lt;=M128,M120&lt;=M116,M120&lt;=M124,N120&lt;=N121,N120&lt;=N118,N120&lt;=N119),1,0)</x:f>
        <x:v>1</x:v>
      </x:c>
      <x:c r="R120" s="42" t="n">
        <x:v>1</x:v>
      </x:c>
      <x:c r="S120" s="42" t="n">
        <x:v>1</x:v>
      </x:c>
    </x:row>
    <x:row r="121">
      <x:c r="A121" t="n">
        <x:v>2</x:v>
      </x:c>
      <x:c r="B121" t="n">
        <x:v>0</x:v>
      </x:c>
      <x:c r="C121" t="n">
        <x:v>1</x:v>
      </x:c>
      <x:c r="D121" t="n">
        <x:v>0</x:v>
      </x:c>
      <x:c r="E121" t="str">
        <x:v>vlv</x:v>
      </x:c>
      <x:c r="F121" s="45" t="n">
        <x:f>(3/2)*$B121+(1/2)*$C121</x:f>
        <x:v>0.5</x:v>
      </x:c>
      <x:c r="G121" s="45" t="n">
        <x:f>1*$D121</x:f>
        <x:v>0</x:v>
      </x:c>
      <x:c r="H121" s="45" t="n">
        <x:f>(3/2)*$B121+(1/2)*$C121</x:f>
        <x:v>0.5</x:v>
      </x:c>
      <x:c r="I121" s="45" t="n">
        <x:f>MAX((1/2)*($C121-$B121),0)</x:f>
        <x:v>0.5</x:v>
      </x:c>
      <x:c r="J121" s="45" t="n">
        <x:f>0</x:f>
        <x:v>0</x:v>
      </x:c>
      <x:c r="K121" s="45" t="n">
        <x:f>MAX((1/2)*($C121-$B121),0)</x:f>
        <x:v>0.5</x:v>
      </x:c>
      <x:c r="L121" s="45" t="n">
        <x:f>F121+I121</x:f>
        <x:v>1</x:v>
      </x:c>
      <x:c r="M121" s="45" t="n">
        <x:f>G121+J121</x:f>
        <x:v>0</x:v>
      </x:c>
      <x:c r="N121" s="45" t="n">
        <x:f>H121+K121</x:f>
        <x:v>1</x:v>
      </x:c>
      <x:c r="O121" s="45" t="n">
        <x:f>SUM(F121:H121)</x:f>
        <x:v>1</x:v>
      </x:c>
      <x:c r="P121" s="42" t="n">
        <x:f>IF(AND(F121&lt;=F73,F121&lt;=F105,F121&lt;=F89,G121&lt;=G129,G121&lt;=G117,G121&lt;=G125,H121&lt;=H118,H121&lt;=H120,H121&lt;=H119),1,0)</x:f>
        <x:v>0</x:v>
      </x:c>
      <x:c r="Q121" s="42" t="n">
        <x:f>IF(AND(L121&lt;=L73,L121&lt;=L105,L121&lt;=L89,M121&lt;=M129,M121&lt;=M117,M121&lt;=M125,N121&lt;=N118,N121&lt;=N120,N121&lt;=N119),1,0)</x:f>
        <x:v>0</x:v>
      </x:c>
      <x:c r="R121" s="42" t="n">
        <x:v>0</x:v>
      </x:c>
      <x:c r="S121" s="42" t="n">
        <x:v>0</x:v>
      </x:c>
    </x:row>
    <x:row r="122">
      <x:c r="A122" t="n">
        <x:v>2</x:v>
      </x:c>
      <x:c r="B122" t="n">
        <x:v>0</x:v>
      </x:c>
      <x:c r="C122" t="n">
        <x:v>1</x:v>
      </x:c>
      <x:c r="D122" t="n">
        <x:v>0</x:v>
      </x:c>
      <x:c r="E122" t="str">
        <x:v>voe</x:v>
      </x:c>
      <x:c r="F122" s="45" t="n">
        <x:f>2*$B122</x:f>
        <x:v>0</x:v>
      </x:c>
      <x:c r="G122" s="45" t="n">
        <x:f>0</x:f>
        <x:v>0</x:v>
      </x:c>
      <x:c r="H122" s="45" t="n">
        <x:f>1*$B122</x:f>
        <x:v>0</x:v>
      </x:c>
      <x:c r="I122" s="45" t="n">
        <x:f>0</x:f>
        <x:v>0</x:v>
      </x:c>
      <x:c r="J122" s="45" t="n">
        <x:f>0</x:f>
        <x:v>0</x:v>
      </x:c>
      <x:c r="K122" s="45" t="n">
        <x:f>0</x:f>
        <x:v>0</x:v>
      </x:c>
      <x:c r="L122" s="45" t="n">
        <x:f>F122+I122</x:f>
        <x:v>0</x:v>
      </x:c>
      <x:c r="M122" s="45" t="n">
        <x:f>G122+J122</x:f>
        <x:v>0</x:v>
      </x:c>
      <x:c r="N122" s="45" t="n">
        <x:f>H122+K122</x:f>
        <x:v>0</x:v>
      </x:c>
      <x:c r="O122" s="45" t="n">
        <x:f>SUM(F122:H122)</x:f>
        <x:v>0</x:v>
      </x:c>
      <x:c r="P122" s="42" t="n">
        <x:f>IF(AND(F122&lt;=F74,F122&lt;=F106,F122&lt;=F90,G122&lt;=G126,G122&lt;=G114,G122&lt;=G118,H122&lt;=H125,H122&lt;=H124,H122&lt;=H123),1,0)</x:f>
        <x:v>1</x:v>
      </x:c>
      <x:c r="Q122" s="42" t="n">
        <x:f>IF(AND(L122&lt;=L74,L122&lt;=L106,L122&lt;=L90,M122&lt;=M126,M122&lt;=M114,M122&lt;=M118,N122&lt;=N125,N122&lt;=N124,N122&lt;=N123),1,0)</x:f>
        <x:v>1</x:v>
      </x:c>
      <x:c r="R122" s="42" t="n">
        <x:v>1</x:v>
      </x:c>
      <x:c r="S122" s="42" t="n">
        <x:v>1</x:v>
      </x:c>
    </x:row>
    <x:row r="123">
      <x:c r="A123" t="n">
        <x:v>2</x:v>
      </x:c>
      <x:c r="B123" t="n">
        <x:v>0</x:v>
      </x:c>
      <x:c r="C123" t="n">
        <x:v>1</x:v>
      </x:c>
      <x:c r="D123" t="n">
        <x:v>0</x:v>
      </x:c>
      <x:c r="E123" t="str">
        <x:v>vol</x:v>
      </x:c>
      <x:c r="F123" s="45" t="n">
        <x:f>2*$B123</x:f>
        <x:v>0</x:v>
      </x:c>
      <x:c r="G123" s="45" t="n">
        <x:f>0</x:f>
        <x:v>0</x:v>
      </x:c>
      <x:c r="H123" s="45" t="n">
        <x:f>1*$D123</x:f>
        <x:v>0</x:v>
      </x:c>
      <x:c r="I123" s="45" t="n">
        <x:f>0</x:f>
        <x:v>0</x:v>
      </x:c>
      <x:c r="J123" s="45" t="n">
        <x:f>0</x:f>
        <x:v>0</x:v>
      </x:c>
      <x:c r="K123" s="45" t="n">
        <x:f>0</x:f>
        <x:v>0</x:v>
      </x:c>
      <x:c r="L123" s="45" t="n">
        <x:f>F123+I123</x:f>
        <x:v>0</x:v>
      </x:c>
      <x:c r="M123" s="45" t="n">
        <x:f>G123+J123</x:f>
        <x:v>0</x:v>
      </x:c>
      <x:c r="N123" s="45" t="n">
        <x:f>H123+K123</x:f>
        <x:v>0</x:v>
      </x:c>
      <x:c r="O123" s="45" t="n">
        <x:f>SUM(F123:H123)</x:f>
        <x:v>0</x:v>
      </x:c>
      <x:c r="P123" s="42" t="n">
        <x:f>IF(AND(F123&lt;=F75,F123&lt;=F107,F123&lt;=F91,G123&lt;=G127,G123&lt;=G115,G123&lt;=G119,H123&lt;=H125,H123&lt;=H122,H123&lt;=H124),1,0)</x:f>
        <x:v>1</x:v>
      </x:c>
      <x:c r="Q123" s="42" t="n">
        <x:f>IF(AND(L123&lt;=L75,L123&lt;=L107,L123&lt;=L91,M123&lt;=M127,M123&lt;=M115,M123&lt;=M119,N123&lt;=N125,N123&lt;=N122,N123&lt;=N124),1,0)</x:f>
        <x:v>1</x:v>
      </x:c>
      <x:c r="R123" s="42" t="n">
        <x:v>1</x:v>
      </x:c>
      <x:c r="S123" s="42" t="n">
        <x:v>1</x:v>
      </x:c>
    </x:row>
    <x:row r="124">
      <x:c r="A124" t="n">
        <x:v>2</x:v>
      </x:c>
      <x:c r="B124" t="n">
        <x:v>0</x:v>
      </x:c>
      <x:c r="C124" t="n">
        <x:v>1</x:v>
      </x:c>
      <x:c r="D124" t="n">
        <x:v>0</x:v>
      </x:c>
      <x:c r="E124" t="str">
        <x:v>voo</x:v>
      </x:c>
      <x:c r="F124" s="45" t="n">
        <x:f>2*$B124</x:f>
        <x:v>0</x:v>
      </x:c>
      <x:c r="G124" s="45" t="n">
        <x:f>(1/2)*$C124+(1/2)*$D124</x:f>
        <x:v>0.5</x:v>
      </x:c>
      <x:c r="H124" s="45" t="n">
        <x:f>(1/2)*$C124+(1/2)*$D124</x:f>
        <x:v>0.5</x:v>
      </x:c>
      <x:c r="I124" s="45" t="n">
        <x:f>0</x:f>
        <x:v>0</x:v>
      </x:c>
      <x:c r="J124" s="45" t="n">
        <x:f>(1/2)*($C124+$D124)</x:f>
        <x:v>0.5</x:v>
      </x:c>
      <x:c r="K124" s="45" t="n">
        <x:f>(1/2)*($C124+$D124)</x:f>
        <x:v>0.5</x:v>
      </x:c>
      <x:c r="L124" s="45" t="n">
        <x:f>F124+I124</x:f>
        <x:v>0</x:v>
      </x:c>
      <x:c r="M124" s="45" t="n">
        <x:f>G124+J124</x:f>
        <x:v>1</x:v>
      </x:c>
      <x:c r="N124" s="45" t="n">
        <x:f>H124+K124</x:f>
        <x:v>1</x:v>
      </x:c>
      <x:c r="O124" s="45" t="n">
        <x:f>SUM(F124:H124)</x:f>
        <x:v>1</x:v>
      </x:c>
      <x:c r="P124" s="42" t="n">
        <x:f>IF(AND(F124&lt;=F76,F124&lt;=F108,F124&lt;=F92,G124&lt;=G128,G124&lt;=G116,G124&lt;=G120,H124&lt;=H125,H124&lt;=H122,H124&lt;=H123),1,0)</x:f>
        <x:v>0</x:v>
      </x:c>
      <x:c r="Q124" s="42" t="n">
        <x:f>IF(AND(L124&lt;=L76,L124&lt;=L108,L124&lt;=L92,M124&lt;=M128,M124&lt;=M116,M124&lt;=M120,N124&lt;=N125,N124&lt;=N122,N124&lt;=N123),1,0)</x:f>
        <x:v>0</x:v>
      </x:c>
      <x:c r="R124" s="42" t="n">
        <x:v>0</x:v>
      </x:c>
      <x:c r="S124" s="42" t="n">
        <x:v>0</x:v>
      </x:c>
    </x:row>
    <x:row r="125">
      <x:c r="A125" t="n">
        <x:v>2</x:v>
      </x:c>
      <x:c r="B125" t="n">
        <x:v>0</x:v>
      </x:c>
      <x:c r="C125" t="n">
        <x:v>1</x:v>
      </x:c>
      <x:c r="D125" t="n">
        <x:v>0</x:v>
      </x:c>
      <x:c r="E125" t="str">
        <x:v>vov</x:v>
      </x:c>
      <x:c r="F125" s="45" t="n">
        <x:f>(3/2)*$B125+(1/2)*$C125</x:f>
        <x:v>0.5</x:v>
      </x:c>
      <x:c r="G125" s="45" t="n">
        <x:f>0</x:f>
        <x:v>0</x:v>
      </x:c>
      <x:c r="H125" s="45" t="n">
        <x:f>(3/2)*$B125+(1/2)*$C125</x:f>
        <x:v>0.5</x:v>
      </x:c>
      <x:c r="I125" s="45" t="n">
        <x:f>MAX((1/2)*($C125-$B125),0)</x:f>
        <x:v>0.5</x:v>
      </x:c>
      <x:c r="J125" s="45" t="n">
        <x:f>0</x:f>
        <x:v>0</x:v>
      </x:c>
      <x:c r="K125" s="45" t="n">
        <x:f>MAX((1/2)*($C125-$B125),0)</x:f>
        <x:v>0.5</x:v>
      </x:c>
      <x:c r="L125" s="45" t="n">
        <x:f>F125+I125</x:f>
        <x:v>1</x:v>
      </x:c>
      <x:c r="M125" s="45" t="n">
        <x:f>G125+J125</x:f>
        <x:v>0</x:v>
      </x:c>
      <x:c r="N125" s="45" t="n">
        <x:f>H125+K125</x:f>
        <x:v>1</x:v>
      </x:c>
      <x:c r="O125" s="45" t="n">
        <x:f>SUM(F125:H125)</x:f>
        <x:v>1</x:v>
      </x:c>
      <x:c r="P125" s="42" t="n">
        <x:f>IF(AND(F125&lt;=F77,F125&lt;=F109,F125&lt;=F93,G125&lt;=G129,G125&lt;=G117,G125&lt;=G121,H125&lt;=H122,H125&lt;=H124,H125&lt;=H123),1,0)</x:f>
        <x:v>0</x:v>
      </x:c>
      <x:c r="Q125" s="42" t="n">
        <x:f>IF(AND(L125&lt;=L77,L125&lt;=L109,L125&lt;=L93,M125&lt;=M129,M125&lt;=M117,M125&lt;=M121,N125&lt;=N122,N125&lt;=N124,N125&lt;=N123),1,0)</x:f>
        <x:v>0</x:v>
      </x:c>
      <x:c r="R125" s="42" t="n">
        <x:v>0</x:v>
      </x:c>
      <x:c r="S125" s="42" t="n">
        <x:v>0</x:v>
      </x:c>
    </x:row>
    <x:row r="126">
      <x:c r="A126" t="n">
        <x:v>2</x:v>
      </x:c>
      <x:c r="B126" t="n">
        <x:v>0</x:v>
      </x:c>
      <x:c r="C126" t="n">
        <x:v>1</x:v>
      </x:c>
      <x:c r="D126" t="n">
        <x:v>0</x:v>
      </x:c>
      <x:c r="E126" t="str">
        <x:v>vve</x:v>
      </x:c>
      <x:c r="F126" s="45" t="n">
        <x:f>(3/2)*$B126+(1/2)*$C126</x:f>
        <x:v>0.5</x:v>
      </x:c>
      <x:c r="G126" s="45" t="n">
        <x:f>(3/2)*$B126+(1/2)*$C126</x:f>
        <x:v>0.5</x:v>
      </x:c>
      <x:c r="H126" s="45" t="n">
        <x:f>1*$C126</x:f>
        <x:v>1</x:v>
      </x:c>
      <x:c r="I126" s="45" t="n">
        <x:f>MAX((3/2)*($C126-$B126),0)</x:f>
        <x:v>1.5</x:v>
      </x:c>
      <x:c r="J126" s="45" t="n">
        <x:f>MAX((3/2)*($C126-$B126),0)</x:f>
        <x:v>1.5</x:v>
      </x:c>
      <x:c r="K126" s="45" t="n">
        <x:f>0</x:f>
        <x:v>0</x:v>
      </x:c>
      <x:c r="L126" s="45" t="n">
        <x:f>F126+I126</x:f>
        <x:v>2</x:v>
      </x:c>
      <x:c r="M126" s="45" t="n">
        <x:f>G126+J126</x:f>
        <x:v>2</x:v>
      </x:c>
      <x:c r="N126" s="45" t="n">
        <x:f>H126+K126</x:f>
        <x:v>1</x:v>
      </x:c>
      <x:c r="O126" s="45" t="n">
        <x:f>SUM(F126:H126)</x:f>
        <x:v>2</x:v>
      </x:c>
      <x:c r="P126" s="42" t="n">
        <x:f>IF(AND(F126&lt;=F78,F126&lt;=F110,F126&lt;=F94,G126&lt;=G114,G126&lt;=G122,G126&lt;=G118,H126&lt;=H129,H126&lt;=H128,H126&lt;=H127),1,0)</x:f>
        <x:v>0</x:v>
      </x:c>
      <x:c r="Q126" s="42" t="n">
        <x:f>IF(AND(L126&lt;=L78,L126&lt;=L110,L126&lt;=L94,M126&lt;=M114,M126&lt;=M122,M126&lt;=M118,N126&lt;=N129,N126&lt;=N128,N126&lt;=N127),1,0)</x:f>
        <x:v>0</x:v>
      </x:c>
      <x:c r="R126" s="42" t="n">
        <x:v>0</x:v>
      </x:c>
      <x:c r="S126" s="42" t="n">
        <x:v>0</x:v>
      </x:c>
    </x:row>
    <x:row r="127">
      <x:c r="A127" t="n">
        <x:v>2</x:v>
      </x:c>
      <x:c r="B127" t="n">
        <x:v>0</x:v>
      </x:c>
      <x:c r="C127" t="n">
        <x:v>1</x:v>
      </x:c>
      <x:c r="D127" t="n">
        <x:v>0</x:v>
      </x:c>
      <x:c r="E127" t="str">
        <x:v>vvl</x:v>
      </x:c>
      <x:c r="F127" s="45" t="n">
        <x:f>(3/2)*$B127+(1/2)*$C127</x:f>
        <x:v>0.5</x:v>
      </x:c>
      <x:c r="G127" s="45" t="n">
        <x:f>(3/2)*$B127+(1/2)*$C127</x:f>
        <x:v>0.5</x:v>
      </x:c>
      <x:c r="H127" s="45" t="n">
        <x:f>1*$D127</x:f>
        <x:v>0</x:v>
      </x:c>
      <x:c r="I127" s="45" t="n">
        <x:f>MAX((1/2)*($C127-$B127),0)</x:f>
        <x:v>0.5</x:v>
      </x:c>
      <x:c r="J127" s="45" t="n">
        <x:f>MAX((1/2)*($C127-$B127),0)</x:f>
        <x:v>0.5</x:v>
      </x:c>
      <x:c r="K127" s="45" t="n">
        <x:f>0</x:f>
        <x:v>0</x:v>
      </x:c>
      <x:c r="L127" s="45" t="n">
        <x:f>F127+I127</x:f>
        <x:v>1</x:v>
      </x:c>
      <x:c r="M127" s="45" t="n">
        <x:f>G127+J127</x:f>
        <x:v>1</x:v>
      </x:c>
      <x:c r="N127" s="45" t="n">
        <x:f>H127+K127</x:f>
        <x:v>0</x:v>
      </x:c>
      <x:c r="O127" s="45" t="n">
        <x:f>SUM(F127:H127)</x:f>
        <x:v>1</x:v>
      </x:c>
      <x:c r="P127" s="42" t="n">
        <x:f>IF(AND(F127&lt;=F79,F127&lt;=F111,F127&lt;=F95,G127&lt;=G115,G127&lt;=G123,G127&lt;=G119,H127&lt;=H129,H127&lt;=H126,H127&lt;=H128),1,0)</x:f>
        <x:v>0</x:v>
      </x:c>
      <x:c r="Q127" s="42" t="n">
        <x:f>IF(AND(L127&lt;=L79,L127&lt;=L111,L127&lt;=L95,M127&lt;=M115,M127&lt;=M123,M127&lt;=M119,N127&lt;=N129,N127&lt;=N126,N127&lt;=N128),1,0)</x:f>
        <x:v>0</x:v>
      </x:c>
      <x:c r="R127" s="42" t="n">
        <x:v>0</x:v>
      </x:c>
      <x:c r="S127" s="42" t="n">
        <x:v>0</x:v>
      </x:c>
    </x:row>
    <x:row r="128">
      <x:c r="A128" t="n">
        <x:v>2</x:v>
      </x:c>
      <x:c r="B128" t="n">
        <x:v>0</x:v>
      </x:c>
      <x:c r="C128" t="n">
        <x:v>1</x:v>
      </x:c>
      <x:c r="D128" t="n">
        <x:v>0</x:v>
      </x:c>
      <x:c r="E128" t="str">
        <x:v>vvo</x:v>
      </x:c>
      <x:c r="F128" s="45" t="n">
        <x:f>(3/2)*$B128+(1/2)*$C128</x:f>
        <x:v>0.5</x:v>
      </x:c>
      <x:c r="G128" s="45" t="n">
        <x:f>(3/2)*$B128+(1/2)*$C128</x:f>
        <x:v>0.5</x:v>
      </x:c>
      <x:c r="H128" s="45" t="n">
        <x:f>0</x:f>
        <x:v>0</x:v>
      </x:c>
      <x:c r="I128" s="45" t="n">
        <x:f>MAX((1/2)*($C128-$B128),0)</x:f>
        <x:v>0.5</x:v>
      </x:c>
      <x:c r="J128" s="45" t="n">
        <x:f>MAX((1/2)*($C128-$B128),0)</x:f>
        <x:v>0.5</x:v>
      </x:c>
      <x:c r="K128" s="45" t="n">
        <x:f>0</x:f>
        <x:v>0</x:v>
      </x:c>
      <x:c r="L128" s="45" t="n">
        <x:f>F128+I128</x:f>
        <x:v>1</x:v>
      </x:c>
      <x:c r="M128" s="45" t="n">
        <x:f>G128+J128</x:f>
        <x:v>1</x:v>
      </x:c>
      <x:c r="N128" s="45" t="n">
        <x:f>H128+K128</x:f>
        <x:v>0</x:v>
      </x:c>
      <x:c r="O128" s="45" t="n">
        <x:f>SUM(F128:H128)</x:f>
        <x:v>1</x:v>
      </x:c>
      <x:c r="P128" s="42" t="n">
        <x:f>IF(AND(F128&lt;=F80,F128&lt;=F112,F128&lt;=F96,G128&lt;=G116,G128&lt;=G124,G128&lt;=G120,H128&lt;=H129,H128&lt;=H126,H128&lt;=H127),1,0)</x:f>
        <x:v>0</x:v>
      </x:c>
      <x:c r="Q128" s="42" t="n">
        <x:f>IF(AND(L128&lt;=L80,L128&lt;=L112,L128&lt;=L96,M128&lt;=M116,M128&lt;=M124,M128&lt;=M120,N128&lt;=N129,N128&lt;=N126,N128&lt;=N127),1,0)</x:f>
        <x:v>0</x:v>
      </x:c>
      <x:c r="R128" s="42" t="n">
        <x:v>0</x:v>
      </x:c>
      <x:c r="S128" s="42" t="n">
        <x:v>0</x:v>
      </x:c>
    </x:row>
    <x:row r="129">
      <x:c r="A129" t="n">
        <x:v>2</x:v>
      </x:c>
      <x:c r="B129" t="n">
        <x:v>0</x:v>
      </x:c>
      <x:c r="C129" t="n">
        <x:v>1</x:v>
      </x:c>
      <x:c r="D129" t="n">
        <x:v>0</x:v>
      </x:c>
      <x:c r="E129" t="str">
        <x:v>vvv</x:v>
      </x:c>
      <x:c r="F129" s="45" t="n">
        <x:f>1*$B129+1*$C129</x:f>
        <x:v>1</x:v>
      </x:c>
      <x:c r="G129" s="45" t="n">
        <x:f>1*$B129+1*$C129</x:f>
        <x:v>1</x:v>
      </x:c>
      <x:c r="H129" s="45" t="n">
        <x:f>1*$B129+1*$C129</x:f>
        <x:v>1</x:v>
      </x:c>
      <x:c r="I129" s="45" t="n">
        <x:f>MAX($C129-$B129,0)</x:f>
        <x:v>1</x:v>
      </x:c>
      <x:c r="J129" s="45" t="n">
        <x:f>MAX($C129-$B129,0)</x:f>
        <x:v>1</x:v>
      </x:c>
      <x:c r="K129" s="45" t="n">
        <x:f>MAX($C129-$B129,0)</x:f>
        <x:v>1</x:v>
      </x:c>
      <x:c r="L129" s="45" t="n">
        <x:f>F129+I129</x:f>
        <x:v>2</x:v>
      </x:c>
      <x:c r="M129" s="45" t="n">
        <x:f>G129+J129</x:f>
        <x:v>2</x:v>
      </x:c>
      <x:c r="N129" s="45" t="n">
        <x:f>H129+K129</x:f>
        <x:v>2</x:v>
      </x:c>
      <x:c r="O129" s="45" t="n">
        <x:f>SUM(F129:H129)</x:f>
        <x:v>3</x:v>
      </x:c>
      <x:c r="P129" s="42" t="n">
        <x:f>IF(AND(F129&lt;=F81,F129&lt;=F113,F129&lt;=F97,G129&lt;=G117,G129&lt;=G125,G129&lt;=G121,H129&lt;=H126,H129&lt;=H128,H129&lt;=H127),1,0)</x:f>
        <x:v>0</x:v>
      </x:c>
      <x:c r="Q129" s="42" t="n">
        <x:f>IF(AND(L129&lt;=L81,L129&lt;=L113,L129&lt;=L97,M129&lt;=M117,M129&lt;=M125,M129&lt;=M121,N129&lt;=N126,N129&lt;=N128,N129&lt;=N127),1,0)</x:f>
        <x:v>0</x:v>
      </x:c>
      <x:c r="R129" s="42" t="n">
        <x:v>0</x:v>
      </x:c>
      <x:c r="S129" s="42" t="n">
        <x:v>0</x:v>
      </x:c>
    </x:row>
    <x:row r="130">
      <x:c r="A130" t="n">
        <x:v>3</x:v>
      </x:c>
      <x:c r="B130" t="n">
        <x:v>0</x:v>
      </x:c>
      <x:c r="C130" t="n">
        <x:v>0</x:v>
      </x:c>
      <x:c r="D130" t="n">
        <x:v>1</x:v>
      </x:c>
      <x:c r="E130" t="str">
        <x:v>eee</x:v>
      </x:c>
      <x:c r="F130" s="45" t="n">
        <x:f>(1/3)*$B130+1*$C130+(1/3)*$D130</x:f>
        <x:v>0.3333333333333333</x:v>
      </x:c>
      <x:c r="G130" s="45" t="n">
        <x:f>(1/3)*$B130+1*$C130+(1/3)*$D130</x:f>
        <x:v>0.3333333333333333</x:v>
      </x:c>
      <x:c r="H130" s="45" t="n">
        <x:f>(1/3)*$B130+1*$C130+(1/3)*$D130</x:f>
        <x:v>0.3333333333333333</x:v>
      </x:c>
      <x:c r="I130" s="45" t="n">
        <x:f>MAX($C130+(2/3)*$D130-(1/3)*$B130,0)</x:f>
        <x:v>0.6666666666666666</x:v>
      </x:c>
      <x:c r="J130" s="45" t="n">
        <x:f>MAX($C130+(2/3)*$D130-(1/3)*$B130,0)</x:f>
        <x:v>0.6666666666666666</x:v>
      </x:c>
      <x:c r="K130" s="45" t="n">
        <x:f>MAX($C130+(2/3)*$D130-(1/3)*$B130,0)</x:f>
        <x:v>0.6666666666666666</x:v>
      </x:c>
      <x:c r="L130" s="45" t="n">
        <x:f>F130+I130</x:f>
        <x:v>1</x:v>
      </x:c>
      <x:c r="M130" s="45" t="n">
        <x:f>G130+J130</x:f>
        <x:v>1</x:v>
      </x:c>
      <x:c r="N130" s="45" t="n">
        <x:f>H130+K130</x:f>
        <x:v>1</x:v>
      </x:c>
      <x:c r="O130" s="45" t="n">
        <x:f>SUM(F130:H130)</x:f>
        <x:v>1</x:v>
      </x:c>
      <x:c r="P130" s="42" t="n">
        <x:f>IF(AND(F130&lt;=F178,F130&lt;=F162,F130&lt;=F146,G130&lt;=G142,G130&lt;=G138,G130&lt;=G134,H130&lt;=H133,H130&lt;=H132,H130&lt;=H131),1,0)</x:f>
        <x:v>0</x:v>
      </x:c>
      <x:c r="Q130" s="42" t="n">
        <x:f>IF(AND(L130&lt;=L178,L130&lt;=L162,L130&lt;=L146,M130&lt;=M142,M130&lt;=M138,M130&lt;=M134,N130&lt;=N133,N130&lt;=N132,N130&lt;=N131),1,0)</x:f>
        <x:v>0</x:v>
      </x:c>
      <x:c r="R130" s="42" t="n">
        <x:v>0</x:v>
      </x:c>
      <x:c r="S130" s="42" t="n">
        <x:v>0</x:v>
      </x:c>
    </x:row>
    <x:row r="131">
      <x:c r="A131" t="n">
        <x:v>3</x:v>
      </x:c>
      <x:c r="B131" t="n">
        <x:v>0</x:v>
      </x:c>
      <x:c r="C131" t="n">
        <x:v>0</x:v>
      </x:c>
      <x:c r="D131" t="n">
        <x:v>1</x:v>
      </x:c>
      <x:c r="E131" t="str">
        <x:v>eel</x:v>
      </x:c>
      <x:c r="F131" s="45" t="n">
        <x:f>(1/2)*$B131+(1/2)*$C131</x:f>
        <x:v>0</x:v>
      </x:c>
      <x:c r="G131" s="45" t="n">
        <x:f>(1/2)*$B131+(1/2)*$C131</x:f>
        <x:v>0</x:v>
      </x:c>
      <x:c r="H131" s="45" t="n">
        <x:f>1*$D131</x:f>
        <x:v>1</x:v>
      </x:c>
      <x:c r="I131" s="45" t="n">
        <x:f>MAX((1/2)*($C131-$B131),0)</x:f>
        <x:v>0</x:v>
      </x:c>
      <x:c r="J131" s="45" t="n">
        <x:f>MAX((1/2)*($C131-$B131),0)</x:f>
        <x:v>0</x:v>
      </x:c>
      <x:c r="K131" s="45" t="n">
        <x:f>0</x:f>
        <x:v>0</x:v>
      </x:c>
      <x:c r="L131" s="45" t="n">
        <x:f>F131+I131</x:f>
        <x:v>0</x:v>
      </x:c>
      <x:c r="M131" s="45" t="n">
        <x:f>G131+J131</x:f>
        <x:v>0</x:v>
      </x:c>
      <x:c r="N131" s="45" t="n">
        <x:f>H131+K131</x:f>
        <x:v>1</x:v>
      </x:c>
      <x:c r="O131" s="45" t="n">
        <x:f>SUM(F131:H131)</x:f>
        <x:v>1</x:v>
      </x:c>
      <x:c r="P131" s="42" t="n">
        <x:f>IF(AND(F131&lt;=F179,F131&lt;=F163,F131&lt;=F147,G131&lt;=G143,G131&lt;=G139,G131&lt;=G135,H131&lt;=H133,H131&lt;=H130,H131&lt;=H132),1,0)</x:f>
        <x:v>0</x:v>
      </x:c>
      <x:c r="Q131" s="42" t="n">
        <x:f>IF(AND(L131&lt;=L179,L131&lt;=L163,L131&lt;=L147,M131&lt;=M143,M131&lt;=M139,M131&lt;=M135,N131&lt;=N133,N131&lt;=N130,N131&lt;=N132),1,0)</x:f>
        <x:v>0</x:v>
      </x:c>
      <x:c r="R131" s="42" t="n">
        <x:v>0</x:v>
      </x:c>
      <x:c r="S131" s="42" t="n">
        <x:v>0</x:v>
      </x:c>
    </x:row>
    <x:row r="132">
      <x:c r="A132" t="n">
        <x:v>3</x:v>
      </x:c>
      <x:c r="B132" t="n">
        <x:v>0</x:v>
      </x:c>
      <x:c r="C132" t="n">
        <x:v>0</x:v>
      </x:c>
      <x:c r="D132" t="n">
        <x:v>1</x:v>
      </x:c>
      <x:c r="E132" t="str">
        <x:v>eeo</x:v>
      </x:c>
      <x:c r="F132" s="45" t="n">
        <x:f>(1/2)*$B132+(1/2)*$C132</x:f>
        <x:v>0</x:v>
      </x:c>
      <x:c r="G132" s="45" t="n">
        <x:f>(1/2)*$B132+(1/2)*$C132</x:f>
        <x:v>0</x:v>
      </x:c>
      <x:c r="H132" s="45" t="n">
        <x:f>1*$C132+1*$D132</x:f>
        <x:v>1</x:v>
      </x:c>
      <x:c r="I132" s="45" t="n">
        <x:f>MAX((3/2)*$C132+$D132-(1/2)*$B132,0)</x:f>
        <x:v>1</x:v>
      </x:c>
      <x:c r="J132" s="45" t="n">
        <x:f>MAX((3/2)*$C132+$D132-(1/2)*$B132,0)</x:f>
        <x:v>1</x:v>
      </x:c>
      <x:c r="K132" s="45" t="n">
        <x:f>0</x:f>
        <x:v>0</x:v>
      </x:c>
      <x:c r="L132" s="45" t="n">
        <x:f>F132+I132</x:f>
        <x:v>1</x:v>
      </x:c>
      <x:c r="M132" s="45" t="n">
        <x:f>G132+J132</x:f>
        <x:v>1</x:v>
      </x:c>
      <x:c r="N132" s="45" t="n">
        <x:f>H132+K132</x:f>
        <x:v>1</x:v>
      </x:c>
      <x:c r="O132" s="45" t="n">
        <x:f>SUM(F132:H132)</x:f>
        <x:v>1</x:v>
      </x:c>
      <x:c r="P132" s="42" t="n">
        <x:f>IF(AND(F132&lt;=F180,F132&lt;=F164,F132&lt;=F148,G132&lt;=G144,G132&lt;=G140,G132&lt;=G136,H132&lt;=H133,H132&lt;=H130,H132&lt;=H131),1,0)</x:f>
        <x:v>0</x:v>
      </x:c>
      <x:c r="Q132" s="42" t="n">
        <x:f>IF(AND(L132&lt;=L180,L132&lt;=L164,L132&lt;=L148,M132&lt;=M144,M132&lt;=M140,M132&lt;=M136,N132&lt;=N133,N132&lt;=N130,N132&lt;=N131),1,0)</x:f>
        <x:v>0</x:v>
      </x:c>
      <x:c r="R132" s="42" t="n">
        <x:v>0</x:v>
      </x:c>
      <x:c r="S132" s="42" t="n">
        <x:v>0</x:v>
      </x:c>
    </x:row>
    <x:row r="133">
      <x:c r="A133" t="n">
        <x:v>3</x:v>
      </x:c>
      <x:c r="B133" t="n">
        <x:v>0</x:v>
      </x:c>
      <x:c r="C133" t="n">
        <x:v>0</x:v>
      </x:c>
      <x:c r="D133" t="n">
        <x:v>1</x:v>
      </x:c>
      <x:c r="E133" t="str">
        <x:v>eev</x:v>
      </x:c>
      <x:c r="F133" s="45" t="n">
        <x:f>(1/2)*$B133+(1/2)*$C133</x:f>
        <x:v>0</x:v>
      </x:c>
      <x:c r="G133" s="45" t="n">
        <x:f>(1/2)*$B133+(1/2)*$C133</x:f>
        <x:v>0</x:v>
      </x:c>
      <x:c r="H133" s="45" t="n">
        <x:f>2*$B133</x:f>
        <x:v>0</x:v>
      </x:c>
      <x:c r="I133" s="45" t="n">
        <x:f>MAX((1/2)*($C133-$B133),0)</x:f>
        <x:v>0</x:v>
      </x:c>
      <x:c r="J133" s="45" t="n">
        <x:f>MAX((1/2)*($C133-$B133),0)</x:f>
        <x:v>0</x:v>
      </x:c>
      <x:c r="K133" s="45" t="n">
        <x:f>0</x:f>
        <x:v>0</x:v>
      </x:c>
      <x:c r="L133" s="45" t="n">
        <x:f>F133+I133</x:f>
        <x:v>0</x:v>
      </x:c>
      <x:c r="M133" s="45" t="n">
        <x:f>G133+J133</x:f>
        <x:v>0</x:v>
      </x:c>
      <x:c r="N133" s="45" t="n">
        <x:f>H133+K133</x:f>
        <x:v>0</x:v>
      </x:c>
      <x:c r="O133" s="45" t="n">
        <x:f>SUM(F133:H133)</x:f>
        <x:v>0</x:v>
      </x:c>
      <x:c r="P133" s="42" t="n">
        <x:f>IF(AND(F133&lt;=F181,F133&lt;=F165,F133&lt;=F149,G133&lt;=G145,G133&lt;=G141,G133&lt;=G137,H133&lt;=H130,H133&lt;=H132,H133&lt;=H131),1,0)</x:f>
        <x:v>1</x:v>
      </x:c>
      <x:c r="Q133" s="42" t="n">
        <x:f>IF(AND(L133&lt;=L181,L133&lt;=L165,L133&lt;=L149,M133&lt;=M145,M133&lt;=M141,M133&lt;=M137,N133&lt;=N130,N133&lt;=N132,N133&lt;=N131),1,0)</x:f>
        <x:v>1</x:v>
      </x:c>
      <x:c r="R133" s="42" t="n">
        <x:v>1</x:v>
      </x:c>
      <x:c r="S133" s="42" t="n">
        <x:v>1</x:v>
      </x:c>
    </x:row>
    <x:row r="134">
      <x:c r="A134" t="n">
        <x:v>3</x:v>
      </x:c>
      <x:c r="B134" t="n">
        <x:v>0</x:v>
      </x:c>
      <x:c r="C134" t="n">
        <x:v>0</x:v>
      </x:c>
      <x:c r="D134" t="n">
        <x:v>1</x:v>
      </x:c>
      <x:c r="E134" t="str">
        <x:v>ele</x:v>
      </x:c>
      <x:c r="F134" s="45" t="n">
        <x:f>(1/2)*$B134+(1/2)*$C134</x:f>
        <x:v>0</x:v>
      </x:c>
      <x:c r="G134" s="45" t="n">
        <x:f>1*$D134</x:f>
        <x:v>1</x:v>
      </x:c>
      <x:c r="H134" s="45" t="n">
        <x:f>(1/2)*$B134+(1/2)*$C134</x:f>
        <x:v>0</x:v>
      </x:c>
      <x:c r="I134" s="45" t="n">
        <x:f>MAX((1/2)*($C134-$B134),0)</x:f>
        <x:v>0</x:v>
      </x:c>
      <x:c r="J134" s="45" t="n">
        <x:f>0</x:f>
        <x:v>0</x:v>
      </x:c>
      <x:c r="K134" s="45" t="n">
        <x:f>MAX((1/2)*($C134-$B134),0)</x:f>
        <x:v>0</x:v>
      </x:c>
      <x:c r="L134" s="45" t="n">
        <x:f>F134+I134</x:f>
        <x:v>0</x:v>
      </x:c>
      <x:c r="M134" s="45" t="n">
        <x:f>G134+J134</x:f>
        <x:v>1</x:v>
      </x:c>
      <x:c r="N134" s="45" t="n">
        <x:f>H134+K134</x:f>
        <x:v>0</x:v>
      </x:c>
      <x:c r="O134" s="45" t="n">
        <x:f>SUM(F134:H134)</x:f>
        <x:v>1</x:v>
      </x:c>
      <x:c r="P134" s="42" t="n">
        <x:f>IF(AND(F134&lt;=F182,F134&lt;=F166,F134&lt;=F150,G134&lt;=G142,G134&lt;=G130,G134&lt;=G138,H134&lt;=H137,H134&lt;=H136,H134&lt;=H135),1,0)</x:f>
        <x:v>0</x:v>
      </x:c>
      <x:c r="Q134" s="42" t="n">
        <x:f>IF(AND(L134&lt;=L182,L134&lt;=L166,L134&lt;=L150,M134&lt;=M142,M134&lt;=M130,M134&lt;=M138,N134&lt;=N137,N134&lt;=N136,N134&lt;=N135),1,0)</x:f>
        <x:v>0</x:v>
      </x:c>
      <x:c r="R134" s="42" t="n">
        <x:v>0</x:v>
      </x:c>
      <x:c r="S134" s="42" t="n">
        <x:v>0</x:v>
      </x:c>
    </x:row>
    <x:row r="135">
      <x:c r="A135" t="n">
        <x:v>3</x:v>
      </x:c>
      <x:c r="B135" t="n">
        <x:v>0</x:v>
      </x:c>
      <x:c r="C135" t="n">
        <x:v>0</x:v>
      </x:c>
      <x:c r="D135" t="n">
        <x:v>1</x:v>
      </x:c>
      <x:c r="E135" t="str">
        <x:v>ell</x:v>
      </x:c>
      <x:c r="F135" s="45" t="n">
        <x:f>1*$B135</x:f>
        <x:v>0</x:v>
      </x:c>
      <x:c r="G135" s="45" t="n">
        <x:f>(1/2)*$C135+(3/2)*$D135</x:f>
        <x:v>1.5</x:v>
      </x:c>
      <x:c r="H135" s="45" t="n">
        <x:f>(1/2)*$C135+(3/2)*$D135</x:f>
        <x:v>1.5</x:v>
      </x:c>
      <x:c r="I135" s="45" t="n">
        <x:f>0</x:f>
        <x:v>0</x:v>
      </x:c>
      <x:c r="J135" s="45" t="n">
        <x:f>(1/2)*($C135+$D135)</x:f>
        <x:v>0.5</x:v>
      </x:c>
      <x:c r="K135" s="45" t="n">
        <x:f>(1/2)*($C135+$D135)</x:f>
        <x:v>0.5</x:v>
      </x:c>
      <x:c r="L135" s="45" t="n">
        <x:f>F135+I135</x:f>
        <x:v>0</x:v>
      </x:c>
      <x:c r="M135" s="45" t="n">
        <x:f>G135+J135</x:f>
        <x:v>2</x:v>
      </x:c>
      <x:c r="N135" s="45" t="n">
        <x:f>H135+K135</x:f>
        <x:v>2</x:v>
      </x:c>
      <x:c r="O135" s="45" t="n">
        <x:f>SUM(F135:H135)</x:f>
        <x:v>3</x:v>
      </x:c>
      <x:c r="P135" s="42" t="n">
        <x:f>IF(AND(F135&lt;=F183,F135&lt;=F167,F135&lt;=F151,G135&lt;=G143,G135&lt;=G131,G135&lt;=G139,H135&lt;=H137,H135&lt;=H134,H135&lt;=H136),1,0)</x:f>
        <x:v>0</x:v>
      </x:c>
      <x:c r="Q135" s="42" t="n">
        <x:f>IF(AND(L135&lt;=L183,L135&lt;=L167,L135&lt;=L151,M135&lt;=M143,M135&lt;=M131,M135&lt;=M139,N135&lt;=N137,N135&lt;=N134,N135&lt;=N136),1,0)</x:f>
        <x:v>0</x:v>
      </x:c>
      <x:c r="R135" s="42" t="n">
        <x:v>0</x:v>
      </x:c>
      <x:c r="S135" s="42" t="n">
        <x:v>0</x:v>
      </x:c>
    </x:row>
    <x:row r="136">
      <x:c r="A136" t="n">
        <x:v>3</x:v>
      </x:c>
      <x:c r="B136" t="n">
        <x:v>0</x:v>
      </x:c>
      <x:c r="C136" t="n">
        <x:v>0</x:v>
      </x:c>
      <x:c r="D136" t="n">
        <x:v>1</x:v>
      </x:c>
      <x:c r="E136" t="str">
        <x:v>elo</x:v>
      </x:c>
      <x:c r="F136" s="45" t="n">
        <x:f>1*$B136</x:f>
        <x:v>0</x:v>
      </x:c>
      <x:c r="G136" s="45" t="n">
        <x:f>1*$D136</x:f>
        <x:v>1</x:v>
      </x:c>
      <x:c r="H136" s="45" t="n">
        <x:f>0</x:f>
        <x:v>0</x:v>
      </x:c>
      <x:c r="I136" s="45" t="n">
        <x:f>0</x:f>
        <x:v>0</x:v>
      </x:c>
      <x:c r="J136" s="45" t="n">
        <x:f>0</x:f>
        <x:v>0</x:v>
      </x:c>
      <x:c r="K136" s="45" t="n">
        <x:f>0</x:f>
        <x:v>0</x:v>
      </x:c>
      <x:c r="L136" s="45" t="n">
        <x:f>F136+I136</x:f>
        <x:v>0</x:v>
      </x:c>
      <x:c r="M136" s="45" t="n">
        <x:f>G136+J136</x:f>
        <x:v>1</x:v>
      </x:c>
      <x:c r="N136" s="45" t="n">
        <x:f>H136+K136</x:f>
        <x:v>0</x:v>
      </x:c>
      <x:c r="O136" s="45" t="n">
        <x:f>SUM(F136:H136)</x:f>
        <x:v>1</x:v>
      </x:c>
      <x:c r="P136" s="42" t="n">
        <x:f>IF(AND(F136&lt;=F184,F136&lt;=F168,F136&lt;=F152,G136&lt;=G144,G136&lt;=G132,G136&lt;=G140,H136&lt;=H137,H136&lt;=H134,H136&lt;=H135),1,0)</x:f>
        <x:v>0</x:v>
      </x:c>
      <x:c r="Q136" s="42" t="n">
        <x:f>IF(AND(L136&lt;=L184,L136&lt;=L168,L136&lt;=L152,M136&lt;=M144,M136&lt;=M132,M136&lt;=M140,N136&lt;=N137,N136&lt;=N134,N136&lt;=N135),1,0)</x:f>
        <x:v>0</x:v>
      </x:c>
      <x:c r="R136" s="42" t="n">
        <x:v>0</x:v>
      </x:c>
      <x:c r="S136" s="42" t="n">
        <x:v>0</x:v>
      </x:c>
    </x:row>
    <x:row r="137">
      <x:c r="A137" t="n">
        <x:v>3</x:v>
      </x:c>
      <x:c r="B137" t="n">
        <x:v>0</x:v>
      </x:c>
      <x:c r="C137" t="n">
        <x:v>0</x:v>
      </x:c>
      <x:c r="D137" t="n">
        <x:v>1</x:v>
      </x:c>
      <x:c r="E137" t="str">
        <x:v>elv</x:v>
      </x:c>
      <x:c r="F137" s="45" t="n">
        <x:f>1*$B137</x:f>
        <x:v>0</x:v>
      </x:c>
      <x:c r="G137" s="45" t="n">
        <x:f>1*$D137</x:f>
        <x:v>1</x:v>
      </x:c>
      <x:c r="H137" s="45" t="n">
        <x:f>2*$B137</x:f>
        <x:v>0</x:v>
      </x:c>
      <x:c r="I137" s="45" t="n">
        <x:f>0</x:f>
        <x:v>0</x:v>
      </x:c>
      <x:c r="J137" s="45" t="n">
        <x:f>0</x:f>
        <x:v>0</x:v>
      </x:c>
      <x:c r="K137" s="45" t="n">
        <x:f>0</x:f>
        <x:v>0</x:v>
      </x:c>
      <x:c r="L137" s="45" t="n">
        <x:f>F137+I137</x:f>
        <x:v>0</x:v>
      </x:c>
      <x:c r="M137" s="45" t="n">
        <x:f>G137+J137</x:f>
        <x:v>1</x:v>
      </x:c>
      <x:c r="N137" s="45" t="n">
        <x:f>H137+K137</x:f>
        <x:v>0</x:v>
      </x:c>
      <x:c r="O137" s="45" t="n">
        <x:f>SUM(F137:H137)</x:f>
        <x:v>1</x:v>
      </x:c>
      <x:c r="P137" s="42" t="n">
        <x:f>IF(AND(F137&lt;=F185,F137&lt;=F169,F137&lt;=F153,G137&lt;=G145,G137&lt;=G133,G137&lt;=G141,H137&lt;=H134,H137&lt;=H136,H137&lt;=H135),1,0)</x:f>
        <x:v>0</x:v>
      </x:c>
      <x:c r="Q137" s="42" t="n">
        <x:f>IF(AND(L137&lt;=L185,L137&lt;=L169,L137&lt;=L153,M137&lt;=M145,M137&lt;=M133,M137&lt;=M141,N137&lt;=N134,N137&lt;=N136,N137&lt;=N135),1,0)</x:f>
        <x:v>0</x:v>
      </x:c>
      <x:c r="R137" s="42" t="n">
        <x:v>0</x:v>
      </x:c>
      <x:c r="S137" s="42" t="n">
        <x:v>0</x:v>
      </x:c>
    </x:row>
    <x:row r="138">
      <x:c r="A138" t="n">
        <x:v>3</x:v>
      </x:c>
      <x:c r="B138" t="n">
        <x:v>0</x:v>
      </x:c>
      <x:c r="C138" t="n">
        <x:v>0</x:v>
      </x:c>
      <x:c r="D138" t="n">
        <x:v>1</x:v>
      </x:c>
      <x:c r="E138" t="str">
        <x:v>eoe</x:v>
      </x:c>
      <x:c r="F138" s="45" t="n">
        <x:f>(1/2)*$B138+(1/2)*$C138</x:f>
        <x:v>0</x:v>
      </x:c>
      <x:c r="G138" s="45" t="n">
        <x:f>1*$C138+1*$D138</x:f>
        <x:v>1</x:v>
      </x:c>
      <x:c r="H138" s="45" t="n">
        <x:f>(1/2)*$B138+(1/2)*$C138</x:f>
        <x:v>0</x:v>
      </x:c>
      <x:c r="I138" s="45" t="n">
        <x:f>MAX((3/2)*$C138+$D138-(1/2)*$B138,0)</x:f>
        <x:v>1</x:v>
      </x:c>
      <x:c r="J138" s="45" t="n">
        <x:f>0</x:f>
        <x:v>0</x:v>
      </x:c>
      <x:c r="K138" s="45" t="n">
        <x:f>MAX((3/2)*$C138+$D138-(1/2)*$B138,0)</x:f>
        <x:v>1</x:v>
      </x:c>
      <x:c r="L138" s="45" t="n">
        <x:f>F138+I138</x:f>
        <x:v>1</x:v>
      </x:c>
      <x:c r="M138" s="45" t="n">
        <x:f>G138+J138</x:f>
        <x:v>1</x:v>
      </x:c>
      <x:c r="N138" s="45" t="n">
        <x:f>H138+K138</x:f>
        <x:v>1</x:v>
      </x:c>
      <x:c r="O138" s="45" t="n">
        <x:f>SUM(F138:H138)</x:f>
        <x:v>1</x:v>
      </x:c>
      <x:c r="P138" s="42" t="n">
        <x:f>IF(AND(F138&lt;=F186,F138&lt;=F170,F138&lt;=F154,G138&lt;=G142,G138&lt;=G130,G138&lt;=G134,H138&lt;=H141,H138&lt;=H140,H138&lt;=H139),1,0)</x:f>
        <x:v>0</x:v>
      </x:c>
      <x:c r="Q138" s="42" t="n">
        <x:f>IF(AND(L138&lt;=L186,L138&lt;=L170,L138&lt;=L154,M138&lt;=M142,M138&lt;=M130,M138&lt;=M134,N138&lt;=N141,N138&lt;=N140,N138&lt;=N139),1,0)</x:f>
        <x:v>0</x:v>
      </x:c>
      <x:c r="R138" s="42" t="n">
        <x:v>0</x:v>
      </x:c>
      <x:c r="S138" s="42" t="n">
        <x:v>0</x:v>
      </x:c>
    </x:row>
    <x:row r="139">
      <x:c r="A139" t="n">
        <x:v>3</x:v>
      </x:c>
      <x:c r="B139" t="n">
        <x:v>0</x:v>
      </x:c>
      <x:c r="C139" t="n">
        <x:v>0</x:v>
      </x:c>
      <x:c r="D139" t="n">
        <x:v>1</x:v>
      </x:c>
      <x:c r="E139" t="str">
        <x:v>eol</x:v>
      </x:c>
      <x:c r="F139" s="45" t="n">
        <x:f>1*$B139</x:f>
        <x:v>0</x:v>
      </x:c>
      <x:c r="G139" s="45" t="n">
        <x:f>0</x:f>
        <x:v>0</x:v>
      </x:c>
      <x:c r="H139" s="45" t="n">
        <x:f>1*$D139</x:f>
        <x:v>1</x:v>
      </x:c>
      <x:c r="I139" s="45" t="n">
        <x:f>0</x:f>
        <x:v>0</x:v>
      </x:c>
      <x:c r="J139" s="45" t="n">
        <x:f>0</x:f>
        <x:v>0</x:v>
      </x:c>
      <x:c r="K139" s="45" t="n">
        <x:f>0</x:f>
        <x:v>0</x:v>
      </x:c>
      <x:c r="L139" s="45" t="n">
        <x:f>F139+I139</x:f>
        <x:v>0</x:v>
      </x:c>
      <x:c r="M139" s="45" t="n">
        <x:f>G139+J139</x:f>
        <x:v>0</x:v>
      </x:c>
      <x:c r="N139" s="45" t="n">
        <x:f>H139+K139</x:f>
        <x:v>1</x:v>
      </x:c>
      <x:c r="O139" s="45" t="n">
        <x:f>SUM(F139:H139)</x:f>
        <x:v>1</x:v>
      </x:c>
      <x:c r="P139" s="42" t="n">
        <x:f>IF(AND(F139&lt;=F187,F139&lt;=F171,F139&lt;=F155,G139&lt;=G143,G139&lt;=G131,G139&lt;=G135,H139&lt;=H141,H139&lt;=H138,H139&lt;=H140),1,0)</x:f>
        <x:v>0</x:v>
      </x:c>
      <x:c r="Q139" s="42" t="n">
        <x:f>IF(AND(L139&lt;=L187,L139&lt;=L171,L139&lt;=L155,M139&lt;=M143,M139&lt;=M131,M139&lt;=M135,N139&lt;=N141,N139&lt;=N138,N139&lt;=N140),1,0)</x:f>
        <x:v>0</x:v>
      </x:c>
      <x:c r="R139" s="42" t="n">
        <x:v>0</x:v>
      </x:c>
      <x:c r="S139" s="42" t="n">
        <x:v>0</x:v>
      </x:c>
    </x:row>
    <x:row r="140">
      <x:c r="A140" t="n">
        <x:v>3</x:v>
      </x:c>
      <x:c r="B140" t="n">
        <x:v>0</x:v>
      </x:c>
      <x:c r="C140" t="n">
        <x:v>0</x:v>
      </x:c>
      <x:c r="D140" t="n">
        <x:v>1</x:v>
      </x:c>
      <x:c r="E140" t="str">
        <x:v>eoo</x:v>
      </x:c>
      <x:c r="F140" s="45" t="n">
        <x:f>1*$B140</x:f>
        <x:v>0</x:v>
      </x:c>
      <x:c r="G140" s="45" t="n">
        <x:f>(1/2)*$C140+(1/2)*$D140</x:f>
        <x:v>0.5</x:v>
      </x:c>
      <x:c r="H140" s="45" t="n">
        <x:f>(1/2)*$C140+(1/2)*$D140</x:f>
        <x:v>0.5</x:v>
      </x:c>
      <x:c r="I140" s="45" t="n">
        <x:f>0</x:f>
        <x:v>0</x:v>
      </x:c>
      <x:c r="J140" s="45" t="n">
        <x:f>(1/2)*($C140+$D140)</x:f>
        <x:v>0.5</x:v>
      </x:c>
      <x:c r="K140" s="45" t="n">
        <x:f>(1/2)*($C140+$D140)</x:f>
        <x:v>0.5</x:v>
      </x:c>
      <x:c r="L140" s="45" t="n">
        <x:f>F140+I140</x:f>
        <x:v>0</x:v>
      </x:c>
      <x:c r="M140" s="45" t="n">
        <x:f>G140+J140</x:f>
        <x:v>1</x:v>
      </x:c>
      <x:c r="N140" s="45" t="n">
        <x:f>H140+K140</x:f>
        <x:v>1</x:v>
      </x:c>
      <x:c r="O140" s="45" t="n">
        <x:f>SUM(F140:H140)</x:f>
        <x:v>1</x:v>
      </x:c>
      <x:c r="P140" s="42" t="n">
        <x:f>IF(AND(F140&lt;=F188,F140&lt;=F172,F140&lt;=F156,G140&lt;=G144,G140&lt;=G132,G140&lt;=G136,H140&lt;=H141,H140&lt;=H138,H140&lt;=H139),1,0)</x:f>
        <x:v>0</x:v>
      </x:c>
      <x:c r="Q140" s="42" t="n">
        <x:f>IF(AND(L140&lt;=L188,L140&lt;=L172,L140&lt;=L156,M140&lt;=M144,M140&lt;=M132,M140&lt;=M136,N140&lt;=N141,N140&lt;=N138,N140&lt;=N139),1,0)</x:f>
        <x:v>0</x:v>
      </x:c>
      <x:c r="R140" s="42" t="n">
        <x:v>0</x:v>
      </x:c>
      <x:c r="S140" s="42" t="n">
        <x:v>0</x:v>
      </x:c>
    </x:row>
    <x:row r="141">
      <x:c r="A141" t="n">
        <x:v>3</x:v>
      </x:c>
      <x:c r="B141" t="n">
        <x:v>0</x:v>
      </x:c>
      <x:c r="C141" t="n">
        <x:v>0</x:v>
      </x:c>
      <x:c r="D141" t="n">
        <x:v>1</x:v>
      </x:c>
      <x:c r="E141" t="str">
        <x:v>eov</x:v>
      </x:c>
      <x:c r="F141" s="45" t="n">
        <x:f>1*$B141</x:f>
        <x:v>0</x:v>
      </x:c>
      <x:c r="G141" s="45" t="n">
        <x:f>0</x:f>
        <x:v>0</x:v>
      </x:c>
      <x:c r="H141" s="45" t="n">
        <x:f>2*$B141</x:f>
        <x:v>0</x:v>
      </x:c>
      <x:c r="I141" s="45" t="n">
        <x:f>0</x:f>
        <x:v>0</x:v>
      </x:c>
      <x:c r="J141" s="45" t="n">
        <x:f>0</x:f>
        <x:v>0</x:v>
      </x:c>
      <x:c r="K141" s="45" t="n">
        <x:f>0</x:f>
        <x:v>0</x:v>
      </x:c>
      <x:c r="L141" s="45" t="n">
        <x:f>F141+I141</x:f>
        <x:v>0</x:v>
      </x:c>
      <x:c r="M141" s="45" t="n">
        <x:f>G141+J141</x:f>
        <x:v>0</x:v>
      </x:c>
      <x:c r="N141" s="45" t="n">
        <x:f>H141+K141</x:f>
        <x:v>0</x:v>
      </x:c>
      <x:c r="O141" s="45" t="n">
        <x:f>SUM(F141:H141)</x:f>
        <x:v>0</x:v>
      </x:c>
      <x:c r="P141" s="42" t="n">
        <x:f>IF(AND(F141&lt;=F189,F141&lt;=F173,F141&lt;=F157,G141&lt;=G145,G141&lt;=G133,G141&lt;=G137,H141&lt;=H138,H141&lt;=H140,H141&lt;=H139),1,0)</x:f>
        <x:v>1</x:v>
      </x:c>
      <x:c r="Q141" s="42" t="n">
        <x:f>IF(AND(L141&lt;=L189,L141&lt;=L173,L141&lt;=L157,M141&lt;=M145,M141&lt;=M133,M141&lt;=M137,N141&lt;=N138,N141&lt;=N140,N141&lt;=N139),1,0)</x:f>
        <x:v>1</x:v>
      </x:c>
      <x:c r="R141" s="42" t="n">
        <x:v>1</x:v>
      </x:c>
      <x:c r="S141" s="42" t="n">
        <x:v>1</x:v>
      </x:c>
    </x:row>
    <x:row r="142">
      <x:c r="A142" t="n">
        <x:v>3</x:v>
      </x:c>
      <x:c r="B142" t="n">
        <x:v>0</x:v>
      </x:c>
      <x:c r="C142" t="n">
        <x:v>0</x:v>
      </x:c>
      <x:c r="D142" t="n">
        <x:v>1</x:v>
      </x:c>
      <x:c r="E142" t="str">
        <x:v>eve</x:v>
      </x:c>
      <x:c r="F142" s="45" t="n">
        <x:f>(1/2)*$B142+(1/2)*$C142</x:f>
        <x:v>0</x:v>
      </x:c>
      <x:c r="G142" s="45" t="n">
        <x:f>2*$B142</x:f>
        <x:v>0</x:v>
      </x:c>
      <x:c r="H142" s="45" t="n">
        <x:f>(1/2)*$B142+(1/2)*$C142</x:f>
        <x:v>0</x:v>
      </x:c>
      <x:c r="I142" s="45" t="n">
        <x:f>MAX((1/2)*($C142-$B142),0)</x:f>
        <x:v>0</x:v>
      </x:c>
      <x:c r="J142" s="45" t="n">
        <x:f>0</x:f>
        <x:v>0</x:v>
      </x:c>
      <x:c r="K142" s="45" t="n">
        <x:f>MAX((1/2)*($C142-$B142),0)</x:f>
        <x:v>0</x:v>
      </x:c>
      <x:c r="L142" s="45" t="n">
        <x:f>F142+I142</x:f>
        <x:v>0</x:v>
      </x:c>
      <x:c r="M142" s="45" t="n">
        <x:f>G142+J142</x:f>
        <x:v>0</x:v>
      </x:c>
      <x:c r="N142" s="45" t="n">
        <x:f>H142+K142</x:f>
        <x:v>0</x:v>
      </x:c>
      <x:c r="O142" s="45" t="n">
        <x:f>SUM(F142:H142)</x:f>
        <x:v>0</x:v>
      </x:c>
      <x:c r="P142" s="42" t="n">
        <x:f>IF(AND(F142&lt;=F190,F142&lt;=F174,F142&lt;=F158,G142&lt;=G130,G142&lt;=G138,G142&lt;=G134,H142&lt;=H145,H142&lt;=H144,H142&lt;=H143),1,0)</x:f>
        <x:v>1</x:v>
      </x:c>
      <x:c r="Q142" s="42" t="n">
        <x:f>IF(AND(L142&lt;=L190,L142&lt;=L174,L142&lt;=L158,M142&lt;=M130,M142&lt;=M138,M142&lt;=M134,N142&lt;=N145,N142&lt;=N144,N142&lt;=N143),1,0)</x:f>
        <x:v>1</x:v>
      </x:c>
      <x:c r="R142" s="42" t="n">
        <x:v>1</x:v>
      </x:c>
      <x:c r="S142" s="42" t="n">
        <x:v>1</x:v>
      </x:c>
    </x:row>
    <x:row r="143">
      <x:c r="A143" t="n">
        <x:v>3</x:v>
      </x:c>
      <x:c r="B143" t="n">
        <x:v>0</x:v>
      </x:c>
      <x:c r="C143" t="n">
        <x:v>0</x:v>
      </x:c>
      <x:c r="D143" t="n">
        <x:v>1</x:v>
      </x:c>
      <x:c r="E143" t="str">
        <x:v>evl</x:v>
      </x:c>
      <x:c r="F143" s="45" t="n">
        <x:f>1*$B143</x:f>
        <x:v>0</x:v>
      </x:c>
      <x:c r="G143" s="45" t="n">
        <x:f>2*$B143</x:f>
        <x:v>0</x:v>
      </x:c>
      <x:c r="H143" s="45" t="n">
        <x:f>1*$D143</x:f>
        <x:v>1</x:v>
      </x:c>
      <x:c r="I143" s="45" t="n">
        <x:f>0</x:f>
        <x:v>0</x:v>
      </x:c>
      <x:c r="J143" s="45" t="n">
        <x:f>0</x:f>
        <x:v>0</x:v>
      </x:c>
      <x:c r="K143" s="45" t="n">
        <x:f>0</x:f>
        <x:v>0</x:v>
      </x:c>
      <x:c r="L143" s="45" t="n">
        <x:f>F143+I143</x:f>
        <x:v>0</x:v>
      </x:c>
      <x:c r="M143" s="45" t="n">
        <x:f>G143+J143</x:f>
        <x:v>0</x:v>
      </x:c>
      <x:c r="N143" s="45" t="n">
        <x:f>H143+K143</x:f>
        <x:v>1</x:v>
      </x:c>
      <x:c r="O143" s="45" t="n">
        <x:f>SUM(F143:H143)</x:f>
        <x:v>1</x:v>
      </x:c>
      <x:c r="P143" s="42" t="n">
        <x:f>IF(AND(F143&lt;=F191,F143&lt;=F175,F143&lt;=F159,G143&lt;=G131,G143&lt;=G139,G143&lt;=G135,H143&lt;=H145,H143&lt;=H142,H143&lt;=H144),1,0)</x:f>
        <x:v>0</x:v>
      </x:c>
      <x:c r="Q143" s="42" t="n">
        <x:f>IF(AND(L143&lt;=L191,L143&lt;=L175,L143&lt;=L159,M143&lt;=M131,M143&lt;=M139,M143&lt;=M135,N143&lt;=N145,N143&lt;=N142,N143&lt;=N144),1,0)</x:f>
        <x:v>0</x:v>
      </x:c>
      <x:c r="R143" s="42" t="n">
        <x:v>0</x:v>
      </x:c>
      <x:c r="S143" s="42" t="n">
        <x:v>0</x:v>
      </x:c>
    </x:row>
    <x:row r="144">
      <x:c r="A144" t="n">
        <x:v>3</x:v>
      </x:c>
      <x:c r="B144" t="n">
        <x:v>0</x:v>
      </x:c>
      <x:c r="C144" t="n">
        <x:v>0</x:v>
      </x:c>
      <x:c r="D144" t="n">
        <x:v>1</x:v>
      </x:c>
      <x:c r="E144" t="str">
        <x:v>evo</x:v>
      </x:c>
      <x:c r="F144" s="45" t="n">
        <x:f>1*$B144</x:f>
        <x:v>0</x:v>
      </x:c>
      <x:c r="G144" s="45" t="n">
        <x:f>2*$B144</x:f>
        <x:v>0</x:v>
      </x:c>
      <x:c r="H144" s="45" t="n">
        <x:f>0</x:f>
        <x:v>0</x:v>
      </x:c>
      <x:c r="I144" s="45" t="n">
        <x:f>0</x:f>
        <x:v>0</x:v>
      </x:c>
      <x:c r="J144" s="45" t="n">
        <x:f>0</x:f>
        <x:v>0</x:v>
      </x:c>
      <x:c r="K144" s="45" t="n">
        <x:f>0</x:f>
        <x:v>0</x:v>
      </x:c>
      <x:c r="L144" s="45" t="n">
        <x:f>F144+I144</x:f>
        <x:v>0</x:v>
      </x:c>
      <x:c r="M144" s="45" t="n">
        <x:f>G144+J144</x:f>
        <x:v>0</x:v>
      </x:c>
      <x:c r="N144" s="45" t="n">
        <x:f>H144+K144</x:f>
        <x:v>0</x:v>
      </x:c>
      <x:c r="O144" s="45" t="n">
        <x:f>SUM(F144:H144)</x:f>
        <x:v>0</x:v>
      </x:c>
      <x:c r="P144" s="42" t="n">
        <x:f>IF(AND(F144&lt;=F192,F144&lt;=F176,F144&lt;=F160,G144&lt;=G132,G144&lt;=G140,G144&lt;=G136,H144&lt;=H145,H144&lt;=H142,H144&lt;=H143),1,0)</x:f>
        <x:v>1</x:v>
      </x:c>
      <x:c r="Q144" s="42" t="n">
        <x:f>IF(AND(L144&lt;=L192,L144&lt;=L176,L144&lt;=L160,M144&lt;=M132,M144&lt;=M140,M144&lt;=M136,N144&lt;=N145,N144&lt;=N142,N144&lt;=N143),1,0)</x:f>
        <x:v>1</x:v>
      </x:c>
      <x:c r="R144" s="42" t="n">
        <x:v>1</x:v>
      </x:c>
      <x:c r="S144" s="42" t="n">
        <x:v>1</x:v>
      </x:c>
    </x:row>
    <x:row r="145">
      <x:c r="A145" t="n">
        <x:v>3</x:v>
      </x:c>
      <x:c r="B145" t="n">
        <x:v>0</x:v>
      </x:c>
      <x:c r="C145" t="n">
        <x:v>0</x:v>
      </x:c>
      <x:c r="D145" t="n">
        <x:v>1</x:v>
      </x:c>
      <x:c r="E145" t="str">
        <x:v>evv</x:v>
      </x:c>
      <x:c r="F145" s="45" t="n">
        <x:f>1*$C145</x:f>
        <x:v>0</x:v>
      </x:c>
      <x:c r="G145" s="45" t="n">
        <x:f>(3/2)*$B145+(1/2)*$C145</x:f>
        <x:v>0</x:v>
      </x:c>
      <x:c r="H145" s="45" t="n">
        <x:f>(3/2)*$B145+(1/2)*$C145</x:f>
        <x:v>0</x:v>
      </x:c>
      <x:c r="I145" s="45" t="n">
        <x:f>0</x:f>
        <x:v>0</x:v>
      </x:c>
      <x:c r="J145" s="45" t="n">
        <x:f>MAX((3/2)*($C145-$B145),0)</x:f>
        <x:v>0</x:v>
      </x:c>
      <x:c r="K145" s="45" t="n">
        <x:f>MAX((3/2)*($C145-$B145),0)</x:f>
        <x:v>0</x:v>
      </x:c>
      <x:c r="L145" s="45" t="n">
        <x:f>F145+I145</x:f>
        <x:v>0</x:v>
      </x:c>
      <x:c r="M145" s="45" t="n">
        <x:f>G145+J145</x:f>
        <x:v>0</x:v>
      </x:c>
      <x:c r="N145" s="45" t="n">
        <x:f>H145+K145</x:f>
        <x:v>0</x:v>
      </x:c>
      <x:c r="O145" s="45" t="n">
        <x:f>SUM(F145:H145)</x:f>
        <x:v>0</x:v>
      </x:c>
      <x:c r="P145" s="42" t="n">
        <x:f>IF(AND(F145&lt;=F193,F145&lt;=F177,F145&lt;=F161,G145&lt;=G133,G145&lt;=G141,G145&lt;=G137,H145&lt;=H142,H145&lt;=H144,H145&lt;=H143),1,0)</x:f>
        <x:v>1</x:v>
      </x:c>
      <x:c r="Q145" s="42" t="n">
        <x:f>IF(AND(L145&lt;=L193,L145&lt;=L177,L145&lt;=L161,M145&lt;=M133,M145&lt;=M141,M145&lt;=M137,N145&lt;=N142,N145&lt;=N144,N145&lt;=N143),1,0)</x:f>
        <x:v>1</x:v>
      </x:c>
      <x:c r="R145" s="42" t="n">
        <x:v>1</x:v>
      </x:c>
      <x:c r="S145" s="42" t="n">
        <x:v>1</x:v>
      </x:c>
    </x:row>
    <x:row r="146">
      <x:c r="A146" t="n">
        <x:v>3</x:v>
      </x:c>
      <x:c r="B146" t="n">
        <x:v>0</x:v>
      </x:c>
      <x:c r="C146" t="n">
        <x:v>0</x:v>
      </x:c>
      <x:c r="D146" t="n">
        <x:v>1</x:v>
      </x:c>
      <x:c r="E146" t="str">
        <x:v>lee</x:v>
      </x:c>
      <x:c r="F146" s="45" t="n">
        <x:f>1*$D146</x:f>
        <x:v>1</x:v>
      </x:c>
      <x:c r="G146" s="45" t="n">
        <x:f>(1/2)*$B146+(1/2)*$C146</x:f>
        <x:v>0</x:v>
      </x:c>
      <x:c r="H146" s="45" t="n">
        <x:f>(1/2)*$B146+(1/2)*$C146</x:f>
        <x:v>0</x:v>
      </x:c>
      <x:c r="I146" s="45" t="n">
        <x:f>0</x:f>
        <x:v>0</x:v>
      </x:c>
      <x:c r="J146" s="45" t="n">
        <x:f>MAX((1/2)*($C146-$B146),0)</x:f>
        <x:v>0</x:v>
      </x:c>
      <x:c r="K146" s="45" t="n">
        <x:f>MAX((1/2)*($C146-$B146),0)</x:f>
        <x:v>0</x:v>
      </x:c>
      <x:c r="L146" s="45" t="n">
        <x:f>F146+I146</x:f>
        <x:v>1</x:v>
      </x:c>
      <x:c r="M146" s="45" t="n">
        <x:f>G146+J146</x:f>
        <x:v>0</x:v>
      </x:c>
      <x:c r="N146" s="45" t="n">
        <x:f>H146+K146</x:f>
        <x:v>0</x:v>
      </x:c>
      <x:c r="O146" s="45" t="n">
        <x:f>SUM(F146:H146)</x:f>
        <x:v>1</x:v>
      </x:c>
      <x:c r="P146" s="42" t="n">
        <x:f>IF(AND(F146&lt;=F178,F146&lt;=F130,F146&lt;=F162,G146&lt;=G158,G146&lt;=G154,G146&lt;=G150,H146&lt;=H149,H146&lt;=H148,H146&lt;=H147),1,0)</x:f>
        <x:v>0</x:v>
      </x:c>
      <x:c r="Q146" s="42" t="n">
        <x:f>IF(AND(L146&lt;=L178,L146&lt;=L130,L146&lt;=L162,M146&lt;=M158,M146&lt;=M154,M146&lt;=M150,N146&lt;=N149,N146&lt;=N148,N146&lt;=N147),1,0)</x:f>
        <x:v>0</x:v>
      </x:c>
      <x:c r="R146" s="42" t="n">
        <x:v>0</x:v>
      </x:c>
      <x:c r="S146" s="42" t="n">
        <x:v>0</x:v>
      </x:c>
    </x:row>
    <x:row r="147">
      <x:c r="A147" t="n">
        <x:v>3</x:v>
      </x:c>
      <x:c r="B147" t="n">
        <x:v>0</x:v>
      </x:c>
      <x:c r="C147" t="n">
        <x:v>0</x:v>
      </x:c>
      <x:c r="D147" t="n">
        <x:v>1</x:v>
      </x:c>
      <x:c r="E147" t="str">
        <x:v>lel</x:v>
      </x:c>
      <x:c r="F147" s="45" t="n">
        <x:f>(1/2)*$C147+(3/2)*$D147</x:f>
        <x:v>1.5</x:v>
      </x:c>
      <x:c r="G147" s="45" t="n">
        <x:f>1*$B147</x:f>
        <x:v>0</x:v>
      </x:c>
      <x:c r="H147" s="45" t="n">
        <x:f>(1/2)*$C147+(3/2)*$D147</x:f>
        <x:v>1.5</x:v>
      </x:c>
      <x:c r="I147" s="45" t="n">
        <x:f>(1/2)*($C147+$D147)</x:f>
        <x:v>0.5</x:v>
      </x:c>
      <x:c r="J147" s="45" t="n">
        <x:f>0</x:f>
        <x:v>0</x:v>
      </x:c>
      <x:c r="K147" s="45" t="n">
        <x:f>(1/2)*($C147+$D147)</x:f>
        <x:v>0.5</x:v>
      </x:c>
      <x:c r="L147" s="45" t="n">
        <x:f>F147+I147</x:f>
        <x:v>2</x:v>
      </x:c>
      <x:c r="M147" s="45" t="n">
        <x:f>G147+J147</x:f>
        <x:v>0</x:v>
      </x:c>
      <x:c r="N147" s="45" t="n">
        <x:f>H147+K147</x:f>
        <x:v>2</x:v>
      </x:c>
      <x:c r="O147" s="45" t="n">
        <x:f>SUM(F147:H147)</x:f>
        <x:v>3</x:v>
      </x:c>
      <x:c r="P147" s="42" t="n">
        <x:f>IF(AND(F147&lt;=F179,F147&lt;=F131,F147&lt;=F163,G147&lt;=G159,G147&lt;=G155,G147&lt;=G151,H147&lt;=H149,H147&lt;=H146,H147&lt;=H148),1,0)</x:f>
        <x:v>0</x:v>
      </x:c>
      <x:c r="Q147" s="42" t="n">
        <x:f>IF(AND(L147&lt;=L179,L147&lt;=L131,L147&lt;=L163,M147&lt;=M159,M147&lt;=M155,M147&lt;=M151,N147&lt;=N149,N147&lt;=N146,N147&lt;=N148),1,0)</x:f>
        <x:v>0</x:v>
      </x:c>
      <x:c r="R147" s="42" t="n">
        <x:v>0</x:v>
      </x:c>
      <x:c r="S147" s="42" t="n">
        <x:v>0</x:v>
      </x:c>
    </x:row>
    <x:row r="148">
      <x:c r="A148" t="n">
        <x:v>3</x:v>
      </x:c>
      <x:c r="B148" t="n">
        <x:v>0</x:v>
      </x:c>
      <x:c r="C148" t="n">
        <x:v>0</x:v>
      </x:c>
      <x:c r="D148" t="n">
        <x:v>1</x:v>
      </x:c>
      <x:c r="E148" t="str">
        <x:v>leo</x:v>
      </x:c>
      <x:c r="F148" s="45" t="n">
        <x:f>1*$D148</x:f>
        <x:v>1</x:v>
      </x:c>
      <x:c r="G148" s="45" t="n">
        <x:f>1*$B148</x:f>
        <x:v>0</x:v>
      </x:c>
      <x:c r="H148" s="45" t="n">
        <x:f>0</x:f>
        <x:v>0</x:v>
      </x:c>
      <x:c r="I148" s="45" t="n">
        <x:f>0</x:f>
        <x:v>0</x:v>
      </x:c>
      <x:c r="J148" s="45" t="n">
        <x:f>0</x:f>
        <x:v>0</x:v>
      </x:c>
      <x:c r="K148" s="45" t="n">
        <x:f>0</x:f>
        <x:v>0</x:v>
      </x:c>
      <x:c r="L148" s="45" t="n">
        <x:f>F148+I148</x:f>
        <x:v>1</x:v>
      </x:c>
      <x:c r="M148" s="45" t="n">
        <x:f>G148+J148</x:f>
        <x:v>0</x:v>
      </x:c>
      <x:c r="N148" s="45" t="n">
        <x:f>H148+K148</x:f>
        <x:v>0</x:v>
      </x:c>
      <x:c r="O148" s="45" t="n">
        <x:f>SUM(F148:H148)</x:f>
        <x:v>1</x:v>
      </x:c>
      <x:c r="P148" s="42" t="n">
        <x:f>IF(AND(F148&lt;=F180,F148&lt;=F132,F148&lt;=F164,G148&lt;=G160,G148&lt;=G156,G148&lt;=G152,H148&lt;=H149,H148&lt;=H146,H148&lt;=H147),1,0)</x:f>
        <x:v>0</x:v>
      </x:c>
      <x:c r="Q148" s="42" t="n">
        <x:f>IF(AND(L148&lt;=L180,L148&lt;=L132,L148&lt;=L164,M148&lt;=M160,M148&lt;=M156,M148&lt;=M152,N148&lt;=N149,N148&lt;=N146,N148&lt;=N147),1,0)</x:f>
        <x:v>0</x:v>
      </x:c>
      <x:c r="R148" s="42" t="n">
        <x:v>0</x:v>
      </x:c>
      <x:c r="S148" s="42" t="n">
        <x:v>0</x:v>
      </x:c>
    </x:row>
    <x:row r="149">
      <x:c r="A149" t="n">
        <x:v>3</x:v>
      </x:c>
      <x:c r="B149" t="n">
        <x:v>0</x:v>
      </x:c>
      <x:c r="C149" t="n">
        <x:v>0</x:v>
      </x:c>
      <x:c r="D149" t="n">
        <x:v>1</x:v>
      </x:c>
      <x:c r="E149" t="str">
        <x:v>lev</x:v>
      </x:c>
      <x:c r="F149" s="45" t="n">
        <x:f>1*$D149</x:f>
        <x:v>1</x:v>
      </x:c>
      <x:c r="G149" s="45" t="n">
        <x:f>1*$B149</x:f>
        <x:v>0</x:v>
      </x:c>
      <x:c r="H149" s="45" t="n">
        <x:f>2*$B149</x:f>
        <x:v>0</x:v>
      </x:c>
      <x:c r="I149" s="45" t="n">
        <x:f>0</x:f>
        <x:v>0</x:v>
      </x:c>
      <x:c r="J149" s="45" t="n">
        <x:f>0</x:f>
        <x:v>0</x:v>
      </x:c>
      <x:c r="K149" s="45" t="n">
        <x:f>0</x:f>
        <x:v>0</x:v>
      </x:c>
      <x:c r="L149" s="45" t="n">
        <x:f>F149+I149</x:f>
        <x:v>1</x:v>
      </x:c>
      <x:c r="M149" s="45" t="n">
        <x:f>G149+J149</x:f>
        <x:v>0</x:v>
      </x:c>
      <x:c r="N149" s="45" t="n">
        <x:f>H149+K149</x:f>
        <x:v>0</x:v>
      </x:c>
      <x:c r="O149" s="45" t="n">
        <x:f>SUM(F149:H149)</x:f>
        <x:v>1</x:v>
      </x:c>
      <x:c r="P149" s="42" t="n">
        <x:f>IF(AND(F149&lt;=F181,F149&lt;=F133,F149&lt;=F165,G149&lt;=G161,G149&lt;=G157,G149&lt;=G153,H149&lt;=H146,H149&lt;=H148,H149&lt;=H147),1,0)</x:f>
        <x:v>0</x:v>
      </x:c>
      <x:c r="Q149" s="42" t="n">
        <x:f>IF(AND(L149&lt;=L181,L149&lt;=L133,L149&lt;=L165,M149&lt;=M161,M149&lt;=M157,M149&lt;=M153,N149&lt;=N146,N149&lt;=N148,N149&lt;=N147),1,0)</x:f>
        <x:v>0</x:v>
      </x:c>
      <x:c r="R149" s="42" t="n">
        <x:v>0</x:v>
      </x:c>
      <x:c r="S149" s="42" t="n">
        <x:v>0</x:v>
      </x:c>
    </x:row>
    <x:row r="150">
      <x:c r="A150" t="n">
        <x:v>3</x:v>
      </x:c>
      <x:c r="B150" t="n">
        <x:v>0</x:v>
      </x:c>
      <x:c r="C150" t="n">
        <x:v>0</x:v>
      </x:c>
      <x:c r="D150" t="n">
        <x:v>1</x:v>
      </x:c>
      <x:c r="E150" t="str">
        <x:v>lle</x:v>
      </x:c>
      <x:c r="F150" s="45" t="n">
        <x:f>(1/2)*$C150+(3/2)*$D150</x:f>
        <x:v>1.5</x:v>
      </x:c>
      <x:c r="G150" s="45" t="n">
        <x:f>(1/2)*$C150+(3/2)*$D150</x:f>
        <x:v>1.5</x:v>
      </x:c>
      <x:c r="H150" s="45" t="n">
        <x:f>1*$B150</x:f>
        <x:v>0</x:v>
      </x:c>
      <x:c r="I150" s="45" t="n">
        <x:f>(1/2)*($C150+$D150)</x:f>
        <x:v>0.5</x:v>
      </x:c>
      <x:c r="J150" s="45" t="n">
        <x:f>(1/2)*($C150+$D150)</x:f>
        <x:v>0.5</x:v>
      </x:c>
      <x:c r="K150" s="45" t="n">
        <x:f>0</x:f>
        <x:v>0</x:v>
      </x:c>
      <x:c r="L150" s="45" t="n">
        <x:f>F150+I150</x:f>
        <x:v>2</x:v>
      </x:c>
      <x:c r="M150" s="45" t="n">
        <x:f>G150+J150</x:f>
        <x:v>2</x:v>
      </x:c>
      <x:c r="N150" s="45" t="n">
        <x:f>H150+K150</x:f>
        <x:v>0</x:v>
      </x:c>
      <x:c r="O150" s="45" t="n">
        <x:f>SUM(F150:H150)</x:f>
        <x:v>3</x:v>
      </x:c>
      <x:c r="P150" s="42" t="n">
        <x:f>IF(AND(F150&lt;=F182,F150&lt;=F134,F150&lt;=F166,G150&lt;=G158,G150&lt;=G146,G150&lt;=G154,H150&lt;=H153,H150&lt;=H152,H150&lt;=H151),1,0)</x:f>
        <x:v>0</x:v>
      </x:c>
      <x:c r="Q150" s="42" t="n">
        <x:f>IF(AND(L150&lt;=L182,L150&lt;=L134,L150&lt;=L166,M150&lt;=M158,M150&lt;=M146,M150&lt;=M154,N150&lt;=N153,N150&lt;=N152,N150&lt;=N151),1,0)</x:f>
        <x:v>0</x:v>
      </x:c>
      <x:c r="R150" s="42" t="n">
        <x:v>0</x:v>
      </x:c>
      <x:c r="S150" s="42" t="n">
        <x:v>0</x:v>
      </x:c>
    </x:row>
    <x:row r="151">
      <x:c r="A151" t="n">
        <x:v>3</x:v>
      </x:c>
      <x:c r="B151" t="n">
        <x:v>0</x:v>
      </x:c>
      <x:c r="C151" t="n">
        <x:v>0</x:v>
      </x:c>
      <x:c r="D151" t="n">
        <x:v>1</x:v>
      </x:c>
      <x:c r="E151" t="str">
        <x:v>lll</x:v>
      </x:c>
      <x:c r="F151" s="45" t="n">
        <x:f>1*$C151+2*$D151</x:f>
        <x:v>2</x:v>
      </x:c>
      <x:c r="G151" s="45" t="n">
        <x:f>1*$C151+2*$D151</x:f>
        <x:v>2</x:v>
      </x:c>
      <x:c r="H151" s="45" t="n">
        <x:f>1*$C151+2*$D151</x:f>
        <x:v>2</x:v>
      </x:c>
      <x:c r="I151" s="45" t="n">
        <x:f>$C151+$D151</x:f>
        <x:v>1</x:v>
      </x:c>
      <x:c r="J151" s="45" t="n">
        <x:f>$C151+$D151</x:f>
        <x:v>1</x:v>
      </x:c>
      <x:c r="K151" s="45" t="n">
        <x:f>$C151+$D151</x:f>
        <x:v>1</x:v>
      </x:c>
      <x:c r="L151" s="45" t="n">
        <x:f>F151+I151</x:f>
        <x:v>3</x:v>
      </x:c>
      <x:c r="M151" s="45" t="n">
        <x:f>G151+J151</x:f>
        <x:v>3</x:v>
      </x:c>
      <x:c r="N151" s="45" t="n">
        <x:f>H151+K151</x:f>
        <x:v>3</x:v>
      </x:c>
      <x:c r="O151" s="45" t="n">
        <x:f>SUM(F151:H151)</x:f>
        <x:v>6</x:v>
      </x:c>
      <x:c r="P151" s="42" t="n">
        <x:f>IF(AND(F151&lt;=F183,F151&lt;=F135,F151&lt;=F167,G151&lt;=G159,G151&lt;=G147,G151&lt;=G155,H151&lt;=H153,H151&lt;=H150,H151&lt;=H152),1,0)</x:f>
        <x:v>0</x:v>
      </x:c>
      <x:c r="Q151" s="42" t="n">
        <x:f>IF(AND(L151&lt;=L183,L151&lt;=L135,L151&lt;=L167,M151&lt;=M159,M151&lt;=M147,M151&lt;=M155,N151&lt;=N153,N151&lt;=N150,N151&lt;=N152),1,0)</x:f>
        <x:v>0</x:v>
      </x:c>
      <x:c r="R151" s="42" t="n">
        <x:v>0</x:v>
      </x:c>
      <x:c r="S151" s="42" t="n">
        <x:v>0</x:v>
      </x:c>
    </x:row>
    <x:row r="152">
      <x:c r="A152" t="n">
        <x:v>3</x:v>
      </x:c>
      <x:c r="B152" t="n">
        <x:v>0</x:v>
      </x:c>
      <x:c r="C152" t="n">
        <x:v>0</x:v>
      </x:c>
      <x:c r="D152" t="n">
        <x:v>1</x:v>
      </x:c>
      <x:c r="E152" t="str">
        <x:v>llo</x:v>
      </x:c>
      <x:c r="F152" s="45" t="n">
        <x:f>(1/2)*$C152+(3/2)*$D152</x:f>
        <x:v>1.5</x:v>
      </x:c>
      <x:c r="G152" s="45" t="n">
        <x:f>(1/2)*$C152+(3/2)*$D152</x:f>
        <x:v>1.5</x:v>
      </x:c>
      <x:c r="H152" s="45" t="n">
        <x:f>0</x:f>
        <x:v>0</x:v>
      </x:c>
      <x:c r="I152" s="45" t="n">
        <x:f>(1/2)*($C152+$D152)</x:f>
        <x:v>0.5</x:v>
      </x:c>
      <x:c r="J152" s="45" t="n">
        <x:f>(1/2)*($C152+$D152)</x:f>
        <x:v>0.5</x:v>
      </x:c>
      <x:c r="K152" s="45" t="n">
        <x:f>0</x:f>
        <x:v>0</x:v>
      </x:c>
      <x:c r="L152" s="45" t="n">
        <x:f>F152+I152</x:f>
        <x:v>2</x:v>
      </x:c>
      <x:c r="M152" s="45" t="n">
        <x:f>G152+J152</x:f>
        <x:v>2</x:v>
      </x:c>
      <x:c r="N152" s="45" t="n">
        <x:f>H152+K152</x:f>
        <x:v>0</x:v>
      </x:c>
      <x:c r="O152" s="45" t="n">
        <x:f>SUM(F152:H152)</x:f>
        <x:v>3</x:v>
      </x:c>
      <x:c r="P152" s="42" t="n">
        <x:f>IF(AND(F152&lt;=F184,F152&lt;=F136,F152&lt;=F168,G152&lt;=G160,G152&lt;=G148,G152&lt;=G156,H152&lt;=H153,H152&lt;=H150,H152&lt;=H151),1,0)</x:f>
        <x:v>0</x:v>
      </x:c>
      <x:c r="Q152" s="42" t="n">
        <x:f>IF(AND(L152&lt;=L184,L152&lt;=L136,L152&lt;=L168,M152&lt;=M160,M152&lt;=M148,M152&lt;=M156,N152&lt;=N153,N152&lt;=N150,N152&lt;=N151),1,0)</x:f>
        <x:v>0</x:v>
      </x:c>
      <x:c r="R152" s="42" t="n">
        <x:v>0</x:v>
      </x:c>
      <x:c r="S152" s="42" t="n">
        <x:v>0</x:v>
      </x:c>
    </x:row>
    <x:row r="153">
      <x:c r="A153" t="n">
        <x:v>3</x:v>
      </x:c>
      <x:c r="B153" t="n">
        <x:v>0</x:v>
      </x:c>
      <x:c r="C153" t="n">
        <x:v>0</x:v>
      </x:c>
      <x:c r="D153" t="n">
        <x:v>1</x:v>
      </x:c>
      <x:c r="E153" t="str">
        <x:v>llv</x:v>
      </x:c>
      <x:c r="F153" s="45" t="n">
        <x:f>(1/2)*$C153+(3/2)*$D153</x:f>
        <x:v>1.5</x:v>
      </x:c>
      <x:c r="G153" s="45" t="n">
        <x:f>(1/2)*$C153+(3/2)*$D153</x:f>
        <x:v>1.5</x:v>
      </x:c>
      <x:c r="H153" s="45" t="n">
        <x:f>2*$B153</x:f>
        <x:v>0</x:v>
      </x:c>
      <x:c r="I153" s="45" t="n">
        <x:f>(1/2)*($C153+$D153)</x:f>
        <x:v>0.5</x:v>
      </x:c>
      <x:c r="J153" s="45" t="n">
        <x:f>(1/2)*($C153+$D153)</x:f>
        <x:v>0.5</x:v>
      </x:c>
      <x:c r="K153" s="45" t="n">
        <x:f>0</x:f>
        <x:v>0</x:v>
      </x:c>
      <x:c r="L153" s="45" t="n">
        <x:f>F153+I153</x:f>
        <x:v>2</x:v>
      </x:c>
      <x:c r="M153" s="45" t="n">
        <x:f>G153+J153</x:f>
        <x:v>2</x:v>
      </x:c>
      <x:c r="N153" s="45" t="n">
        <x:f>H153+K153</x:f>
        <x:v>0</x:v>
      </x:c>
      <x:c r="O153" s="45" t="n">
        <x:f>SUM(F153:H153)</x:f>
        <x:v>3</x:v>
      </x:c>
      <x:c r="P153" s="42" t="n">
        <x:f>IF(AND(F153&lt;=F185,F153&lt;=F137,F153&lt;=F169,G153&lt;=G161,G153&lt;=G149,G153&lt;=G157,H153&lt;=H150,H153&lt;=H152,H153&lt;=H151),1,0)</x:f>
        <x:v>0</x:v>
      </x:c>
      <x:c r="Q153" s="42" t="n">
        <x:f>IF(AND(L153&lt;=L185,L153&lt;=L137,L153&lt;=L169,M153&lt;=M161,M153&lt;=M149,M153&lt;=M157,N153&lt;=N150,N153&lt;=N152,N153&lt;=N151),1,0)</x:f>
        <x:v>0</x:v>
      </x:c>
      <x:c r="R153" s="42" t="n">
        <x:v>0</x:v>
      </x:c>
      <x:c r="S153" s="42" t="n">
        <x:v>0</x:v>
      </x:c>
    </x:row>
    <x:row r="154">
      <x:c r="A154" t="n">
        <x:v>3</x:v>
      </x:c>
      <x:c r="B154" t="n">
        <x:v>0</x:v>
      </x:c>
      <x:c r="C154" t="n">
        <x:v>0</x:v>
      </x:c>
      <x:c r="D154" t="n">
        <x:v>1</x:v>
      </x:c>
      <x:c r="E154" t="str">
        <x:v>loe</x:v>
      </x:c>
      <x:c r="F154" s="45" t="n">
        <x:f>1*$D154</x:f>
        <x:v>1</x:v>
      </x:c>
      <x:c r="G154" s="45" t="n">
        <x:f>0</x:f>
        <x:v>0</x:v>
      </x:c>
      <x:c r="H154" s="45" t="n">
        <x:f>1*$B154</x:f>
        <x:v>0</x:v>
      </x:c>
      <x:c r="I154" s="45" t="n">
        <x:f>0</x:f>
        <x:v>0</x:v>
      </x:c>
      <x:c r="J154" s="45" t="n">
        <x:f>0</x:f>
        <x:v>0</x:v>
      </x:c>
      <x:c r="K154" s="45" t="n">
        <x:f>0</x:f>
        <x:v>0</x:v>
      </x:c>
      <x:c r="L154" s="45" t="n">
        <x:f>F154+I154</x:f>
        <x:v>1</x:v>
      </x:c>
      <x:c r="M154" s="45" t="n">
        <x:f>G154+J154</x:f>
        <x:v>0</x:v>
      </x:c>
      <x:c r="N154" s="45" t="n">
        <x:f>H154+K154</x:f>
        <x:v>0</x:v>
      </x:c>
      <x:c r="O154" s="45" t="n">
        <x:f>SUM(F154:H154)</x:f>
        <x:v>1</x:v>
      </x:c>
      <x:c r="P154" s="42" t="n">
        <x:f>IF(AND(F154&lt;=F186,F154&lt;=F138,F154&lt;=F170,G154&lt;=G158,G154&lt;=G146,G154&lt;=G150,H154&lt;=H157,H154&lt;=H156,H154&lt;=H155),1,0)</x:f>
        <x:v>0</x:v>
      </x:c>
      <x:c r="Q154" s="42" t="n">
        <x:f>IF(AND(L154&lt;=L186,L154&lt;=L138,L154&lt;=L170,M154&lt;=M158,M154&lt;=M146,M154&lt;=M150,N154&lt;=N157,N154&lt;=N156,N154&lt;=N155),1,0)</x:f>
        <x:v>0</x:v>
      </x:c>
      <x:c r="R154" s="42" t="n">
        <x:v>0</x:v>
      </x:c>
      <x:c r="S154" s="42" t="n">
        <x:v>0</x:v>
      </x:c>
    </x:row>
    <x:row r="155">
      <x:c r="A155" t="n">
        <x:v>3</x:v>
      </x:c>
      <x:c r="B155" t="n">
        <x:v>0</x:v>
      </x:c>
      <x:c r="C155" t="n">
        <x:v>0</x:v>
      </x:c>
      <x:c r="D155" t="n">
        <x:v>1</x:v>
      </x:c>
      <x:c r="E155" t="str">
        <x:v>lol</x:v>
      </x:c>
      <x:c r="F155" s="45" t="n">
        <x:f>(1/2)*$C155+(3/2)*$D155</x:f>
        <x:v>1.5</x:v>
      </x:c>
      <x:c r="G155" s="45" t="n">
        <x:f>0</x:f>
        <x:v>0</x:v>
      </x:c>
      <x:c r="H155" s="45" t="n">
        <x:f>(1/2)*$C155+(3/2)*$D155</x:f>
        <x:v>1.5</x:v>
      </x:c>
      <x:c r="I155" s="45" t="n">
        <x:f>(1/2)*($C155+$D155)</x:f>
        <x:v>0.5</x:v>
      </x:c>
      <x:c r="J155" s="45" t="n">
        <x:f>0</x:f>
        <x:v>0</x:v>
      </x:c>
      <x:c r="K155" s="45" t="n">
        <x:f>(1/2)*($C155+$D155)</x:f>
        <x:v>0.5</x:v>
      </x:c>
      <x:c r="L155" s="45" t="n">
        <x:f>F155+I155</x:f>
        <x:v>2</x:v>
      </x:c>
      <x:c r="M155" s="45" t="n">
        <x:f>G155+J155</x:f>
        <x:v>0</x:v>
      </x:c>
      <x:c r="N155" s="45" t="n">
        <x:f>H155+K155</x:f>
        <x:v>2</x:v>
      </x:c>
      <x:c r="O155" s="45" t="n">
        <x:f>SUM(F155:H155)</x:f>
        <x:v>3</x:v>
      </x:c>
      <x:c r="P155" s="42" t="n">
        <x:f>IF(AND(F155&lt;=F187,F155&lt;=F139,F155&lt;=F171,G155&lt;=G159,G155&lt;=G147,G155&lt;=G151,H155&lt;=H157,H155&lt;=H154,H155&lt;=H156),1,0)</x:f>
        <x:v>0</x:v>
      </x:c>
      <x:c r="Q155" s="42" t="n">
        <x:f>IF(AND(L155&lt;=L187,L155&lt;=L139,L155&lt;=L171,M155&lt;=M159,M155&lt;=M147,M155&lt;=M151,N155&lt;=N157,N155&lt;=N154,N155&lt;=N156),1,0)</x:f>
        <x:v>0</x:v>
      </x:c>
      <x:c r="R155" s="42" t="n">
        <x:v>0</x:v>
      </x:c>
      <x:c r="S155" s="42" t="n">
        <x:v>0</x:v>
      </x:c>
    </x:row>
    <x:row r="156">
      <x:c r="A156" t="n">
        <x:v>3</x:v>
      </x:c>
      <x:c r="B156" t="n">
        <x:v>0</x:v>
      </x:c>
      <x:c r="C156" t="n">
        <x:v>0</x:v>
      </x:c>
      <x:c r="D156" t="n">
        <x:v>1</x:v>
      </x:c>
      <x:c r="E156" t="str">
        <x:v>loo</x:v>
      </x:c>
      <x:c r="F156" s="45" t="n">
        <x:f>1*$C156+2*$D156</x:f>
        <x:v>2</x:v>
      </x:c>
      <x:c r="G156" s="45" t="n">
        <x:f>(1/2)*$C156+(1/2)*$D156</x:f>
        <x:v>0.5</x:v>
      </x:c>
      <x:c r="H156" s="45" t="n">
        <x:f>(1/2)*$C156+(1/2)*$D156</x:f>
        <x:v>0.5</x:v>
      </x:c>
      <x:c r="I156" s="45" t="n">
        <x:f>0</x:f>
        <x:v>0</x:v>
      </x:c>
      <x:c r="J156" s="45" t="n">
        <x:f>(3/2)*($C156+$D156)</x:f>
        <x:v>1.5</x:v>
      </x:c>
      <x:c r="K156" s="45" t="n">
        <x:f>(3/2)*($C156+$D156)</x:f>
        <x:v>1.5</x:v>
      </x:c>
      <x:c r="L156" s="45" t="n">
        <x:f>F156+I156</x:f>
        <x:v>2</x:v>
      </x:c>
      <x:c r="M156" s="45" t="n">
        <x:f>G156+J156</x:f>
        <x:v>2</x:v>
      </x:c>
      <x:c r="N156" s="45" t="n">
        <x:f>H156+K156</x:f>
        <x:v>2</x:v>
      </x:c>
      <x:c r="O156" s="45" t="n">
        <x:f>SUM(F156:H156)</x:f>
        <x:v>3</x:v>
      </x:c>
      <x:c r="P156" s="42" t="n">
        <x:f>IF(AND(F156&lt;=F188,F156&lt;=F140,F156&lt;=F172,G156&lt;=G160,G156&lt;=G148,G156&lt;=G152,H156&lt;=H157,H156&lt;=H154,H156&lt;=H155),1,0)</x:f>
        <x:v>0</x:v>
      </x:c>
      <x:c r="Q156" s="42" t="n">
        <x:f>IF(AND(L156&lt;=L188,L156&lt;=L140,L156&lt;=L172,M156&lt;=M160,M156&lt;=M148,M156&lt;=M152,N156&lt;=N157,N156&lt;=N154,N156&lt;=N155),1,0)</x:f>
        <x:v>0</x:v>
      </x:c>
      <x:c r="R156" s="42" t="n">
        <x:v>0</x:v>
      </x:c>
      <x:c r="S156" s="42" t="n">
        <x:v>0</x:v>
      </x:c>
    </x:row>
    <x:row r="157">
      <x:c r="A157" t="n">
        <x:v>3</x:v>
      </x:c>
      <x:c r="B157" t="n">
        <x:v>0</x:v>
      </x:c>
      <x:c r="C157" t="n">
        <x:v>0</x:v>
      </x:c>
      <x:c r="D157" t="n">
        <x:v>1</x:v>
      </x:c>
      <x:c r="E157" t="str">
        <x:v>lov</x:v>
      </x:c>
      <x:c r="F157" s="45" t="n">
        <x:f>1*$D157</x:f>
        <x:v>1</x:v>
      </x:c>
      <x:c r="G157" s="45" t="n">
        <x:f>0</x:f>
        <x:v>0</x:v>
      </x:c>
      <x:c r="H157" s="45" t="n">
        <x:f>2*$B157</x:f>
        <x:v>0</x:v>
      </x:c>
      <x:c r="I157" s="45" t="n">
        <x:f>0</x:f>
        <x:v>0</x:v>
      </x:c>
      <x:c r="J157" s="45" t="n">
        <x:f>0</x:f>
        <x:v>0</x:v>
      </x:c>
      <x:c r="K157" s="45" t="n">
        <x:f>0</x:f>
        <x:v>0</x:v>
      </x:c>
      <x:c r="L157" s="45" t="n">
        <x:f>F157+I157</x:f>
        <x:v>1</x:v>
      </x:c>
      <x:c r="M157" s="45" t="n">
        <x:f>G157+J157</x:f>
        <x:v>0</x:v>
      </x:c>
      <x:c r="N157" s="45" t="n">
        <x:f>H157+K157</x:f>
        <x:v>0</x:v>
      </x:c>
      <x:c r="O157" s="45" t="n">
        <x:f>SUM(F157:H157)</x:f>
        <x:v>1</x:v>
      </x:c>
      <x:c r="P157" s="42" t="n">
        <x:f>IF(AND(F157&lt;=F189,F157&lt;=F141,F157&lt;=F173,G157&lt;=G161,G157&lt;=G149,G157&lt;=G153,H157&lt;=H154,H157&lt;=H156,H157&lt;=H155),1,0)</x:f>
        <x:v>0</x:v>
      </x:c>
      <x:c r="Q157" s="42" t="n">
        <x:f>IF(AND(L157&lt;=L189,L157&lt;=L141,L157&lt;=L173,M157&lt;=M161,M157&lt;=M149,M157&lt;=M153,N157&lt;=N154,N157&lt;=N156,N157&lt;=N155),1,0)</x:f>
        <x:v>0</x:v>
      </x:c>
      <x:c r="R157" s="42" t="n">
        <x:v>0</x:v>
      </x:c>
      <x:c r="S157" s="42" t="n">
        <x:v>0</x:v>
      </x:c>
    </x:row>
    <x:row r="158">
      <x:c r="A158" t="n">
        <x:v>3</x:v>
      </x:c>
      <x:c r="B158" t="n">
        <x:v>0</x:v>
      </x:c>
      <x:c r="C158" t="n">
        <x:v>0</x:v>
      </x:c>
      <x:c r="D158" t="n">
        <x:v>1</x:v>
      </x:c>
      <x:c r="E158" t="str">
        <x:v>lve</x:v>
      </x:c>
      <x:c r="F158" s="45" t="n">
        <x:f>1*$D158</x:f>
        <x:v>1</x:v>
      </x:c>
      <x:c r="G158" s="45" t="n">
        <x:f>2*$B158</x:f>
        <x:v>0</x:v>
      </x:c>
      <x:c r="H158" s="45" t="n">
        <x:f>1*$B158</x:f>
        <x:v>0</x:v>
      </x:c>
      <x:c r="I158" s="45" t="n">
        <x:f>0</x:f>
        <x:v>0</x:v>
      </x:c>
      <x:c r="J158" s="45" t="n">
        <x:f>0</x:f>
        <x:v>0</x:v>
      </x:c>
      <x:c r="K158" s="45" t="n">
        <x:f>0</x:f>
        <x:v>0</x:v>
      </x:c>
      <x:c r="L158" s="45" t="n">
        <x:f>F158+I158</x:f>
        <x:v>1</x:v>
      </x:c>
      <x:c r="M158" s="45" t="n">
        <x:f>G158+J158</x:f>
        <x:v>0</x:v>
      </x:c>
      <x:c r="N158" s="45" t="n">
        <x:f>H158+K158</x:f>
        <x:v>0</x:v>
      </x:c>
      <x:c r="O158" s="45" t="n">
        <x:f>SUM(F158:H158)</x:f>
        <x:v>1</x:v>
      </x:c>
      <x:c r="P158" s="42" t="n">
        <x:f>IF(AND(F158&lt;=F190,F158&lt;=F142,F158&lt;=F174,G158&lt;=G146,G158&lt;=G154,G158&lt;=G150,H158&lt;=H161,H158&lt;=H160,H158&lt;=H159),1,0)</x:f>
        <x:v>0</x:v>
      </x:c>
      <x:c r="Q158" s="42" t="n">
        <x:f>IF(AND(L158&lt;=L190,L158&lt;=L142,L158&lt;=L174,M158&lt;=M146,M158&lt;=M154,M158&lt;=M150,N158&lt;=N161,N158&lt;=N160,N158&lt;=N159),1,0)</x:f>
        <x:v>0</x:v>
      </x:c>
      <x:c r="R158" s="42" t="n">
        <x:v>0</x:v>
      </x:c>
      <x:c r="S158" s="42" t="n">
        <x:v>0</x:v>
      </x:c>
    </x:row>
    <x:row r="159">
      <x:c r="A159" t="n">
        <x:v>3</x:v>
      </x:c>
      <x:c r="B159" t="n">
        <x:v>0</x:v>
      </x:c>
      <x:c r="C159" t="n">
        <x:v>0</x:v>
      </x:c>
      <x:c r="D159" t="n">
        <x:v>1</x:v>
      </x:c>
      <x:c r="E159" t="str">
        <x:v>lvl</x:v>
      </x:c>
      <x:c r="F159" s="45" t="n">
        <x:f>(1/2)*$C159+(3/2)*$D159</x:f>
        <x:v>1.5</x:v>
      </x:c>
      <x:c r="G159" s="45" t="n">
        <x:f>2*$B159</x:f>
        <x:v>0</x:v>
      </x:c>
      <x:c r="H159" s="45" t="n">
        <x:f>(1/2)*$C159+(3/2)*$D159</x:f>
        <x:v>1.5</x:v>
      </x:c>
      <x:c r="I159" s="45" t="n">
        <x:f>(1/2)*($C159+$D159)</x:f>
        <x:v>0.5</x:v>
      </x:c>
      <x:c r="J159" s="45" t="n">
        <x:f>0</x:f>
        <x:v>0</x:v>
      </x:c>
      <x:c r="K159" s="45" t="n">
        <x:f>(1/2)*($C159+$D159)</x:f>
        <x:v>0.5</x:v>
      </x:c>
      <x:c r="L159" s="45" t="n">
        <x:f>F159+I159</x:f>
        <x:v>2</x:v>
      </x:c>
      <x:c r="M159" s="45" t="n">
        <x:f>G159+J159</x:f>
        <x:v>0</x:v>
      </x:c>
      <x:c r="N159" s="45" t="n">
        <x:f>H159+K159</x:f>
        <x:v>2</x:v>
      </x:c>
      <x:c r="O159" s="45" t="n">
        <x:f>SUM(F159:H159)</x:f>
        <x:v>3</x:v>
      </x:c>
      <x:c r="P159" s="42" t="n">
        <x:f>IF(AND(F159&lt;=F191,F159&lt;=F143,F159&lt;=F175,G159&lt;=G147,G159&lt;=G155,G159&lt;=G151,H159&lt;=H161,H159&lt;=H158,H159&lt;=H160),1,0)</x:f>
        <x:v>0</x:v>
      </x:c>
      <x:c r="Q159" s="42" t="n">
        <x:f>IF(AND(L159&lt;=L191,L159&lt;=L143,L159&lt;=L175,M159&lt;=M147,M159&lt;=M155,M159&lt;=M151,N159&lt;=N161,N159&lt;=N158,N159&lt;=N160),1,0)</x:f>
        <x:v>0</x:v>
      </x:c>
      <x:c r="R159" s="42" t="n">
        <x:v>0</x:v>
      </x:c>
      <x:c r="S159" s="42" t="n">
        <x:v>0</x:v>
      </x:c>
    </x:row>
    <x:row r="160">
      <x:c r="A160" t="n">
        <x:v>3</x:v>
      </x:c>
      <x:c r="B160" t="n">
        <x:v>0</x:v>
      </x:c>
      <x:c r="C160" t="n">
        <x:v>0</x:v>
      </x:c>
      <x:c r="D160" t="n">
        <x:v>1</x:v>
      </x:c>
      <x:c r="E160" t="str">
        <x:v>lvo</x:v>
      </x:c>
      <x:c r="F160" s="45" t="n">
        <x:f>1*$D160</x:f>
        <x:v>1</x:v>
      </x:c>
      <x:c r="G160" s="45" t="n">
        <x:f>2*$B160</x:f>
        <x:v>0</x:v>
      </x:c>
      <x:c r="H160" s="45" t="n">
        <x:f>0</x:f>
        <x:v>0</x:v>
      </x:c>
      <x:c r="I160" s="45" t="n">
        <x:f>0</x:f>
        <x:v>0</x:v>
      </x:c>
      <x:c r="J160" s="45" t="n">
        <x:f>0</x:f>
        <x:v>0</x:v>
      </x:c>
      <x:c r="K160" s="45" t="n">
        <x:f>0</x:f>
        <x:v>0</x:v>
      </x:c>
      <x:c r="L160" s="45" t="n">
        <x:f>F160+I160</x:f>
        <x:v>1</x:v>
      </x:c>
      <x:c r="M160" s="45" t="n">
        <x:f>G160+J160</x:f>
        <x:v>0</x:v>
      </x:c>
      <x:c r="N160" s="45" t="n">
        <x:f>H160+K160</x:f>
        <x:v>0</x:v>
      </x:c>
      <x:c r="O160" s="45" t="n">
        <x:f>SUM(F160:H160)</x:f>
        <x:v>1</x:v>
      </x:c>
      <x:c r="P160" s="42" t="n">
        <x:f>IF(AND(F160&lt;=F192,F160&lt;=F144,F160&lt;=F176,G160&lt;=G148,G160&lt;=G156,G160&lt;=G152,H160&lt;=H161,H160&lt;=H158,H160&lt;=H159),1,0)</x:f>
        <x:v>0</x:v>
      </x:c>
      <x:c r="Q160" s="42" t="n">
        <x:f>IF(AND(L160&lt;=L192,L160&lt;=L144,L160&lt;=L176,M160&lt;=M148,M160&lt;=M156,M160&lt;=M152,N160&lt;=N161,N160&lt;=N158,N160&lt;=N159),1,0)</x:f>
        <x:v>0</x:v>
      </x:c>
      <x:c r="R160" s="42" t="n">
        <x:v>0</x:v>
      </x:c>
      <x:c r="S160" s="42" t="n">
        <x:v>0</x:v>
      </x:c>
    </x:row>
    <x:row r="161">
      <x:c r="A161" t="n">
        <x:v>3</x:v>
      </x:c>
      <x:c r="B161" t="n">
        <x:v>0</x:v>
      </x:c>
      <x:c r="C161" t="n">
        <x:v>0</x:v>
      </x:c>
      <x:c r="D161" t="n">
        <x:v>1</x:v>
      </x:c>
      <x:c r="E161" t="str">
        <x:v>lvv</x:v>
      </x:c>
      <x:c r="F161" s="45" t="n">
        <x:f>1*$D161</x:f>
        <x:v>1</x:v>
      </x:c>
      <x:c r="G161" s="45" t="n">
        <x:f>(3/2)*$B161+(1/2)*$C161</x:f>
        <x:v>0</x:v>
      </x:c>
      <x:c r="H161" s="45" t="n">
        <x:f>(3/2)*$B161+(1/2)*$C161</x:f>
        <x:v>0</x:v>
      </x:c>
      <x:c r="I161" s="45" t="n">
        <x:f>0</x:f>
        <x:v>0</x:v>
      </x:c>
      <x:c r="J161" s="45" t="n">
        <x:f>MAX((1/2)*($C161-$B161),0)</x:f>
        <x:v>0</x:v>
      </x:c>
      <x:c r="K161" s="45" t="n">
        <x:f>MAX((1/2)*($C161-$B161),0)</x:f>
        <x:v>0</x:v>
      </x:c>
      <x:c r="L161" s="45" t="n">
        <x:f>F161+I161</x:f>
        <x:v>1</x:v>
      </x:c>
      <x:c r="M161" s="45" t="n">
        <x:f>G161+J161</x:f>
        <x:v>0</x:v>
      </x:c>
      <x:c r="N161" s="45" t="n">
        <x:f>H161+K161</x:f>
        <x:v>0</x:v>
      </x:c>
      <x:c r="O161" s="45" t="n">
        <x:f>SUM(F161:H161)</x:f>
        <x:v>1</x:v>
      </x:c>
      <x:c r="P161" s="42" t="n">
        <x:f>IF(AND(F161&lt;=F193,F161&lt;=F145,F161&lt;=F177,G161&lt;=G149,G161&lt;=G157,G161&lt;=G153,H161&lt;=H158,H161&lt;=H160,H161&lt;=H159),1,0)</x:f>
        <x:v>0</x:v>
      </x:c>
      <x:c r="Q161" s="42" t="n">
        <x:f>IF(AND(L161&lt;=L193,L161&lt;=L145,L161&lt;=L177,M161&lt;=M149,M161&lt;=M157,M161&lt;=M153,N161&lt;=N158,N161&lt;=N160,N161&lt;=N159),1,0)</x:f>
        <x:v>0</x:v>
      </x:c>
      <x:c r="R161" s="42" t="n">
        <x:v>0</x:v>
      </x:c>
      <x:c r="S161" s="42" t="n">
        <x:v>0</x:v>
      </x:c>
    </x:row>
    <x:row r="162">
      <x:c r="A162" t="n">
        <x:v>3</x:v>
      </x:c>
      <x:c r="B162" t="n">
        <x:v>0</x:v>
      </x:c>
      <x:c r="C162" t="n">
        <x:v>0</x:v>
      </x:c>
      <x:c r="D162" t="n">
        <x:v>1</x:v>
      </x:c>
      <x:c r="E162" t="str">
        <x:v>oee</x:v>
      </x:c>
      <x:c r="F162" s="45" t="n">
        <x:f>1*$C162+1*$D162</x:f>
        <x:v>1</x:v>
      </x:c>
      <x:c r="G162" s="45" t="n">
        <x:f>(1/2)*$B162+(1/2)*$C162</x:f>
        <x:v>0</x:v>
      </x:c>
      <x:c r="H162" s="45" t="n">
        <x:f>(1/2)*$B162+(1/2)*$C162</x:f>
        <x:v>0</x:v>
      </x:c>
      <x:c r="I162" s="45" t="n">
        <x:f>0</x:f>
        <x:v>0</x:v>
      </x:c>
      <x:c r="J162" s="45" t="n">
        <x:f>MAX((3/2)*$C162+$D162-(1/2)*$B162,0)</x:f>
        <x:v>1</x:v>
      </x:c>
      <x:c r="K162" s="45" t="n">
        <x:f>MAX((3/2)*$C162+$D162-(1/2)*$B162,0)</x:f>
        <x:v>1</x:v>
      </x:c>
      <x:c r="L162" s="45" t="n">
        <x:f>F162+I162</x:f>
        <x:v>1</x:v>
      </x:c>
      <x:c r="M162" s="45" t="n">
        <x:f>G162+J162</x:f>
        <x:v>1</x:v>
      </x:c>
      <x:c r="N162" s="45" t="n">
        <x:f>H162+K162</x:f>
        <x:v>1</x:v>
      </x:c>
      <x:c r="O162" s="45" t="n">
        <x:f>SUM(F162:H162)</x:f>
        <x:v>1</x:v>
      </x:c>
      <x:c r="P162" s="42" t="n">
        <x:f>IF(AND(F162&lt;=F178,F162&lt;=F130,F162&lt;=F146,G162&lt;=G174,G162&lt;=G170,G162&lt;=G166,H162&lt;=H165,H162&lt;=H164,H162&lt;=H163),1,0)</x:f>
        <x:v>0</x:v>
      </x:c>
      <x:c r="Q162" s="42" t="n">
        <x:f>IF(AND(L162&lt;=L178,L162&lt;=L130,L162&lt;=L146,M162&lt;=M174,M162&lt;=M170,M162&lt;=M166,N162&lt;=N165,N162&lt;=N164,N162&lt;=N163),1,0)</x:f>
        <x:v>0</x:v>
      </x:c>
      <x:c r="R162" s="42" t="n">
        <x:v>0</x:v>
      </x:c>
      <x:c r="S162" s="42" t="n">
        <x:v>0</x:v>
      </x:c>
    </x:row>
    <x:row r="163">
      <x:c r="A163" t="n">
        <x:v>3</x:v>
      </x:c>
      <x:c r="B163" t="n">
        <x:v>0</x:v>
      </x:c>
      <x:c r="C163" t="n">
        <x:v>0</x:v>
      </x:c>
      <x:c r="D163" t="n">
        <x:v>1</x:v>
      </x:c>
      <x:c r="E163" t="str">
        <x:v>oel</x:v>
      </x:c>
      <x:c r="F163" s="45" t="n">
        <x:f>0</x:f>
        <x:v>0</x:v>
      </x:c>
      <x:c r="G163" s="45" t="n">
        <x:f>1*$B163</x:f>
        <x:v>0</x:v>
      </x:c>
      <x:c r="H163" s="45" t="n">
        <x:f>1*$D163</x:f>
        <x:v>1</x:v>
      </x:c>
      <x:c r="I163" s="45" t="n">
        <x:f>0</x:f>
        <x:v>0</x:v>
      </x:c>
      <x:c r="J163" s="45" t="n">
        <x:f>0</x:f>
        <x:v>0</x:v>
      </x:c>
      <x:c r="K163" s="45" t="n">
        <x:f>0</x:f>
        <x:v>0</x:v>
      </x:c>
      <x:c r="L163" s="45" t="n">
        <x:f>F163+I163</x:f>
        <x:v>0</x:v>
      </x:c>
      <x:c r="M163" s="45" t="n">
        <x:f>G163+J163</x:f>
        <x:v>0</x:v>
      </x:c>
      <x:c r="N163" s="45" t="n">
        <x:f>H163+K163</x:f>
        <x:v>1</x:v>
      </x:c>
      <x:c r="O163" s="45" t="n">
        <x:f>SUM(F163:H163)</x:f>
        <x:v>1</x:v>
      </x:c>
      <x:c r="P163" s="42" t="n">
        <x:f>IF(AND(F163&lt;=F179,F163&lt;=F131,F163&lt;=F147,G163&lt;=G175,G163&lt;=G171,G163&lt;=G167,H163&lt;=H165,H163&lt;=H162,H163&lt;=H164),1,0)</x:f>
        <x:v>0</x:v>
      </x:c>
      <x:c r="Q163" s="42" t="n">
        <x:f>IF(AND(L163&lt;=L179,L163&lt;=L131,L163&lt;=L147,M163&lt;=M175,M163&lt;=M171,M163&lt;=M167,N163&lt;=N165,N163&lt;=N162,N163&lt;=N164),1,0)</x:f>
        <x:v>0</x:v>
      </x:c>
      <x:c r="R163" s="42" t="n">
        <x:v>0</x:v>
      </x:c>
      <x:c r="S163" s="42" t="n">
        <x:v>0</x:v>
      </x:c>
    </x:row>
    <x:row r="164">
      <x:c r="A164" t="n">
        <x:v>3</x:v>
      </x:c>
      <x:c r="B164" t="n">
        <x:v>0</x:v>
      </x:c>
      <x:c r="C164" t="n">
        <x:v>0</x:v>
      </x:c>
      <x:c r="D164" t="n">
        <x:v>1</x:v>
      </x:c>
      <x:c r="E164" t="str">
        <x:v>oeo</x:v>
      </x:c>
      <x:c r="F164" s="45" t="n">
        <x:f>(1/2)*$C164+(1/2)*$D164</x:f>
        <x:v>0.5</x:v>
      </x:c>
      <x:c r="G164" s="45" t="n">
        <x:f>1*$B164</x:f>
        <x:v>0</x:v>
      </x:c>
      <x:c r="H164" s="45" t="n">
        <x:f>(1/2)*$C164+(1/2)*$D164</x:f>
        <x:v>0.5</x:v>
      </x:c>
      <x:c r="I164" s="45" t="n">
        <x:f>(1/2)*($C164+$D164)</x:f>
        <x:v>0.5</x:v>
      </x:c>
      <x:c r="J164" s="45" t="n">
        <x:f>0</x:f>
        <x:v>0</x:v>
      </x:c>
      <x:c r="K164" s="45" t="n">
        <x:f>(1/2)*($C164+$D164)</x:f>
        <x:v>0.5</x:v>
      </x:c>
      <x:c r="L164" s="45" t="n">
        <x:f>F164+I164</x:f>
        <x:v>1</x:v>
      </x:c>
      <x:c r="M164" s="45" t="n">
        <x:f>G164+J164</x:f>
        <x:v>0</x:v>
      </x:c>
      <x:c r="N164" s="45" t="n">
        <x:f>H164+K164</x:f>
        <x:v>1</x:v>
      </x:c>
      <x:c r="O164" s="45" t="n">
        <x:f>SUM(F164:H164)</x:f>
        <x:v>1</x:v>
      </x:c>
      <x:c r="P164" s="42" t="n">
        <x:f>IF(AND(F164&lt;=F180,F164&lt;=F132,F164&lt;=F148,G164&lt;=G176,G164&lt;=G172,G164&lt;=G168,H164&lt;=H165,H164&lt;=H162,H164&lt;=H163),1,0)</x:f>
        <x:v>0</x:v>
      </x:c>
      <x:c r="Q164" s="42" t="n">
        <x:f>IF(AND(L164&lt;=L180,L164&lt;=L132,L164&lt;=L148,M164&lt;=M176,M164&lt;=M172,M164&lt;=M168,N164&lt;=N165,N164&lt;=N162,N164&lt;=N163),1,0)</x:f>
        <x:v>0</x:v>
      </x:c>
      <x:c r="R164" s="42" t="n">
        <x:v>0</x:v>
      </x:c>
      <x:c r="S164" s="42" t="n">
        <x:v>0</x:v>
      </x:c>
    </x:row>
    <x:row r="165">
      <x:c r="A165" t="n">
        <x:v>3</x:v>
      </x:c>
      <x:c r="B165" t="n">
        <x:v>0</x:v>
      </x:c>
      <x:c r="C165" t="n">
        <x:v>0</x:v>
      </x:c>
      <x:c r="D165" t="n">
        <x:v>1</x:v>
      </x:c>
      <x:c r="E165" t="str">
        <x:v>oev</x:v>
      </x:c>
      <x:c r="F165" s="45" t="n">
        <x:f>0</x:f>
        <x:v>0</x:v>
      </x:c>
      <x:c r="G165" s="45" t="n">
        <x:f>1*$B165</x:f>
        <x:v>0</x:v>
      </x:c>
      <x:c r="H165" s="45" t="n">
        <x:f>2*$B165</x:f>
        <x:v>0</x:v>
      </x:c>
      <x:c r="I165" s="45" t="n">
        <x:f>0</x:f>
        <x:v>0</x:v>
      </x:c>
      <x:c r="J165" s="45" t="n">
        <x:f>0</x:f>
        <x:v>0</x:v>
      </x:c>
      <x:c r="K165" s="45" t="n">
        <x:f>0</x:f>
        <x:v>0</x:v>
      </x:c>
      <x:c r="L165" s="45" t="n">
        <x:f>F165+I165</x:f>
        <x:v>0</x:v>
      </x:c>
      <x:c r="M165" s="45" t="n">
        <x:f>G165+J165</x:f>
        <x:v>0</x:v>
      </x:c>
      <x:c r="N165" s="45" t="n">
        <x:f>H165+K165</x:f>
        <x:v>0</x:v>
      </x:c>
      <x:c r="O165" s="45" t="n">
        <x:f>SUM(F165:H165)</x:f>
        <x:v>0</x:v>
      </x:c>
      <x:c r="P165" s="42" t="n">
        <x:f>IF(AND(F165&lt;=F181,F165&lt;=F133,F165&lt;=F149,G165&lt;=G177,G165&lt;=G173,G165&lt;=G169,H165&lt;=H162,H165&lt;=H164,H165&lt;=H163),1,0)</x:f>
        <x:v>1</x:v>
      </x:c>
      <x:c r="Q165" s="42" t="n">
        <x:f>IF(AND(L165&lt;=L181,L165&lt;=L133,L165&lt;=L149,M165&lt;=M177,M165&lt;=M173,M165&lt;=M169,N165&lt;=N162,N165&lt;=N164,N165&lt;=N163),1,0)</x:f>
        <x:v>1</x:v>
      </x:c>
      <x:c r="R165" s="42" t="n">
        <x:v>1</x:v>
      </x:c>
      <x:c r="S165" s="42" t="n">
        <x:v>1</x:v>
      </x:c>
    </x:row>
    <x:row r="166">
      <x:c r="A166" t="n">
        <x:v>3</x:v>
      </x:c>
      <x:c r="B166" t="n">
        <x:v>0</x:v>
      </x:c>
      <x:c r="C166" t="n">
        <x:v>0</x:v>
      </x:c>
      <x:c r="D166" t="n">
        <x:v>1</x:v>
      </x:c>
      <x:c r="E166" t="str">
        <x:v>ole</x:v>
      </x:c>
      <x:c r="F166" s="45" t="n">
        <x:f>0</x:f>
        <x:v>0</x:v>
      </x:c>
      <x:c r="G166" s="45" t="n">
        <x:f>1*$D166</x:f>
        <x:v>1</x:v>
      </x:c>
      <x:c r="H166" s="45" t="n">
        <x:f>1*$B166</x:f>
        <x:v>0</x:v>
      </x:c>
      <x:c r="I166" s="45" t="n">
        <x:f>0</x:f>
        <x:v>0</x:v>
      </x:c>
      <x:c r="J166" s="45" t="n">
        <x:f>0</x:f>
        <x:v>0</x:v>
      </x:c>
      <x:c r="K166" s="45" t="n">
        <x:f>0</x:f>
        <x:v>0</x:v>
      </x:c>
      <x:c r="L166" s="45" t="n">
        <x:f>F166+I166</x:f>
        <x:v>0</x:v>
      </x:c>
      <x:c r="M166" s="45" t="n">
        <x:f>G166+J166</x:f>
        <x:v>1</x:v>
      </x:c>
      <x:c r="N166" s="45" t="n">
        <x:f>H166+K166</x:f>
        <x:v>0</x:v>
      </x:c>
      <x:c r="O166" s="45" t="n">
        <x:f>SUM(F166:H166)</x:f>
        <x:v>1</x:v>
      </x:c>
      <x:c r="P166" s="42" t="n">
        <x:f>IF(AND(F166&lt;=F182,F166&lt;=F134,F166&lt;=F150,G166&lt;=G174,G166&lt;=G162,G166&lt;=G170,H166&lt;=H169,H166&lt;=H168,H166&lt;=H167),1,0)</x:f>
        <x:v>0</x:v>
      </x:c>
      <x:c r="Q166" s="42" t="n">
        <x:f>IF(AND(L166&lt;=L182,L166&lt;=L134,L166&lt;=L150,M166&lt;=M174,M166&lt;=M162,M166&lt;=M170,N166&lt;=N169,N166&lt;=N168,N166&lt;=N167),1,0)</x:f>
        <x:v>0</x:v>
      </x:c>
      <x:c r="R166" s="42" t="n">
        <x:v>0</x:v>
      </x:c>
      <x:c r="S166" s="42" t="n">
        <x:v>0</x:v>
      </x:c>
    </x:row>
    <x:row r="167">
      <x:c r="A167" t="n">
        <x:v>3</x:v>
      </x:c>
      <x:c r="B167" t="n">
        <x:v>0</x:v>
      </x:c>
      <x:c r="C167" t="n">
        <x:v>0</x:v>
      </x:c>
      <x:c r="D167" t="n">
        <x:v>1</x:v>
      </x:c>
      <x:c r="E167" t="str">
        <x:v>oll</x:v>
      </x:c>
      <x:c r="F167" s="45" t="n">
        <x:f>0</x:f>
        <x:v>0</x:v>
      </x:c>
      <x:c r="G167" s="45" t="n">
        <x:f>(1/2)*$C167+(3/2)*$D167</x:f>
        <x:v>1.5</x:v>
      </x:c>
      <x:c r="H167" s="45" t="n">
        <x:f>(1/2)*$C167+(3/2)*$D167</x:f>
        <x:v>1.5</x:v>
      </x:c>
      <x:c r="I167" s="45" t="n">
        <x:f>0</x:f>
        <x:v>0</x:v>
      </x:c>
      <x:c r="J167" s="45" t="n">
        <x:f>(1/2)*($C167+$D167)</x:f>
        <x:v>0.5</x:v>
      </x:c>
      <x:c r="K167" s="45" t="n">
        <x:f>(1/2)*($C167+$D167)</x:f>
        <x:v>0.5</x:v>
      </x:c>
      <x:c r="L167" s="45" t="n">
        <x:f>F167+I167</x:f>
        <x:v>0</x:v>
      </x:c>
      <x:c r="M167" s="45" t="n">
        <x:f>G167+J167</x:f>
        <x:v>2</x:v>
      </x:c>
      <x:c r="N167" s="45" t="n">
        <x:f>H167+K167</x:f>
        <x:v>2</x:v>
      </x:c>
      <x:c r="O167" s="45" t="n">
        <x:f>SUM(F167:H167)</x:f>
        <x:v>3</x:v>
      </x:c>
      <x:c r="P167" s="42" t="n">
        <x:f>IF(AND(F167&lt;=F183,F167&lt;=F135,F167&lt;=F151,G167&lt;=G175,G167&lt;=G163,G167&lt;=G171,H167&lt;=H169,H167&lt;=H166,H167&lt;=H168),1,0)</x:f>
        <x:v>0</x:v>
      </x:c>
      <x:c r="Q167" s="42" t="n">
        <x:f>IF(AND(L167&lt;=L183,L167&lt;=L135,L167&lt;=L151,M167&lt;=M175,M167&lt;=M163,M167&lt;=M171,N167&lt;=N169,N167&lt;=N166,N167&lt;=N168),1,0)</x:f>
        <x:v>0</x:v>
      </x:c>
      <x:c r="R167" s="42" t="n">
        <x:v>0</x:v>
      </x:c>
      <x:c r="S167" s="42" t="n">
        <x:v>0</x:v>
      </x:c>
    </x:row>
    <x:row r="168">
      <x:c r="A168" t="n">
        <x:v>3</x:v>
      </x:c>
      <x:c r="B168" t="n">
        <x:v>0</x:v>
      </x:c>
      <x:c r="C168" t="n">
        <x:v>0</x:v>
      </x:c>
      <x:c r="D168" t="n">
        <x:v>1</x:v>
      </x:c>
      <x:c r="E168" t="str">
        <x:v>olo</x:v>
      </x:c>
      <x:c r="F168" s="45" t="n">
        <x:f>(1/2)*$C168+(1/2)*$D168</x:f>
        <x:v>0.5</x:v>
      </x:c>
      <x:c r="G168" s="45" t="n">
        <x:f>1*$C168+2*$D168</x:f>
        <x:v>2</x:v>
      </x:c>
      <x:c r="H168" s="45" t="n">
        <x:f>(1/2)*$C168+(1/2)*$D168</x:f>
        <x:v>0.5</x:v>
      </x:c>
      <x:c r="I168" s="45" t="n">
        <x:f>(3/2)*($C168+$D168)</x:f>
        <x:v>1.5</x:v>
      </x:c>
      <x:c r="J168" s="45" t="n">
        <x:f>0</x:f>
        <x:v>0</x:v>
      </x:c>
      <x:c r="K168" s="45" t="n">
        <x:f>(3/2)*($C168+$D168)</x:f>
        <x:v>1.5</x:v>
      </x:c>
      <x:c r="L168" s="45" t="n">
        <x:f>F168+I168</x:f>
        <x:v>2</x:v>
      </x:c>
      <x:c r="M168" s="45" t="n">
        <x:f>G168+J168</x:f>
        <x:v>2</x:v>
      </x:c>
      <x:c r="N168" s="45" t="n">
        <x:f>H168+K168</x:f>
        <x:v>2</x:v>
      </x:c>
      <x:c r="O168" s="45" t="n">
        <x:f>SUM(F168:H168)</x:f>
        <x:v>3</x:v>
      </x:c>
      <x:c r="P168" s="42" t="n">
        <x:f>IF(AND(F168&lt;=F184,F168&lt;=F136,F168&lt;=F152,G168&lt;=G176,G168&lt;=G164,G168&lt;=G172,H168&lt;=H169,H168&lt;=H166,H168&lt;=H167),1,0)</x:f>
        <x:v>0</x:v>
      </x:c>
      <x:c r="Q168" s="42" t="n">
        <x:f>IF(AND(L168&lt;=L184,L168&lt;=L136,L168&lt;=L152,M168&lt;=M176,M168&lt;=M164,M168&lt;=M172,N168&lt;=N169,N168&lt;=N166,N168&lt;=N167),1,0)</x:f>
        <x:v>0</x:v>
      </x:c>
      <x:c r="R168" s="42" t="n">
        <x:v>0</x:v>
      </x:c>
      <x:c r="S168" s="42" t="n">
        <x:v>0</x:v>
      </x:c>
    </x:row>
    <x:row r="169">
      <x:c r="A169" t="n">
        <x:v>3</x:v>
      </x:c>
      <x:c r="B169" t="n">
        <x:v>0</x:v>
      </x:c>
      <x:c r="C169" t="n">
        <x:v>0</x:v>
      </x:c>
      <x:c r="D169" t="n">
        <x:v>1</x:v>
      </x:c>
      <x:c r="E169" t="str">
        <x:v>olv</x:v>
      </x:c>
      <x:c r="F169" s="45" t="n">
        <x:f>0</x:f>
        <x:v>0</x:v>
      </x:c>
      <x:c r="G169" s="45" t="n">
        <x:f>1*$D169</x:f>
        <x:v>1</x:v>
      </x:c>
      <x:c r="H169" s="45" t="n">
        <x:f>2*$B169</x:f>
        <x:v>0</x:v>
      </x:c>
      <x:c r="I169" s="45" t="n">
        <x:f>0</x:f>
        <x:v>0</x:v>
      </x:c>
      <x:c r="J169" s="45" t="n">
        <x:f>0</x:f>
        <x:v>0</x:v>
      </x:c>
      <x:c r="K169" s="45" t="n">
        <x:f>0</x:f>
        <x:v>0</x:v>
      </x:c>
      <x:c r="L169" s="45" t="n">
        <x:f>F169+I169</x:f>
        <x:v>0</x:v>
      </x:c>
      <x:c r="M169" s="45" t="n">
        <x:f>G169+J169</x:f>
        <x:v>1</x:v>
      </x:c>
      <x:c r="N169" s="45" t="n">
        <x:f>H169+K169</x:f>
        <x:v>0</x:v>
      </x:c>
      <x:c r="O169" s="45" t="n">
        <x:f>SUM(F169:H169)</x:f>
        <x:v>1</x:v>
      </x:c>
      <x:c r="P169" s="42" t="n">
        <x:f>IF(AND(F169&lt;=F185,F169&lt;=F137,F169&lt;=F153,G169&lt;=G177,G169&lt;=G165,G169&lt;=G173,H169&lt;=H166,H169&lt;=H168,H169&lt;=H167),1,0)</x:f>
        <x:v>0</x:v>
      </x:c>
      <x:c r="Q169" s="42" t="n">
        <x:f>IF(AND(L169&lt;=L185,L169&lt;=L137,L169&lt;=L153,M169&lt;=M177,M169&lt;=M165,M169&lt;=M173,N169&lt;=N166,N169&lt;=N168,N169&lt;=N167),1,0)</x:f>
        <x:v>0</x:v>
      </x:c>
      <x:c r="R169" s="42" t="n">
        <x:v>0</x:v>
      </x:c>
      <x:c r="S169" s="42" t="n">
        <x:v>0</x:v>
      </x:c>
    </x:row>
    <x:row r="170">
      <x:c r="A170" t="n">
        <x:v>3</x:v>
      </x:c>
      <x:c r="B170" t="n">
        <x:v>0</x:v>
      </x:c>
      <x:c r="C170" t="n">
        <x:v>0</x:v>
      </x:c>
      <x:c r="D170" t="n">
        <x:v>1</x:v>
      </x:c>
      <x:c r="E170" t="str">
        <x:v>ooe</x:v>
      </x:c>
      <x:c r="F170" s="45" t="n">
        <x:f>(1/2)*$C170+(1/2)*$D170</x:f>
        <x:v>0.5</x:v>
      </x:c>
      <x:c r="G170" s="45" t="n">
        <x:f>(1/2)*$C170+(1/2)*$D170</x:f>
        <x:v>0.5</x:v>
      </x:c>
      <x:c r="H170" s="45" t="n">
        <x:f>1*$B170</x:f>
        <x:v>0</x:v>
      </x:c>
      <x:c r="I170" s="45" t="n">
        <x:f>(1/2)*($C170+$D170)</x:f>
        <x:v>0.5</x:v>
      </x:c>
      <x:c r="J170" s="45" t="n">
        <x:f>(1/2)*($C170+$D170)</x:f>
        <x:v>0.5</x:v>
      </x:c>
      <x:c r="K170" s="45" t="n">
        <x:f>0</x:f>
        <x:v>0</x:v>
      </x:c>
      <x:c r="L170" s="45" t="n">
        <x:f>F170+I170</x:f>
        <x:v>1</x:v>
      </x:c>
      <x:c r="M170" s="45" t="n">
        <x:f>G170+J170</x:f>
        <x:v>1</x:v>
      </x:c>
      <x:c r="N170" s="45" t="n">
        <x:f>H170+K170</x:f>
        <x:v>0</x:v>
      </x:c>
      <x:c r="O170" s="45" t="n">
        <x:f>SUM(F170:H170)</x:f>
        <x:v>1</x:v>
      </x:c>
      <x:c r="P170" s="42" t="n">
        <x:f>IF(AND(F170&lt;=F186,F170&lt;=F138,F170&lt;=F154,G170&lt;=G174,G170&lt;=G162,G170&lt;=G166,H170&lt;=H173,H170&lt;=H172,H170&lt;=H171),1,0)</x:f>
        <x:v>0</x:v>
      </x:c>
      <x:c r="Q170" s="42" t="n">
        <x:f>IF(AND(L170&lt;=L186,L170&lt;=L138,L170&lt;=L154,M170&lt;=M174,M170&lt;=M162,M170&lt;=M166,N170&lt;=N173,N170&lt;=N172,N170&lt;=N171),1,0)</x:f>
        <x:v>0</x:v>
      </x:c>
      <x:c r="R170" s="42" t="n">
        <x:v>0</x:v>
      </x:c>
      <x:c r="S170" s="42" t="n">
        <x:v>0</x:v>
      </x:c>
    </x:row>
    <x:row r="171">
      <x:c r="A171" t="n">
        <x:v>3</x:v>
      </x:c>
      <x:c r="B171" t="n">
        <x:v>0</x:v>
      </x:c>
      <x:c r="C171" t="n">
        <x:v>0</x:v>
      </x:c>
      <x:c r="D171" t="n">
        <x:v>1</x:v>
      </x:c>
      <x:c r="E171" t="str">
        <x:v>ool</x:v>
      </x:c>
      <x:c r="F171" s="45" t="n">
        <x:f>(1/2)*$C171+(1/2)*$D171</x:f>
        <x:v>0.5</x:v>
      </x:c>
      <x:c r="G171" s="45" t="n">
        <x:f>(1/2)*$C171+(1/2)*$D171</x:f>
        <x:v>0.5</x:v>
      </x:c>
      <x:c r="H171" s="45" t="n">
        <x:f>1*$C171+2*$D171</x:f>
        <x:v>2</x:v>
      </x:c>
      <x:c r="I171" s="45" t="n">
        <x:f>(3/2)*($C171+$D171)</x:f>
        <x:v>1.5</x:v>
      </x:c>
      <x:c r="J171" s="45" t="n">
        <x:f>(3/2)*($C171+$D171)</x:f>
        <x:v>1.5</x:v>
      </x:c>
      <x:c r="K171" s="45" t="n">
        <x:f>0</x:f>
        <x:v>0</x:v>
      </x:c>
      <x:c r="L171" s="45" t="n">
        <x:f>F171+I171</x:f>
        <x:v>2</x:v>
      </x:c>
      <x:c r="M171" s="45" t="n">
        <x:f>G171+J171</x:f>
        <x:v>2</x:v>
      </x:c>
      <x:c r="N171" s="45" t="n">
        <x:f>H171+K171</x:f>
        <x:v>2</x:v>
      </x:c>
      <x:c r="O171" s="45" t="n">
        <x:f>SUM(F171:H171)</x:f>
        <x:v>3</x:v>
      </x:c>
      <x:c r="P171" s="42" t="n">
        <x:f>IF(AND(F171&lt;=F187,F171&lt;=F139,F171&lt;=F155,G171&lt;=G175,G171&lt;=G163,G171&lt;=G167,H171&lt;=H173,H171&lt;=H170,H171&lt;=H172),1,0)</x:f>
        <x:v>0</x:v>
      </x:c>
      <x:c r="Q171" s="42" t="n">
        <x:f>IF(AND(L171&lt;=L187,L171&lt;=L139,L171&lt;=L155,M171&lt;=M175,M171&lt;=M163,M171&lt;=M167,N171&lt;=N173,N171&lt;=N170,N171&lt;=N172),1,0)</x:f>
        <x:v>0</x:v>
      </x:c>
      <x:c r="R171" s="42" t="n">
        <x:v>0</x:v>
      </x:c>
      <x:c r="S171" s="42" t="n">
        <x:v>0</x:v>
      </x:c>
    </x:row>
    <x:row r="172">
      <x:c r="A172" t="n">
        <x:v>3</x:v>
      </x:c>
      <x:c r="B172" t="n">
        <x:v>0</x:v>
      </x:c>
      <x:c r="C172" t="n">
        <x:v>0</x:v>
      </x:c>
      <x:c r="D172" t="n">
        <x:v>1</x:v>
      </x:c>
      <x:c r="E172" t="str">
        <x:v>ooo</x:v>
      </x:c>
      <x:c r="F172" s="45" t="n">
        <x:f>1*$C172+1*$D172</x:f>
        <x:v>1</x:v>
      </x:c>
      <x:c r="G172" s="45" t="n">
        <x:f>1*$C172+1*$D172</x:f>
        <x:v>1</x:v>
      </x:c>
      <x:c r="H172" s="45" t="n">
        <x:f>1*$C172+1*$D172</x:f>
        <x:v>1</x:v>
      </x:c>
      <x:c r="I172" s="45" t="n">
        <x:f>$C172+$D172</x:f>
        <x:v>1</x:v>
      </x:c>
      <x:c r="J172" s="45" t="n">
        <x:f>$C172+$D172</x:f>
        <x:v>1</x:v>
      </x:c>
      <x:c r="K172" s="45" t="n">
        <x:f>$C172+$D172</x:f>
        <x:v>1</x:v>
      </x:c>
      <x:c r="L172" s="45" t="n">
        <x:f>F172+I172</x:f>
        <x:v>2</x:v>
      </x:c>
      <x:c r="M172" s="45" t="n">
        <x:f>G172+J172</x:f>
        <x:v>2</x:v>
      </x:c>
      <x:c r="N172" s="45" t="n">
        <x:f>H172+K172</x:f>
        <x:v>2</x:v>
      </x:c>
      <x:c r="O172" s="45" t="n">
        <x:f>SUM(F172:H172)</x:f>
        <x:v>3</x:v>
      </x:c>
      <x:c r="P172" s="42" t="n">
        <x:f>IF(AND(F172&lt;=F188,F172&lt;=F140,F172&lt;=F156,G172&lt;=G176,G172&lt;=G164,G172&lt;=G168,H172&lt;=H173,H172&lt;=H170,H172&lt;=H171),1,0)</x:f>
        <x:v>0</x:v>
      </x:c>
      <x:c r="Q172" s="42" t="n">
        <x:f>IF(AND(L172&lt;=L188,L172&lt;=L140,L172&lt;=L156,M172&lt;=M176,M172&lt;=M164,M172&lt;=M168,N172&lt;=N173,N172&lt;=N170,N172&lt;=N171),1,0)</x:f>
        <x:v>0</x:v>
      </x:c>
      <x:c r="R172" s="42" t="n">
        <x:v>0</x:v>
      </x:c>
      <x:c r="S172" s="42" t="n">
        <x:v>0</x:v>
      </x:c>
    </x:row>
    <x:row r="173">
      <x:c r="A173" t="n">
        <x:v>3</x:v>
      </x:c>
      <x:c r="B173" t="n">
        <x:v>0</x:v>
      </x:c>
      <x:c r="C173" t="n">
        <x:v>0</x:v>
      </x:c>
      <x:c r="D173" t="n">
        <x:v>1</x:v>
      </x:c>
      <x:c r="E173" t="str">
        <x:v>oov</x:v>
      </x:c>
      <x:c r="F173" s="45" t="n">
        <x:f>(1/2)*$C173+(1/2)*$D173</x:f>
        <x:v>0.5</x:v>
      </x:c>
      <x:c r="G173" s="45" t="n">
        <x:f>(1/2)*$C173+(1/2)*$D173</x:f>
        <x:v>0.5</x:v>
      </x:c>
      <x:c r="H173" s="45" t="n">
        <x:f>2*$B173</x:f>
        <x:v>0</x:v>
      </x:c>
      <x:c r="I173" s="45" t="n">
        <x:f>(1/2)*($C173+$D173)</x:f>
        <x:v>0.5</x:v>
      </x:c>
      <x:c r="J173" s="45" t="n">
        <x:f>(1/2)*($C173+$D173)</x:f>
        <x:v>0.5</x:v>
      </x:c>
      <x:c r="K173" s="45" t="n">
        <x:f>0</x:f>
        <x:v>0</x:v>
      </x:c>
      <x:c r="L173" s="45" t="n">
        <x:f>F173+I173</x:f>
        <x:v>1</x:v>
      </x:c>
      <x:c r="M173" s="45" t="n">
        <x:f>G173+J173</x:f>
        <x:v>1</x:v>
      </x:c>
      <x:c r="N173" s="45" t="n">
        <x:f>H173+K173</x:f>
        <x:v>0</x:v>
      </x:c>
      <x:c r="O173" s="45" t="n">
        <x:f>SUM(F173:H173)</x:f>
        <x:v>1</x:v>
      </x:c>
      <x:c r="P173" s="42" t="n">
        <x:f>IF(AND(F173&lt;=F189,F173&lt;=F141,F173&lt;=F157,G173&lt;=G177,G173&lt;=G165,G173&lt;=G169,H173&lt;=H170,H173&lt;=H172,H173&lt;=H171),1,0)</x:f>
        <x:v>0</x:v>
      </x:c>
      <x:c r="Q173" s="42" t="n">
        <x:f>IF(AND(L173&lt;=L189,L173&lt;=L141,L173&lt;=L157,M173&lt;=M177,M173&lt;=M165,M173&lt;=M169,N173&lt;=N170,N173&lt;=N172,N173&lt;=N171),1,0)</x:f>
        <x:v>0</x:v>
      </x:c>
      <x:c r="R173" s="42" t="n">
        <x:v>0</x:v>
      </x:c>
      <x:c r="S173" s="42" t="n">
        <x:v>0</x:v>
      </x:c>
    </x:row>
    <x:row r="174">
      <x:c r="A174" t="n">
        <x:v>3</x:v>
      </x:c>
      <x:c r="B174" t="n">
        <x:v>0</x:v>
      </x:c>
      <x:c r="C174" t="n">
        <x:v>0</x:v>
      </x:c>
      <x:c r="D174" t="n">
        <x:v>1</x:v>
      </x:c>
      <x:c r="E174" t="str">
        <x:v>ove</x:v>
      </x:c>
      <x:c r="F174" s="45" t="n">
        <x:f>0</x:f>
        <x:v>0</x:v>
      </x:c>
      <x:c r="G174" s="45" t="n">
        <x:f>2*$B174</x:f>
        <x:v>0</x:v>
      </x:c>
      <x:c r="H174" s="45" t="n">
        <x:f>1*$B174</x:f>
        <x:v>0</x:v>
      </x:c>
      <x:c r="I174" s="45" t="n">
        <x:f>0</x:f>
        <x:v>0</x:v>
      </x:c>
      <x:c r="J174" s="45" t="n">
        <x:f>0</x:f>
        <x:v>0</x:v>
      </x:c>
      <x:c r="K174" s="45" t="n">
        <x:f>0</x:f>
        <x:v>0</x:v>
      </x:c>
      <x:c r="L174" s="45" t="n">
        <x:f>F174+I174</x:f>
        <x:v>0</x:v>
      </x:c>
      <x:c r="M174" s="45" t="n">
        <x:f>G174+J174</x:f>
        <x:v>0</x:v>
      </x:c>
      <x:c r="N174" s="45" t="n">
        <x:f>H174+K174</x:f>
        <x:v>0</x:v>
      </x:c>
      <x:c r="O174" s="45" t="n">
        <x:f>SUM(F174:H174)</x:f>
        <x:v>0</x:v>
      </x:c>
      <x:c r="P174" s="42" t="n">
        <x:f>IF(AND(F174&lt;=F190,F174&lt;=F142,F174&lt;=F158,G174&lt;=G162,G174&lt;=G170,G174&lt;=G166,H174&lt;=H177,H174&lt;=H176,H174&lt;=H175),1,0)</x:f>
        <x:v>1</x:v>
      </x:c>
      <x:c r="Q174" s="42" t="n">
        <x:f>IF(AND(L174&lt;=L190,L174&lt;=L142,L174&lt;=L158,M174&lt;=M162,M174&lt;=M170,M174&lt;=M166,N174&lt;=N177,N174&lt;=N176,N174&lt;=N175),1,0)</x:f>
        <x:v>1</x:v>
      </x:c>
      <x:c r="R174" s="42" t="n">
        <x:v>1</x:v>
      </x:c>
      <x:c r="S174" s="42" t="n">
        <x:v>1</x:v>
      </x:c>
    </x:row>
    <x:row r="175">
      <x:c r="A175" t="n">
        <x:v>3</x:v>
      </x:c>
      <x:c r="B175" t="n">
        <x:v>0</x:v>
      </x:c>
      <x:c r="C175" t="n">
        <x:v>0</x:v>
      </x:c>
      <x:c r="D175" t="n">
        <x:v>1</x:v>
      </x:c>
      <x:c r="E175" t="str">
        <x:v>ovl</x:v>
      </x:c>
      <x:c r="F175" s="45" t="n">
        <x:f>0</x:f>
        <x:v>0</x:v>
      </x:c>
      <x:c r="G175" s="45" t="n">
        <x:f>2*$B175</x:f>
        <x:v>0</x:v>
      </x:c>
      <x:c r="H175" s="45" t="n">
        <x:f>1*$D175</x:f>
        <x:v>1</x:v>
      </x:c>
      <x:c r="I175" s="45" t="n">
        <x:f>0</x:f>
        <x:v>0</x:v>
      </x:c>
      <x:c r="J175" s="45" t="n">
        <x:f>0</x:f>
        <x:v>0</x:v>
      </x:c>
      <x:c r="K175" s="45" t="n">
        <x:f>0</x:f>
        <x:v>0</x:v>
      </x:c>
      <x:c r="L175" s="45" t="n">
        <x:f>F175+I175</x:f>
        <x:v>0</x:v>
      </x:c>
      <x:c r="M175" s="45" t="n">
        <x:f>G175+J175</x:f>
        <x:v>0</x:v>
      </x:c>
      <x:c r="N175" s="45" t="n">
        <x:f>H175+K175</x:f>
        <x:v>1</x:v>
      </x:c>
      <x:c r="O175" s="45" t="n">
        <x:f>SUM(F175:H175)</x:f>
        <x:v>1</x:v>
      </x:c>
      <x:c r="P175" s="42" t="n">
        <x:f>IF(AND(F175&lt;=F191,F175&lt;=F143,F175&lt;=F159,G175&lt;=G163,G175&lt;=G171,G175&lt;=G167,H175&lt;=H177,H175&lt;=H174,H175&lt;=H176),1,0)</x:f>
        <x:v>0</x:v>
      </x:c>
      <x:c r="Q175" s="42" t="n">
        <x:f>IF(AND(L175&lt;=L191,L175&lt;=L143,L175&lt;=L159,M175&lt;=M163,M175&lt;=M171,M175&lt;=M167,N175&lt;=N177,N175&lt;=N174,N175&lt;=N176),1,0)</x:f>
        <x:v>0</x:v>
      </x:c>
      <x:c r="R175" s="42" t="n">
        <x:v>0</x:v>
      </x:c>
      <x:c r="S175" s="42" t="n">
        <x:v>0</x:v>
      </x:c>
    </x:row>
    <x:row r="176">
      <x:c r="A176" t="n">
        <x:v>3</x:v>
      </x:c>
      <x:c r="B176" t="n">
        <x:v>0</x:v>
      </x:c>
      <x:c r="C176" t="n">
        <x:v>0</x:v>
      </x:c>
      <x:c r="D176" t="n">
        <x:v>1</x:v>
      </x:c>
      <x:c r="E176" t="str">
        <x:v>ovo</x:v>
      </x:c>
      <x:c r="F176" s="45" t="n">
        <x:f>(1/2)*$C176+(1/2)*$D176</x:f>
        <x:v>0.5</x:v>
      </x:c>
      <x:c r="G176" s="45" t="n">
        <x:f>2*$B176</x:f>
        <x:v>0</x:v>
      </x:c>
      <x:c r="H176" s="45" t="n">
        <x:f>(1/2)*$C176+(1/2)*$D176</x:f>
        <x:v>0.5</x:v>
      </x:c>
      <x:c r="I176" s="45" t="n">
        <x:f>(1/2)*($C176+$D176)</x:f>
        <x:v>0.5</x:v>
      </x:c>
      <x:c r="J176" s="45" t="n">
        <x:f>0</x:f>
        <x:v>0</x:v>
      </x:c>
      <x:c r="K176" s="45" t="n">
        <x:f>(1/2)*($C176+$D176)</x:f>
        <x:v>0.5</x:v>
      </x:c>
      <x:c r="L176" s="45" t="n">
        <x:f>F176+I176</x:f>
        <x:v>1</x:v>
      </x:c>
      <x:c r="M176" s="45" t="n">
        <x:f>G176+J176</x:f>
        <x:v>0</x:v>
      </x:c>
      <x:c r="N176" s="45" t="n">
        <x:f>H176+K176</x:f>
        <x:v>1</x:v>
      </x:c>
      <x:c r="O176" s="45" t="n">
        <x:f>SUM(F176:H176)</x:f>
        <x:v>1</x:v>
      </x:c>
      <x:c r="P176" s="42" t="n">
        <x:f>IF(AND(F176&lt;=F192,F176&lt;=F144,F176&lt;=F160,G176&lt;=G164,G176&lt;=G172,G176&lt;=G168,H176&lt;=H177,H176&lt;=H174,H176&lt;=H175),1,0)</x:f>
        <x:v>0</x:v>
      </x:c>
      <x:c r="Q176" s="42" t="n">
        <x:f>IF(AND(L176&lt;=L192,L176&lt;=L144,L176&lt;=L160,M176&lt;=M164,M176&lt;=M172,M176&lt;=M168,N176&lt;=N177,N176&lt;=N174,N176&lt;=N175),1,0)</x:f>
        <x:v>0</x:v>
      </x:c>
      <x:c r="R176" s="42" t="n">
        <x:v>0</x:v>
      </x:c>
      <x:c r="S176" s="42" t="n">
        <x:v>0</x:v>
      </x:c>
    </x:row>
    <x:row r="177">
      <x:c r="A177" t="n">
        <x:v>3</x:v>
      </x:c>
      <x:c r="B177" t="n">
        <x:v>0</x:v>
      </x:c>
      <x:c r="C177" t="n">
        <x:v>0</x:v>
      </x:c>
      <x:c r="D177" t="n">
        <x:v>1</x:v>
      </x:c>
      <x:c r="E177" t="str">
        <x:v>ovv</x:v>
      </x:c>
      <x:c r="F177" s="45" t="n">
        <x:f>0</x:f>
        <x:v>0</x:v>
      </x:c>
      <x:c r="G177" s="45" t="n">
        <x:f>(3/2)*$B177+(1/2)*$C177</x:f>
        <x:v>0</x:v>
      </x:c>
      <x:c r="H177" s="45" t="n">
        <x:f>(3/2)*$B177+(1/2)*$C177</x:f>
        <x:v>0</x:v>
      </x:c>
      <x:c r="I177" s="45" t="n">
        <x:f>0</x:f>
        <x:v>0</x:v>
      </x:c>
      <x:c r="J177" s="45" t="n">
        <x:f>MAX((1/2)*($C177-$B177),0)</x:f>
        <x:v>0</x:v>
      </x:c>
      <x:c r="K177" s="45" t="n">
        <x:f>MAX((1/2)*($C177-$B177),0)</x:f>
        <x:v>0</x:v>
      </x:c>
      <x:c r="L177" s="45" t="n">
        <x:f>F177+I177</x:f>
        <x:v>0</x:v>
      </x:c>
      <x:c r="M177" s="45" t="n">
        <x:f>G177+J177</x:f>
        <x:v>0</x:v>
      </x:c>
      <x:c r="N177" s="45" t="n">
        <x:f>H177+K177</x:f>
        <x:v>0</x:v>
      </x:c>
      <x:c r="O177" s="45" t="n">
        <x:f>SUM(F177:H177)</x:f>
        <x:v>0</x:v>
      </x:c>
      <x:c r="P177" s="42" t="n">
        <x:f>IF(AND(F177&lt;=F193,F177&lt;=F145,F177&lt;=F161,G177&lt;=G165,G177&lt;=G173,G177&lt;=G169,H177&lt;=H174,H177&lt;=H176,H177&lt;=H175),1,0)</x:f>
        <x:v>1</x:v>
      </x:c>
      <x:c r="Q177" s="42" t="n">
        <x:f>IF(AND(L177&lt;=L193,L177&lt;=L145,L177&lt;=L161,M177&lt;=M165,M177&lt;=M173,M177&lt;=M169,N177&lt;=N174,N177&lt;=N176,N177&lt;=N175),1,0)</x:f>
        <x:v>1</x:v>
      </x:c>
      <x:c r="R177" s="42" t="n">
        <x:v>1</x:v>
      </x:c>
      <x:c r="S177" s="42" t="n">
        <x:v>1</x:v>
      </x:c>
    </x:row>
    <x:row r="178">
      <x:c r="A178" t="n">
        <x:v>3</x:v>
      </x:c>
      <x:c r="B178" t="n">
        <x:v>0</x:v>
      </x:c>
      <x:c r="C178" t="n">
        <x:v>0</x:v>
      </x:c>
      <x:c r="D178" t="n">
        <x:v>1</x:v>
      </x:c>
      <x:c r="E178" t="str">
        <x:v>vee</x:v>
      </x:c>
      <x:c r="F178" s="45" t="n">
        <x:f>2*$B178</x:f>
        <x:v>0</x:v>
      </x:c>
      <x:c r="G178" s="45" t="n">
        <x:f>(1/2)*$B178+(1/2)*$C178</x:f>
        <x:v>0</x:v>
      </x:c>
      <x:c r="H178" s="45" t="n">
        <x:f>(1/2)*$B178+(1/2)*$C178</x:f>
        <x:v>0</x:v>
      </x:c>
      <x:c r="I178" s="45" t="n">
        <x:f>0</x:f>
        <x:v>0</x:v>
      </x:c>
      <x:c r="J178" s="45" t="n">
        <x:f>MAX((1/2)*($C178-$B178),0)</x:f>
        <x:v>0</x:v>
      </x:c>
      <x:c r="K178" s="45" t="n">
        <x:f>MAX((1/2)*($C178-$B178),0)</x:f>
        <x:v>0</x:v>
      </x:c>
      <x:c r="L178" s="45" t="n">
        <x:f>F178+I178</x:f>
        <x:v>0</x:v>
      </x:c>
      <x:c r="M178" s="45" t="n">
        <x:f>G178+J178</x:f>
        <x:v>0</x:v>
      </x:c>
      <x:c r="N178" s="45" t="n">
        <x:f>H178+K178</x:f>
        <x:v>0</x:v>
      </x:c>
      <x:c r="O178" s="45" t="n">
        <x:f>SUM(F178:H178)</x:f>
        <x:v>0</x:v>
      </x:c>
      <x:c r="P178" s="42" t="n">
        <x:f>IF(AND(F178&lt;=F130,F178&lt;=F162,F178&lt;=F146,G178&lt;=G190,G178&lt;=G186,G178&lt;=G182,H178&lt;=H181,H178&lt;=H180,H178&lt;=H179),1,0)</x:f>
        <x:v>1</x:v>
      </x:c>
      <x:c r="Q178" s="42" t="n">
        <x:f>IF(AND(L178&lt;=L130,L178&lt;=L162,L178&lt;=L146,M178&lt;=M190,M178&lt;=M186,M178&lt;=M182,N178&lt;=N181,N178&lt;=N180,N178&lt;=N179),1,0)</x:f>
        <x:v>1</x:v>
      </x:c>
      <x:c r="R178" s="42" t="n">
        <x:v>1</x:v>
      </x:c>
      <x:c r="S178" s="42" t="n">
        <x:v>1</x:v>
      </x:c>
    </x:row>
    <x:row r="179">
      <x:c r="A179" t="n">
        <x:v>3</x:v>
      </x:c>
      <x:c r="B179" t="n">
        <x:v>0</x:v>
      </x:c>
      <x:c r="C179" t="n">
        <x:v>0</x:v>
      </x:c>
      <x:c r="D179" t="n">
        <x:v>1</x:v>
      </x:c>
      <x:c r="E179" t="str">
        <x:v>vel</x:v>
      </x:c>
      <x:c r="F179" s="45" t="n">
        <x:f>2*$B179</x:f>
        <x:v>0</x:v>
      </x:c>
      <x:c r="G179" s="45" t="n">
        <x:f>1*$B179</x:f>
        <x:v>0</x:v>
      </x:c>
      <x:c r="H179" s="45" t="n">
        <x:f>1*$D179</x:f>
        <x:v>1</x:v>
      </x:c>
      <x:c r="I179" s="45" t="n">
        <x:f>0</x:f>
        <x:v>0</x:v>
      </x:c>
      <x:c r="J179" s="45" t="n">
        <x:f>0</x:f>
        <x:v>0</x:v>
      </x:c>
      <x:c r="K179" s="45" t="n">
        <x:f>0</x:f>
        <x:v>0</x:v>
      </x:c>
      <x:c r="L179" s="45" t="n">
        <x:f>F179+I179</x:f>
        <x:v>0</x:v>
      </x:c>
      <x:c r="M179" s="45" t="n">
        <x:f>G179+J179</x:f>
        <x:v>0</x:v>
      </x:c>
      <x:c r="N179" s="45" t="n">
        <x:f>H179+K179</x:f>
        <x:v>1</x:v>
      </x:c>
      <x:c r="O179" s="45" t="n">
        <x:f>SUM(F179:H179)</x:f>
        <x:v>1</x:v>
      </x:c>
      <x:c r="P179" s="42" t="n">
        <x:f>IF(AND(F179&lt;=F131,F179&lt;=F163,F179&lt;=F147,G179&lt;=G191,G179&lt;=G187,G179&lt;=G183,H179&lt;=H181,H179&lt;=H178,H179&lt;=H180),1,0)</x:f>
        <x:v>0</x:v>
      </x:c>
      <x:c r="Q179" s="42" t="n">
        <x:f>IF(AND(L179&lt;=L131,L179&lt;=L163,L179&lt;=L147,M179&lt;=M191,M179&lt;=M187,M179&lt;=M183,N179&lt;=N181,N179&lt;=N178,N179&lt;=N180),1,0)</x:f>
        <x:v>0</x:v>
      </x:c>
      <x:c r="R179" s="42" t="n">
        <x:v>0</x:v>
      </x:c>
      <x:c r="S179" s="42" t="n">
        <x:v>0</x:v>
      </x:c>
    </x:row>
    <x:row r="180">
      <x:c r="A180" t="n">
        <x:v>3</x:v>
      </x:c>
      <x:c r="B180" t="n">
        <x:v>0</x:v>
      </x:c>
      <x:c r="C180" t="n">
        <x:v>0</x:v>
      </x:c>
      <x:c r="D180" t="n">
        <x:v>1</x:v>
      </x:c>
      <x:c r="E180" t="str">
        <x:v>veo</x:v>
      </x:c>
      <x:c r="F180" s="45" t="n">
        <x:f>2*$B180</x:f>
        <x:v>0</x:v>
      </x:c>
      <x:c r="G180" s="45" t="n">
        <x:f>1*$B180</x:f>
        <x:v>0</x:v>
      </x:c>
      <x:c r="H180" s="45" t="n">
        <x:f>0</x:f>
        <x:v>0</x:v>
      </x:c>
      <x:c r="I180" s="45" t="n">
        <x:f>0</x:f>
        <x:v>0</x:v>
      </x:c>
      <x:c r="J180" s="45" t="n">
        <x:f>0</x:f>
        <x:v>0</x:v>
      </x:c>
      <x:c r="K180" s="45" t="n">
        <x:f>0</x:f>
        <x:v>0</x:v>
      </x:c>
      <x:c r="L180" s="45" t="n">
        <x:f>F180+I180</x:f>
        <x:v>0</x:v>
      </x:c>
      <x:c r="M180" s="45" t="n">
        <x:f>G180+J180</x:f>
        <x:v>0</x:v>
      </x:c>
      <x:c r="N180" s="45" t="n">
        <x:f>H180+K180</x:f>
        <x:v>0</x:v>
      </x:c>
      <x:c r="O180" s="45" t="n">
        <x:f>SUM(F180:H180)</x:f>
        <x:v>0</x:v>
      </x:c>
      <x:c r="P180" s="42" t="n">
        <x:f>IF(AND(F180&lt;=F132,F180&lt;=F164,F180&lt;=F148,G180&lt;=G192,G180&lt;=G188,G180&lt;=G184,H180&lt;=H181,H180&lt;=H178,H180&lt;=H179),1,0)</x:f>
        <x:v>1</x:v>
      </x:c>
      <x:c r="Q180" s="42" t="n">
        <x:f>IF(AND(L180&lt;=L132,L180&lt;=L164,L180&lt;=L148,M180&lt;=M192,M180&lt;=M188,M180&lt;=M184,N180&lt;=N181,N180&lt;=N178,N180&lt;=N179),1,0)</x:f>
        <x:v>1</x:v>
      </x:c>
      <x:c r="R180" s="42" t="n">
        <x:v>1</x:v>
      </x:c>
      <x:c r="S180" s="42" t="n">
        <x:v>1</x:v>
      </x:c>
    </x:row>
    <x:row r="181">
      <x:c r="A181" t="n">
        <x:v>3</x:v>
      </x:c>
      <x:c r="B181" t="n">
        <x:v>0</x:v>
      </x:c>
      <x:c r="C181" t="n">
        <x:v>0</x:v>
      </x:c>
      <x:c r="D181" t="n">
        <x:v>1</x:v>
      </x:c>
      <x:c r="E181" t="str">
        <x:v>vev</x:v>
      </x:c>
      <x:c r="F181" s="45" t="n">
        <x:f>(3/2)*$B181+(1/2)*$C181</x:f>
        <x:v>0</x:v>
      </x:c>
      <x:c r="G181" s="45" t="n">
        <x:f>1*$C181</x:f>
        <x:v>0</x:v>
      </x:c>
      <x:c r="H181" s="45" t="n">
        <x:f>(3/2)*$B181+(1/2)*$C181</x:f>
        <x:v>0</x:v>
      </x:c>
      <x:c r="I181" s="45" t="n">
        <x:f>MAX((3/2)*($C181-$B181),0)</x:f>
        <x:v>0</x:v>
      </x:c>
      <x:c r="J181" s="45" t="n">
        <x:f>0</x:f>
        <x:v>0</x:v>
      </x:c>
      <x:c r="K181" s="45" t="n">
        <x:f>MAX((3/2)*($C181-$B181),0)</x:f>
        <x:v>0</x:v>
      </x:c>
      <x:c r="L181" s="45" t="n">
        <x:f>F181+I181</x:f>
        <x:v>0</x:v>
      </x:c>
      <x:c r="M181" s="45" t="n">
        <x:f>G181+J181</x:f>
        <x:v>0</x:v>
      </x:c>
      <x:c r="N181" s="45" t="n">
        <x:f>H181+K181</x:f>
        <x:v>0</x:v>
      </x:c>
      <x:c r="O181" s="45" t="n">
        <x:f>SUM(F181:H181)</x:f>
        <x:v>0</x:v>
      </x:c>
      <x:c r="P181" s="42" t="n">
        <x:f>IF(AND(F181&lt;=F133,F181&lt;=F165,F181&lt;=F149,G181&lt;=G193,G181&lt;=G189,G181&lt;=G185,H181&lt;=H178,H181&lt;=H180,H181&lt;=H179),1,0)</x:f>
        <x:v>1</x:v>
      </x:c>
      <x:c r="Q181" s="42" t="n">
        <x:f>IF(AND(L181&lt;=L133,L181&lt;=L165,L181&lt;=L149,M181&lt;=M193,M181&lt;=M189,M181&lt;=M185,N181&lt;=N178,N181&lt;=N180,N181&lt;=N179),1,0)</x:f>
        <x:v>1</x:v>
      </x:c>
      <x:c r="R181" s="42" t="n">
        <x:v>1</x:v>
      </x:c>
      <x:c r="S181" s="42" t="n">
        <x:v>1</x:v>
      </x:c>
    </x:row>
    <x:row r="182">
      <x:c r="A182" t="n">
        <x:v>3</x:v>
      </x:c>
      <x:c r="B182" t="n">
        <x:v>0</x:v>
      </x:c>
      <x:c r="C182" t="n">
        <x:v>0</x:v>
      </x:c>
      <x:c r="D182" t="n">
        <x:v>1</x:v>
      </x:c>
      <x:c r="E182" t="str">
        <x:v>vle</x:v>
      </x:c>
      <x:c r="F182" s="45" t="n">
        <x:f>2*$B182</x:f>
        <x:v>0</x:v>
      </x:c>
      <x:c r="G182" s="45" t="n">
        <x:f>1*$D182</x:f>
        <x:v>1</x:v>
      </x:c>
      <x:c r="H182" s="45" t="n">
        <x:f>1*$B182</x:f>
        <x:v>0</x:v>
      </x:c>
      <x:c r="I182" s="45" t="n">
        <x:f>0</x:f>
        <x:v>0</x:v>
      </x:c>
      <x:c r="J182" s="45" t="n">
        <x:f>0</x:f>
        <x:v>0</x:v>
      </x:c>
      <x:c r="K182" s="45" t="n">
        <x:f>0</x:f>
        <x:v>0</x:v>
      </x:c>
      <x:c r="L182" s="45" t="n">
        <x:f>F182+I182</x:f>
        <x:v>0</x:v>
      </x:c>
      <x:c r="M182" s="45" t="n">
        <x:f>G182+J182</x:f>
        <x:v>1</x:v>
      </x:c>
      <x:c r="N182" s="45" t="n">
        <x:f>H182+K182</x:f>
        <x:v>0</x:v>
      </x:c>
      <x:c r="O182" s="45" t="n">
        <x:f>SUM(F182:H182)</x:f>
        <x:v>1</x:v>
      </x:c>
      <x:c r="P182" s="42" t="n">
        <x:f>IF(AND(F182&lt;=F134,F182&lt;=F166,F182&lt;=F150,G182&lt;=G190,G182&lt;=G178,G182&lt;=G186,H182&lt;=H185,H182&lt;=H184,H182&lt;=H183),1,0)</x:f>
        <x:v>0</x:v>
      </x:c>
      <x:c r="Q182" s="42" t="n">
        <x:f>IF(AND(L182&lt;=L134,L182&lt;=L166,L182&lt;=L150,M182&lt;=M190,M182&lt;=M178,M182&lt;=M186,N182&lt;=N185,N182&lt;=N184,N182&lt;=N183),1,0)</x:f>
        <x:v>0</x:v>
      </x:c>
      <x:c r="R182" s="42" t="n">
        <x:v>0</x:v>
      </x:c>
      <x:c r="S182" s="42" t="n">
        <x:v>0</x:v>
      </x:c>
    </x:row>
    <x:row r="183">
      <x:c r="A183" t="n">
        <x:v>3</x:v>
      </x:c>
      <x:c r="B183" t="n">
        <x:v>0</x:v>
      </x:c>
      <x:c r="C183" t="n">
        <x:v>0</x:v>
      </x:c>
      <x:c r="D183" t="n">
        <x:v>1</x:v>
      </x:c>
      <x:c r="E183" t="str">
        <x:v>vll</x:v>
      </x:c>
      <x:c r="F183" s="45" t="n">
        <x:f>2*$B183</x:f>
        <x:v>0</x:v>
      </x:c>
      <x:c r="G183" s="45" t="n">
        <x:f>(1/2)*$C183+(3/2)*$D183</x:f>
        <x:v>1.5</x:v>
      </x:c>
      <x:c r="H183" s="45" t="n">
        <x:f>(1/2)*$C183+(3/2)*$D183</x:f>
        <x:v>1.5</x:v>
      </x:c>
      <x:c r="I183" s="45" t="n">
        <x:f>0</x:f>
        <x:v>0</x:v>
      </x:c>
      <x:c r="J183" s="45" t="n">
        <x:f>(1/2)*($C183+$D183)</x:f>
        <x:v>0.5</x:v>
      </x:c>
      <x:c r="K183" s="45" t="n">
        <x:f>(1/2)*($C183+$D183)</x:f>
        <x:v>0.5</x:v>
      </x:c>
      <x:c r="L183" s="45" t="n">
        <x:f>F183+I183</x:f>
        <x:v>0</x:v>
      </x:c>
      <x:c r="M183" s="45" t="n">
        <x:f>G183+J183</x:f>
        <x:v>2</x:v>
      </x:c>
      <x:c r="N183" s="45" t="n">
        <x:f>H183+K183</x:f>
        <x:v>2</x:v>
      </x:c>
      <x:c r="O183" s="45" t="n">
        <x:f>SUM(F183:H183)</x:f>
        <x:v>3</x:v>
      </x:c>
      <x:c r="P183" s="42" t="n">
        <x:f>IF(AND(F183&lt;=F135,F183&lt;=F167,F183&lt;=F151,G183&lt;=G191,G183&lt;=G179,G183&lt;=G187,H183&lt;=H185,H183&lt;=H182,H183&lt;=H184),1,0)</x:f>
        <x:v>0</x:v>
      </x:c>
      <x:c r="Q183" s="42" t="n">
        <x:f>IF(AND(L183&lt;=L135,L183&lt;=L167,L183&lt;=L151,M183&lt;=M191,M183&lt;=M179,M183&lt;=M187,N183&lt;=N185,N183&lt;=N182,N183&lt;=N184),1,0)</x:f>
        <x:v>0</x:v>
      </x:c>
      <x:c r="R183" s="42" t="n">
        <x:v>0</x:v>
      </x:c>
      <x:c r="S183" s="42" t="n">
        <x:v>0</x:v>
      </x:c>
    </x:row>
    <x:row r="184">
      <x:c r="A184" t="n">
        <x:v>3</x:v>
      </x:c>
      <x:c r="B184" t="n">
        <x:v>0</x:v>
      </x:c>
      <x:c r="C184" t="n">
        <x:v>0</x:v>
      </x:c>
      <x:c r="D184" t="n">
        <x:v>1</x:v>
      </x:c>
      <x:c r="E184" t="str">
        <x:v>vlo</x:v>
      </x:c>
      <x:c r="F184" s="45" t="n">
        <x:f>2*$B184</x:f>
        <x:v>0</x:v>
      </x:c>
      <x:c r="G184" s="45" t="n">
        <x:f>1*$D184</x:f>
        <x:v>1</x:v>
      </x:c>
      <x:c r="H184" s="45" t="n">
        <x:f>0</x:f>
        <x:v>0</x:v>
      </x:c>
      <x:c r="I184" s="45" t="n">
        <x:f>0</x:f>
        <x:v>0</x:v>
      </x:c>
      <x:c r="J184" s="45" t="n">
        <x:f>0</x:f>
        <x:v>0</x:v>
      </x:c>
      <x:c r="K184" s="45" t="n">
        <x:f>0</x:f>
        <x:v>0</x:v>
      </x:c>
      <x:c r="L184" s="45" t="n">
        <x:f>F184+I184</x:f>
        <x:v>0</x:v>
      </x:c>
      <x:c r="M184" s="45" t="n">
        <x:f>G184+J184</x:f>
        <x:v>1</x:v>
      </x:c>
      <x:c r="N184" s="45" t="n">
        <x:f>H184+K184</x:f>
        <x:v>0</x:v>
      </x:c>
      <x:c r="O184" s="45" t="n">
        <x:f>SUM(F184:H184)</x:f>
        <x:v>1</x:v>
      </x:c>
      <x:c r="P184" s="42" t="n">
        <x:f>IF(AND(F184&lt;=F136,F184&lt;=F168,F184&lt;=F152,G184&lt;=G192,G184&lt;=G180,G184&lt;=G188,H184&lt;=H185,H184&lt;=H182,H184&lt;=H183),1,0)</x:f>
        <x:v>0</x:v>
      </x:c>
      <x:c r="Q184" s="42" t="n">
        <x:f>IF(AND(L184&lt;=L136,L184&lt;=L168,L184&lt;=L152,M184&lt;=M192,M184&lt;=M180,M184&lt;=M188,N184&lt;=N185,N184&lt;=N182,N184&lt;=N183),1,0)</x:f>
        <x:v>0</x:v>
      </x:c>
      <x:c r="R184" s="42" t="n">
        <x:v>0</x:v>
      </x:c>
      <x:c r="S184" s="42" t="n">
        <x:v>0</x:v>
      </x:c>
    </x:row>
    <x:row r="185">
      <x:c r="A185" t="n">
        <x:v>3</x:v>
      </x:c>
      <x:c r="B185" t="n">
        <x:v>0</x:v>
      </x:c>
      <x:c r="C185" t="n">
        <x:v>0</x:v>
      </x:c>
      <x:c r="D185" t="n">
        <x:v>1</x:v>
      </x:c>
      <x:c r="E185" t="str">
        <x:v>vlv</x:v>
      </x:c>
      <x:c r="F185" s="45" t="n">
        <x:f>(3/2)*$B185+(1/2)*$C185</x:f>
        <x:v>0</x:v>
      </x:c>
      <x:c r="G185" s="45" t="n">
        <x:f>1*$D185</x:f>
        <x:v>1</x:v>
      </x:c>
      <x:c r="H185" s="45" t="n">
        <x:f>(3/2)*$B185+(1/2)*$C185</x:f>
        <x:v>0</x:v>
      </x:c>
      <x:c r="I185" s="45" t="n">
        <x:f>MAX((1/2)*($C185-$B185),0)</x:f>
        <x:v>0</x:v>
      </x:c>
      <x:c r="J185" s="45" t="n">
        <x:f>0</x:f>
        <x:v>0</x:v>
      </x:c>
      <x:c r="K185" s="45" t="n">
        <x:f>MAX((1/2)*($C185-$B185),0)</x:f>
        <x:v>0</x:v>
      </x:c>
      <x:c r="L185" s="45" t="n">
        <x:f>F185+I185</x:f>
        <x:v>0</x:v>
      </x:c>
      <x:c r="M185" s="45" t="n">
        <x:f>G185+J185</x:f>
        <x:v>1</x:v>
      </x:c>
      <x:c r="N185" s="45" t="n">
        <x:f>H185+K185</x:f>
        <x:v>0</x:v>
      </x:c>
      <x:c r="O185" s="45" t="n">
        <x:f>SUM(F185:H185)</x:f>
        <x:v>1</x:v>
      </x:c>
      <x:c r="P185" s="42" t="n">
        <x:f>IF(AND(F185&lt;=F137,F185&lt;=F169,F185&lt;=F153,G185&lt;=G193,G185&lt;=G181,G185&lt;=G189,H185&lt;=H182,H185&lt;=H184,H185&lt;=H183),1,0)</x:f>
        <x:v>0</x:v>
      </x:c>
      <x:c r="Q185" s="42" t="n">
        <x:f>IF(AND(L185&lt;=L137,L185&lt;=L169,L185&lt;=L153,M185&lt;=M193,M185&lt;=M181,M185&lt;=M189,N185&lt;=N182,N185&lt;=N184,N185&lt;=N183),1,0)</x:f>
        <x:v>0</x:v>
      </x:c>
      <x:c r="R185" s="42" t="n">
        <x:v>0</x:v>
      </x:c>
      <x:c r="S185" s="42" t="n">
        <x:v>0</x:v>
      </x:c>
    </x:row>
    <x:row r="186">
      <x:c r="A186" t="n">
        <x:v>3</x:v>
      </x:c>
      <x:c r="B186" t="n">
        <x:v>0</x:v>
      </x:c>
      <x:c r="C186" t="n">
        <x:v>0</x:v>
      </x:c>
      <x:c r="D186" t="n">
        <x:v>1</x:v>
      </x:c>
      <x:c r="E186" t="str">
        <x:v>voe</x:v>
      </x:c>
      <x:c r="F186" s="45" t="n">
        <x:f>2*$B186</x:f>
        <x:v>0</x:v>
      </x:c>
      <x:c r="G186" s="45" t="n">
        <x:f>0</x:f>
        <x:v>0</x:v>
      </x:c>
      <x:c r="H186" s="45" t="n">
        <x:f>1*$B186</x:f>
        <x:v>0</x:v>
      </x:c>
      <x:c r="I186" s="45" t="n">
        <x:f>0</x:f>
        <x:v>0</x:v>
      </x:c>
      <x:c r="J186" s="45" t="n">
        <x:f>0</x:f>
        <x:v>0</x:v>
      </x:c>
      <x:c r="K186" s="45" t="n">
        <x:f>0</x:f>
        <x:v>0</x:v>
      </x:c>
      <x:c r="L186" s="45" t="n">
        <x:f>F186+I186</x:f>
        <x:v>0</x:v>
      </x:c>
      <x:c r="M186" s="45" t="n">
        <x:f>G186+J186</x:f>
        <x:v>0</x:v>
      </x:c>
      <x:c r="N186" s="45" t="n">
        <x:f>H186+K186</x:f>
        <x:v>0</x:v>
      </x:c>
      <x:c r="O186" s="45" t="n">
        <x:f>SUM(F186:H186)</x:f>
        <x:v>0</x:v>
      </x:c>
      <x:c r="P186" s="42" t="n">
        <x:f>IF(AND(F186&lt;=F138,F186&lt;=F170,F186&lt;=F154,G186&lt;=G190,G186&lt;=G178,G186&lt;=G182,H186&lt;=H189,H186&lt;=H188,H186&lt;=H187),1,0)</x:f>
        <x:v>1</x:v>
      </x:c>
      <x:c r="Q186" s="42" t="n">
        <x:f>IF(AND(L186&lt;=L138,L186&lt;=L170,L186&lt;=L154,M186&lt;=M190,M186&lt;=M178,M186&lt;=M182,N186&lt;=N189,N186&lt;=N188,N186&lt;=N187),1,0)</x:f>
        <x:v>1</x:v>
      </x:c>
      <x:c r="R186" s="42" t="n">
        <x:v>1</x:v>
      </x:c>
      <x:c r="S186" s="42" t="n">
        <x:v>1</x:v>
      </x:c>
    </x:row>
    <x:row r="187">
      <x:c r="A187" t="n">
        <x:v>3</x:v>
      </x:c>
      <x:c r="B187" t="n">
        <x:v>0</x:v>
      </x:c>
      <x:c r="C187" t="n">
        <x:v>0</x:v>
      </x:c>
      <x:c r="D187" t="n">
        <x:v>1</x:v>
      </x:c>
      <x:c r="E187" t="str">
        <x:v>vol</x:v>
      </x:c>
      <x:c r="F187" s="45" t="n">
        <x:f>2*$B187</x:f>
        <x:v>0</x:v>
      </x:c>
      <x:c r="G187" s="45" t="n">
        <x:f>0</x:f>
        <x:v>0</x:v>
      </x:c>
      <x:c r="H187" s="45" t="n">
        <x:f>1*$D187</x:f>
        <x:v>1</x:v>
      </x:c>
      <x:c r="I187" s="45" t="n">
        <x:f>0</x:f>
        <x:v>0</x:v>
      </x:c>
      <x:c r="J187" s="45" t="n">
        <x:f>0</x:f>
        <x:v>0</x:v>
      </x:c>
      <x:c r="K187" s="45" t="n">
        <x:f>0</x:f>
        <x:v>0</x:v>
      </x:c>
      <x:c r="L187" s="45" t="n">
        <x:f>F187+I187</x:f>
        <x:v>0</x:v>
      </x:c>
      <x:c r="M187" s="45" t="n">
        <x:f>G187+J187</x:f>
        <x:v>0</x:v>
      </x:c>
      <x:c r="N187" s="45" t="n">
        <x:f>H187+K187</x:f>
        <x:v>1</x:v>
      </x:c>
      <x:c r="O187" s="45" t="n">
        <x:f>SUM(F187:H187)</x:f>
        <x:v>1</x:v>
      </x:c>
      <x:c r="P187" s="42" t="n">
        <x:f>IF(AND(F187&lt;=F139,F187&lt;=F171,F187&lt;=F155,G187&lt;=G191,G187&lt;=G179,G187&lt;=G183,H187&lt;=H189,H187&lt;=H186,H187&lt;=H188),1,0)</x:f>
        <x:v>0</x:v>
      </x:c>
      <x:c r="Q187" s="42" t="n">
        <x:f>IF(AND(L187&lt;=L139,L187&lt;=L171,L187&lt;=L155,M187&lt;=M191,M187&lt;=M179,M187&lt;=M183,N187&lt;=N189,N187&lt;=N186,N187&lt;=N188),1,0)</x:f>
        <x:v>0</x:v>
      </x:c>
      <x:c r="R187" s="42" t="n">
        <x:v>0</x:v>
      </x:c>
      <x:c r="S187" s="42" t="n">
        <x:v>0</x:v>
      </x:c>
    </x:row>
    <x:row r="188">
      <x:c r="A188" t="n">
        <x:v>3</x:v>
      </x:c>
      <x:c r="B188" t="n">
        <x:v>0</x:v>
      </x:c>
      <x:c r="C188" t="n">
        <x:v>0</x:v>
      </x:c>
      <x:c r="D188" t="n">
        <x:v>1</x:v>
      </x:c>
      <x:c r="E188" t="str">
        <x:v>voo</x:v>
      </x:c>
      <x:c r="F188" s="45" t="n">
        <x:f>2*$B188</x:f>
        <x:v>0</x:v>
      </x:c>
      <x:c r="G188" s="45" t="n">
        <x:f>(1/2)*$C188+(1/2)*$D188</x:f>
        <x:v>0.5</x:v>
      </x:c>
      <x:c r="H188" s="45" t="n">
        <x:f>(1/2)*$C188+(1/2)*$D188</x:f>
        <x:v>0.5</x:v>
      </x:c>
      <x:c r="I188" s="45" t="n">
        <x:f>0</x:f>
        <x:v>0</x:v>
      </x:c>
      <x:c r="J188" s="45" t="n">
        <x:f>(1/2)*($C188+$D188)</x:f>
        <x:v>0.5</x:v>
      </x:c>
      <x:c r="K188" s="45" t="n">
        <x:f>(1/2)*($C188+$D188)</x:f>
        <x:v>0.5</x:v>
      </x:c>
      <x:c r="L188" s="45" t="n">
        <x:f>F188+I188</x:f>
        <x:v>0</x:v>
      </x:c>
      <x:c r="M188" s="45" t="n">
        <x:f>G188+J188</x:f>
        <x:v>1</x:v>
      </x:c>
      <x:c r="N188" s="45" t="n">
        <x:f>H188+K188</x:f>
        <x:v>1</x:v>
      </x:c>
      <x:c r="O188" s="45" t="n">
        <x:f>SUM(F188:H188)</x:f>
        <x:v>1</x:v>
      </x:c>
      <x:c r="P188" s="42" t="n">
        <x:f>IF(AND(F188&lt;=F140,F188&lt;=F172,F188&lt;=F156,G188&lt;=G192,G188&lt;=G180,G188&lt;=G184,H188&lt;=H189,H188&lt;=H186,H188&lt;=H187),1,0)</x:f>
        <x:v>0</x:v>
      </x:c>
      <x:c r="Q188" s="42" t="n">
        <x:f>IF(AND(L188&lt;=L140,L188&lt;=L172,L188&lt;=L156,M188&lt;=M192,M188&lt;=M180,M188&lt;=M184,N188&lt;=N189,N188&lt;=N186,N188&lt;=N187),1,0)</x:f>
        <x:v>0</x:v>
      </x:c>
      <x:c r="R188" s="42" t="n">
        <x:v>0</x:v>
      </x:c>
      <x:c r="S188" s="42" t="n">
        <x:v>0</x:v>
      </x:c>
    </x:row>
    <x:row r="189">
      <x:c r="A189" t="n">
        <x:v>3</x:v>
      </x:c>
      <x:c r="B189" t="n">
        <x:v>0</x:v>
      </x:c>
      <x:c r="C189" t="n">
        <x:v>0</x:v>
      </x:c>
      <x:c r="D189" t="n">
        <x:v>1</x:v>
      </x:c>
      <x:c r="E189" t="str">
        <x:v>vov</x:v>
      </x:c>
      <x:c r="F189" s="45" t="n">
        <x:f>(3/2)*$B189+(1/2)*$C189</x:f>
        <x:v>0</x:v>
      </x:c>
      <x:c r="G189" s="45" t="n">
        <x:f>0</x:f>
        <x:v>0</x:v>
      </x:c>
      <x:c r="H189" s="45" t="n">
        <x:f>(3/2)*$B189+(1/2)*$C189</x:f>
        <x:v>0</x:v>
      </x:c>
      <x:c r="I189" s="45" t="n">
        <x:f>MAX((1/2)*($C189-$B189),0)</x:f>
        <x:v>0</x:v>
      </x:c>
      <x:c r="J189" s="45" t="n">
        <x:f>0</x:f>
        <x:v>0</x:v>
      </x:c>
      <x:c r="K189" s="45" t="n">
        <x:f>MAX((1/2)*($C189-$B189),0)</x:f>
        <x:v>0</x:v>
      </x:c>
      <x:c r="L189" s="45" t="n">
        <x:f>F189+I189</x:f>
        <x:v>0</x:v>
      </x:c>
      <x:c r="M189" s="45" t="n">
        <x:f>G189+J189</x:f>
        <x:v>0</x:v>
      </x:c>
      <x:c r="N189" s="45" t="n">
        <x:f>H189+K189</x:f>
        <x:v>0</x:v>
      </x:c>
      <x:c r="O189" s="45" t="n">
        <x:f>SUM(F189:H189)</x:f>
        <x:v>0</x:v>
      </x:c>
      <x:c r="P189" s="42" t="n">
        <x:f>IF(AND(F189&lt;=F141,F189&lt;=F173,F189&lt;=F157,G189&lt;=G193,G189&lt;=G181,G189&lt;=G185,H189&lt;=H186,H189&lt;=H188,H189&lt;=H187),1,0)</x:f>
        <x:v>1</x:v>
      </x:c>
      <x:c r="Q189" s="42" t="n">
        <x:f>IF(AND(L189&lt;=L141,L189&lt;=L173,L189&lt;=L157,M189&lt;=M193,M189&lt;=M181,M189&lt;=M185,N189&lt;=N186,N189&lt;=N188,N189&lt;=N187),1,0)</x:f>
        <x:v>1</x:v>
      </x:c>
      <x:c r="R189" s="42" t="n">
        <x:v>1</x:v>
      </x:c>
      <x:c r="S189" s="42" t="n">
        <x:v>1</x:v>
      </x:c>
    </x:row>
    <x:row r="190">
      <x:c r="A190" t="n">
        <x:v>3</x:v>
      </x:c>
      <x:c r="B190" t="n">
        <x:v>0</x:v>
      </x:c>
      <x:c r="C190" t="n">
        <x:v>0</x:v>
      </x:c>
      <x:c r="D190" t="n">
        <x:v>1</x:v>
      </x:c>
      <x:c r="E190" t="str">
        <x:v>vve</x:v>
      </x:c>
      <x:c r="F190" s="45" t="n">
        <x:f>(3/2)*$B190+(1/2)*$C190</x:f>
        <x:v>0</x:v>
      </x:c>
      <x:c r="G190" s="45" t="n">
        <x:f>(3/2)*$B190+(1/2)*$C190</x:f>
        <x:v>0</x:v>
      </x:c>
      <x:c r="H190" s="45" t="n">
        <x:f>1*$C190</x:f>
        <x:v>0</x:v>
      </x:c>
      <x:c r="I190" s="45" t="n">
        <x:f>MAX((3/2)*($C190-$B190),0)</x:f>
        <x:v>0</x:v>
      </x:c>
      <x:c r="J190" s="45" t="n">
        <x:f>MAX((3/2)*($C190-$B190),0)</x:f>
        <x:v>0</x:v>
      </x:c>
      <x:c r="K190" s="45" t="n">
        <x:f>0</x:f>
        <x:v>0</x:v>
      </x:c>
      <x:c r="L190" s="45" t="n">
        <x:f>F190+I190</x:f>
        <x:v>0</x:v>
      </x:c>
      <x:c r="M190" s="45" t="n">
        <x:f>G190+J190</x:f>
        <x:v>0</x:v>
      </x:c>
      <x:c r="N190" s="45" t="n">
        <x:f>H190+K190</x:f>
        <x:v>0</x:v>
      </x:c>
      <x:c r="O190" s="45" t="n">
        <x:f>SUM(F190:H190)</x:f>
        <x:v>0</x:v>
      </x:c>
      <x:c r="P190" s="42" t="n">
        <x:f>IF(AND(F190&lt;=F142,F190&lt;=F174,F190&lt;=F158,G190&lt;=G178,G190&lt;=G186,G190&lt;=G182,H190&lt;=H193,H190&lt;=H192,H190&lt;=H191),1,0)</x:f>
        <x:v>1</x:v>
      </x:c>
      <x:c r="Q190" s="42" t="n">
        <x:f>IF(AND(L190&lt;=L142,L190&lt;=L174,L190&lt;=L158,M190&lt;=M178,M190&lt;=M186,M190&lt;=M182,N190&lt;=N193,N190&lt;=N192,N190&lt;=N191),1,0)</x:f>
        <x:v>1</x:v>
      </x:c>
      <x:c r="R190" s="42" t="n">
        <x:v>1</x:v>
      </x:c>
      <x:c r="S190" s="42" t="n">
        <x:v>1</x:v>
      </x:c>
    </x:row>
    <x:row r="191">
      <x:c r="A191" t="n">
        <x:v>3</x:v>
      </x:c>
      <x:c r="B191" t="n">
        <x:v>0</x:v>
      </x:c>
      <x:c r="C191" t="n">
        <x:v>0</x:v>
      </x:c>
      <x:c r="D191" t="n">
        <x:v>1</x:v>
      </x:c>
      <x:c r="E191" t="str">
        <x:v>vvl</x:v>
      </x:c>
      <x:c r="F191" s="45" t="n">
        <x:f>(3/2)*$B191+(1/2)*$C191</x:f>
        <x:v>0</x:v>
      </x:c>
      <x:c r="G191" s="45" t="n">
        <x:f>(3/2)*$B191+(1/2)*$C191</x:f>
        <x:v>0</x:v>
      </x:c>
      <x:c r="H191" s="45" t="n">
        <x:f>1*$D191</x:f>
        <x:v>1</x:v>
      </x:c>
      <x:c r="I191" s="45" t="n">
        <x:f>MAX((1/2)*($C191-$B191),0)</x:f>
        <x:v>0</x:v>
      </x:c>
      <x:c r="J191" s="45" t="n">
        <x:f>MAX((1/2)*($C191-$B191),0)</x:f>
        <x:v>0</x:v>
      </x:c>
      <x:c r="K191" s="45" t="n">
        <x:f>0</x:f>
        <x:v>0</x:v>
      </x:c>
      <x:c r="L191" s="45" t="n">
        <x:f>F191+I191</x:f>
        <x:v>0</x:v>
      </x:c>
      <x:c r="M191" s="45" t="n">
        <x:f>G191+J191</x:f>
        <x:v>0</x:v>
      </x:c>
      <x:c r="N191" s="45" t="n">
        <x:f>H191+K191</x:f>
        <x:v>1</x:v>
      </x:c>
      <x:c r="O191" s="45" t="n">
        <x:f>SUM(F191:H191)</x:f>
        <x:v>1</x:v>
      </x:c>
      <x:c r="P191" s="42" t="n">
        <x:f>IF(AND(F191&lt;=F143,F191&lt;=F175,F191&lt;=F159,G191&lt;=G179,G191&lt;=G187,G191&lt;=G183,H191&lt;=H193,H191&lt;=H190,H191&lt;=H192),1,0)</x:f>
        <x:v>0</x:v>
      </x:c>
      <x:c r="Q191" s="42" t="n">
        <x:f>IF(AND(L191&lt;=L143,L191&lt;=L175,L191&lt;=L159,M191&lt;=M179,M191&lt;=M187,M191&lt;=M183,N191&lt;=N193,N191&lt;=N190,N191&lt;=N192),1,0)</x:f>
        <x:v>0</x:v>
      </x:c>
      <x:c r="R191" s="42" t="n">
        <x:v>0</x:v>
      </x:c>
      <x:c r="S191" s="42" t="n">
        <x:v>0</x:v>
      </x:c>
    </x:row>
    <x:row r="192">
      <x:c r="A192" t="n">
        <x:v>3</x:v>
      </x:c>
      <x:c r="B192" t="n">
        <x:v>0</x:v>
      </x:c>
      <x:c r="C192" t="n">
        <x:v>0</x:v>
      </x:c>
      <x:c r="D192" t="n">
        <x:v>1</x:v>
      </x:c>
      <x:c r="E192" t="str">
        <x:v>vvo</x:v>
      </x:c>
      <x:c r="F192" s="45" t="n">
        <x:f>(3/2)*$B192+(1/2)*$C192</x:f>
        <x:v>0</x:v>
      </x:c>
      <x:c r="G192" s="45" t="n">
        <x:f>(3/2)*$B192+(1/2)*$C192</x:f>
        <x:v>0</x:v>
      </x:c>
      <x:c r="H192" s="45" t="n">
        <x:f>0</x:f>
        <x:v>0</x:v>
      </x:c>
      <x:c r="I192" s="45" t="n">
        <x:f>MAX((1/2)*($C192-$B192),0)</x:f>
        <x:v>0</x:v>
      </x:c>
      <x:c r="J192" s="45" t="n">
        <x:f>MAX((1/2)*($C192-$B192),0)</x:f>
        <x:v>0</x:v>
      </x:c>
      <x:c r="K192" s="45" t="n">
        <x:f>0</x:f>
        <x:v>0</x:v>
      </x:c>
      <x:c r="L192" s="45" t="n">
        <x:f>F192+I192</x:f>
        <x:v>0</x:v>
      </x:c>
      <x:c r="M192" s="45" t="n">
        <x:f>G192+J192</x:f>
        <x:v>0</x:v>
      </x:c>
      <x:c r="N192" s="45" t="n">
        <x:f>H192+K192</x:f>
        <x:v>0</x:v>
      </x:c>
      <x:c r="O192" s="45" t="n">
        <x:f>SUM(F192:H192)</x:f>
        <x:v>0</x:v>
      </x:c>
      <x:c r="P192" s="42" t="n">
        <x:f>IF(AND(F192&lt;=F144,F192&lt;=F176,F192&lt;=F160,G192&lt;=G180,G192&lt;=G188,G192&lt;=G184,H192&lt;=H193,H192&lt;=H190,H192&lt;=H191),1,0)</x:f>
        <x:v>1</x:v>
      </x:c>
      <x:c r="Q192" s="42" t="n">
        <x:f>IF(AND(L192&lt;=L144,L192&lt;=L176,L192&lt;=L160,M192&lt;=M180,M192&lt;=M188,M192&lt;=M184,N192&lt;=N193,N192&lt;=N190,N192&lt;=N191),1,0)</x:f>
        <x:v>1</x:v>
      </x:c>
      <x:c r="R192" s="42" t="n">
        <x:v>1</x:v>
      </x:c>
      <x:c r="S192" s="42" t="n">
        <x:v>1</x:v>
      </x:c>
    </x:row>
    <x:row r="193">
      <x:c r="A193" t="n">
        <x:v>3</x:v>
      </x:c>
      <x:c r="B193" t="n">
        <x:v>0</x:v>
      </x:c>
      <x:c r="C193" t="n">
        <x:v>0</x:v>
      </x:c>
      <x:c r="D193" t="n">
        <x:v>1</x:v>
      </x:c>
      <x:c r="E193" t="str">
        <x:v>vvv</x:v>
      </x:c>
      <x:c r="F193" s="45" t="n">
        <x:f>1*$B193+1*$C193</x:f>
        <x:v>0</x:v>
      </x:c>
      <x:c r="G193" s="45" t="n">
        <x:f>1*$B193+1*$C193</x:f>
        <x:v>0</x:v>
      </x:c>
      <x:c r="H193" s="45" t="n">
        <x:f>1*$B193+1*$C193</x:f>
        <x:v>0</x:v>
      </x:c>
      <x:c r="I193" s="45" t="n">
        <x:f>MAX($C193-$B193,0)</x:f>
        <x:v>0</x:v>
      </x:c>
      <x:c r="J193" s="45" t="n">
        <x:f>MAX($C193-$B193,0)</x:f>
        <x:v>0</x:v>
      </x:c>
      <x:c r="K193" s="45" t="n">
        <x:f>MAX($C193-$B193,0)</x:f>
        <x:v>0</x:v>
      </x:c>
      <x:c r="L193" s="45" t="n">
        <x:f>F193+I193</x:f>
        <x:v>0</x:v>
      </x:c>
      <x:c r="M193" s="45" t="n">
        <x:f>G193+J193</x:f>
        <x:v>0</x:v>
      </x:c>
      <x:c r="N193" s="45" t="n">
        <x:f>H193+K193</x:f>
        <x:v>0</x:v>
      </x:c>
      <x:c r="O193" s="45" t="n">
        <x:f>SUM(F193:H193)</x:f>
        <x:v>0</x:v>
      </x:c>
      <x:c r="P193" s="42" t="n">
        <x:f>IF(AND(F193&lt;=F145,F193&lt;=F177,F193&lt;=F161,G193&lt;=G181,G193&lt;=G189,G193&lt;=G185,H193&lt;=H190,H193&lt;=H192,H193&lt;=H191),1,0)</x:f>
        <x:v>1</x:v>
      </x:c>
      <x:c r="Q193" s="42" t="n">
        <x:f>IF(AND(L193&lt;=L145,L193&lt;=L177,L193&lt;=L161,M193&lt;=M181,M193&lt;=M189,M193&lt;=M185,N193&lt;=N190,N193&lt;=N192,N193&lt;=N191),1,0)</x:f>
        <x:v>1</x:v>
      </x:c>
      <x:c r="R193" s="42" t="n">
        <x:v>1</x:v>
      </x:c>
      <x:c r="S193" s="42" t="n">
        <x:v>1</x:v>
      </x:c>
    </x:row>
    <x:row r="194">
      <x:c r="A194" t="n">
        <x:v>4</x:v>
      </x:c>
      <x:c r="B194" t="n">
        <x:v>0</x:v>
      </x:c>
      <x:c r="C194" t="n">
        <x:v>1</x:v>
      </x:c>
      <x:c r="D194" t="n">
        <x:v>1</x:v>
      </x:c>
      <x:c r="E194" t="str">
        <x:v>eee</x:v>
      </x:c>
      <x:c r="F194" s="45" t="n">
        <x:f>(1/3)*$B194+1*$C194+(1/3)*$D194</x:f>
        <x:v>1.3333333333333333</x:v>
      </x:c>
      <x:c r="G194" s="45" t="n">
        <x:f>(1/3)*$B194+1*$C194+(1/3)*$D194</x:f>
        <x:v>1.3333333333333333</x:v>
      </x:c>
      <x:c r="H194" s="45" t="n">
        <x:f>(1/3)*$B194+1*$C194+(1/3)*$D194</x:f>
        <x:v>1.3333333333333333</x:v>
      </x:c>
      <x:c r="I194" s="45" t="n">
        <x:f>MAX($C194+(2/3)*$D194-(1/3)*$B194,0)</x:f>
        <x:v>1.6666666666666665</x:v>
      </x:c>
      <x:c r="J194" s="45" t="n">
        <x:f>MAX($C194+(2/3)*$D194-(1/3)*$B194,0)</x:f>
        <x:v>1.6666666666666665</x:v>
      </x:c>
      <x:c r="K194" s="45" t="n">
        <x:f>MAX($C194+(2/3)*$D194-(1/3)*$B194,0)</x:f>
        <x:v>1.6666666666666665</x:v>
      </x:c>
      <x:c r="L194" s="45" t="n">
        <x:f>F194+I194</x:f>
        <x:v>3</x:v>
      </x:c>
      <x:c r="M194" s="45" t="n">
        <x:f>G194+J194</x:f>
        <x:v>3</x:v>
      </x:c>
      <x:c r="N194" s="45" t="n">
        <x:f>H194+K194</x:f>
        <x:v>3</x:v>
      </x:c>
      <x:c r="O194" s="45" t="n">
        <x:f>SUM(F194:H194)</x:f>
        <x:v>4</x:v>
      </x:c>
      <x:c r="P194" s="42" t="n">
        <x:f>IF(AND(F194&lt;=F242,F194&lt;=F226,F194&lt;=F210,G194&lt;=G206,G194&lt;=G202,G194&lt;=G198,H194&lt;=H197,H194&lt;=H196,H194&lt;=H195),1,0)</x:f>
        <x:v>0</x:v>
      </x:c>
      <x:c r="Q194" s="42" t="n">
        <x:f>IF(AND(L194&lt;=L242,L194&lt;=L226,L194&lt;=L210,M194&lt;=M206,M194&lt;=M202,M194&lt;=M198,N194&lt;=N197,N194&lt;=N196,N194&lt;=N195),1,0)</x:f>
        <x:v>0</x:v>
      </x:c>
      <x:c r="R194" s="42" t="n">
        <x:v>0</x:v>
      </x:c>
      <x:c r="S194" s="42" t="n">
        <x:v>0</x:v>
      </x:c>
    </x:row>
    <x:row r="195">
      <x:c r="A195" t="n">
        <x:v>4</x:v>
      </x:c>
      <x:c r="B195" t="n">
        <x:v>0</x:v>
      </x:c>
      <x:c r="C195" t="n">
        <x:v>1</x:v>
      </x:c>
      <x:c r="D195" t="n">
        <x:v>1</x:v>
      </x:c>
      <x:c r="E195" t="str">
        <x:v>eel</x:v>
      </x:c>
      <x:c r="F195" s="45" t="n">
        <x:f>(1/2)*$B195+(1/2)*$C195</x:f>
        <x:v>0.5</x:v>
      </x:c>
      <x:c r="G195" s="45" t="n">
        <x:f>(1/2)*$B195+(1/2)*$C195</x:f>
        <x:v>0.5</x:v>
      </x:c>
      <x:c r="H195" s="45" t="n">
        <x:f>1*$D195</x:f>
        <x:v>1</x:v>
      </x:c>
      <x:c r="I195" s="45" t="n">
        <x:f>MAX((1/2)*($C195-$B195),0)</x:f>
        <x:v>0.5</x:v>
      </x:c>
      <x:c r="J195" s="45" t="n">
        <x:f>MAX((1/2)*($C195-$B195),0)</x:f>
        <x:v>0.5</x:v>
      </x:c>
      <x:c r="K195" s="45" t="n">
        <x:f>0</x:f>
        <x:v>0</x:v>
      </x:c>
      <x:c r="L195" s="45" t="n">
        <x:f>F195+I195</x:f>
        <x:v>1</x:v>
      </x:c>
      <x:c r="M195" s="45" t="n">
        <x:f>G195+J195</x:f>
        <x:v>1</x:v>
      </x:c>
      <x:c r="N195" s="45" t="n">
        <x:f>H195+K195</x:f>
        <x:v>1</x:v>
      </x:c>
      <x:c r="O195" s="45" t="n">
        <x:f>SUM(F195:H195)</x:f>
        <x:v>2</x:v>
      </x:c>
      <x:c r="P195" s="42" t="n">
        <x:f>IF(AND(F195&lt;=F243,F195&lt;=F227,F195&lt;=F211,G195&lt;=G207,G195&lt;=G203,G195&lt;=G199,H195&lt;=H197,H195&lt;=H194,H195&lt;=H196),1,0)</x:f>
        <x:v>0</x:v>
      </x:c>
      <x:c r="Q195" s="42" t="n">
        <x:f>IF(AND(L195&lt;=L243,L195&lt;=L227,L195&lt;=L211,M195&lt;=M207,M195&lt;=M203,M195&lt;=M199,N195&lt;=N197,N195&lt;=N194,N195&lt;=N196),1,0)</x:f>
        <x:v>0</x:v>
      </x:c>
      <x:c r="R195" s="42" t="n">
        <x:v>0</x:v>
      </x:c>
      <x:c r="S195" s="42" t="n">
        <x:v>0</x:v>
      </x:c>
    </x:row>
    <x:row r="196">
      <x:c r="A196" t="n">
        <x:v>4</x:v>
      </x:c>
      <x:c r="B196" t="n">
        <x:v>0</x:v>
      </x:c>
      <x:c r="C196" t="n">
        <x:v>1</x:v>
      </x:c>
      <x:c r="D196" t="n">
        <x:v>1</x:v>
      </x:c>
      <x:c r="E196" t="str">
        <x:v>eeo</x:v>
      </x:c>
      <x:c r="F196" s="45" t="n">
        <x:f>(1/2)*$B196+(1/2)*$C196</x:f>
        <x:v>0.5</x:v>
      </x:c>
      <x:c r="G196" s="45" t="n">
        <x:f>(1/2)*$B196+(1/2)*$C196</x:f>
        <x:v>0.5</x:v>
      </x:c>
      <x:c r="H196" s="45" t="n">
        <x:f>1*$C196+1*$D196</x:f>
        <x:v>2</x:v>
      </x:c>
      <x:c r="I196" s="45" t="n">
        <x:f>MAX((3/2)*$C196+$D196-(1/2)*$B196,0)</x:f>
        <x:v>2.5</x:v>
      </x:c>
      <x:c r="J196" s="45" t="n">
        <x:f>MAX((3/2)*$C196+$D196-(1/2)*$B196,0)</x:f>
        <x:v>2.5</x:v>
      </x:c>
      <x:c r="K196" s="45" t="n">
        <x:f>0</x:f>
        <x:v>0</x:v>
      </x:c>
      <x:c r="L196" s="45" t="n">
        <x:f>F196+I196</x:f>
        <x:v>3</x:v>
      </x:c>
      <x:c r="M196" s="45" t="n">
        <x:f>G196+J196</x:f>
        <x:v>3</x:v>
      </x:c>
      <x:c r="N196" s="45" t="n">
        <x:f>H196+K196</x:f>
        <x:v>2</x:v>
      </x:c>
      <x:c r="O196" s="45" t="n">
        <x:f>SUM(F196:H196)</x:f>
        <x:v>3</x:v>
      </x:c>
      <x:c r="P196" s="42" t="n">
        <x:f>IF(AND(F196&lt;=F244,F196&lt;=F228,F196&lt;=F212,G196&lt;=G208,G196&lt;=G204,G196&lt;=G200,H196&lt;=H197,H196&lt;=H194,H196&lt;=H195),1,0)</x:f>
        <x:v>0</x:v>
      </x:c>
      <x:c r="Q196" s="42" t="n">
        <x:f>IF(AND(L196&lt;=L244,L196&lt;=L228,L196&lt;=L212,M196&lt;=M208,M196&lt;=M204,M196&lt;=M200,N196&lt;=N197,N196&lt;=N194,N196&lt;=N195),1,0)</x:f>
        <x:v>0</x:v>
      </x:c>
      <x:c r="R196" s="42" t="n">
        <x:v>0</x:v>
      </x:c>
      <x:c r="S196" s="42" t="n">
        <x:v>0</x:v>
      </x:c>
    </x:row>
    <x:row r="197">
      <x:c r="A197" t="n">
        <x:v>4</x:v>
      </x:c>
      <x:c r="B197" t="n">
        <x:v>0</x:v>
      </x:c>
      <x:c r="C197" t="n">
        <x:v>1</x:v>
      </x:c>
      <x:c r="D197" t="n">
        <x:v>1</x:v>
      </x:c>
      <x:c r="E197" t="str">
        <x:v>eev</x:v>
      </x:c>
      <x:c r="F197" s="45" t="n">
        <x:f>(1/2)*$B197+(1/2)*$C197</x:f>
        <x:v>0.5</x:v>
      </x:c>
      <x:c r="G197" s="45" t="n">
        <x:f>(1/2)*$B197+(1/2)*$C197</x:f>
        <x:v>0.5</x:v>
      </x:c>
      <x:c r="H197" s="45" t="n">
        <x:f>2*$B197</x:f>
        <x:v>0</x:v>
      </x:c>
      <x:c r="I197" s="45" t="n">
        <x:f>MAX((1/2)*($C197-$B197),0)</x:f>
        <x:v>0.5</x:v>
      </x:c>
      <x:c r="J197" s="45" t="n">
        <x:f>MAX((1/2)*($C197-$B197),0)</x:f>
        <x:v>0.5</x:v>
      </x:c>
      <x:c r="K197" s="45" t="n">
        <x:f>0</x:f>
        <x:v>0</x:v>
      </x:c>
      <x:c r="L197" s="45" t="n">
        <x:f>F197+I197</x:f>
        <x:v>1</x:v>
      </x:c>
      <x:c r="M197" s="45" t="n">
        <x:f>G197+J197</x:f>
        <x:v>1</x:v>
      </x:c>
      <x:c r="N197" s="45" t="n">
        <x:f>H197+K197</x:f>
        <x:v>0</x:v>
      </x:c>
      <x:c r="O197" s="45" t="n">
        <x:f>SUM(F197:H197)</x:f>
        <x:v>1</x:v>
      </x:c>
      <x:c r="P197" s="42" t="n">
        <x:f>IF(AND(F197&lt;=F245,F197&lt;=F229,F197&lt;=F213,G197&lt;=G209,G197&lt;=G205,G197&lt;=G201,H197&lt;=H194,H197&lt;=H196,H197&lt;=H195),1,0)</x:f>
        <x:v>0</x:v>
      </x:c>
      <x:c r="Q197" s="42" t="n">
        <x:f>IF(AND(L197&lt;=L245,L197&lt;=L229,L197&lt;=L213,M197&lt;=M209,M197&lt;=M205,M197&lt;=M201,N197&lt;=N194,N197&lt;=N196,N197&lt;=N195),1,0)</x:f>
        <x:v>0</x:v>
      </x:c>
      <x:c r="R197" s="42" t="n">
        <x:v>0</x:v>
      </x:c>
      <x:c r="S197" s="42" t="n">
        <x:v>0</x:v>
      </x:c>
    </x:row>
    <x:row r="198">
      <x:c r="A198" t="n">
        <x:v>4</x:v>
      </x:c>
      <x:c r="B198" t="n">
        <x:v>0</x:v>
      </x:c>
      <x:c r="C198" t="n">
        <x:v>1</x:v>
      </x:c>
      <x:c r="D198" t="n">
        <x:v>1</x:v>
      </x:c>
      <x:c r="E198" t="str">
        <x:v>ele</x:v>
      </x:c>
      <x:c r="F198" s="45" t="n">
        <x:f>(1/2)*$B198+(1/2)*$C198</x:f>
        <x:v>0.5</x:v>
      </x:c>
      <x:c r="G198" s="45" t="n">
        <x:f>1*$D198</x:f>
        <x:v>1</x:v>
      </x:c>
      <x:c r="H198" s="45" t="n">
        <x:f>(1/2)*$B198+(1/2)*$C198</x:f>
        <x:v>0.5</x:v>
      </x:c>
      <x:c r="I198" s="45" t="n">
        <x:f>MAX((1/2)*($C198-$B198),0)</x:f>
        <x:v>0.5</x:v>
      </x:c>
      <x:c r="J198" s="45" t="n">
        <x:f>0</x:f>
        <x:v>0</x:v>
      </x:c>
      <x:c r="K198" s="45" t="n">
        <x:f>MAX((1/2)*($C198-$B198),0)</x:f>
        <x:v>0.5</x:v>
      </x:c>
      <x:c r="L198" s="45" t="n">
        <x:f>F198+I198</x:f>
        <x:v>1</x:v>
      </x:c>
      <x:c r="M198" s="45" t="n">
        <x:f>G198+J198</x:f>
        <x:v>1</x:v>
      </x:c>
      <x:c r="N198" s="45" t="n">
        <x:f>H198+K198</x:f>
        <x:v>1</x:v>
      </x:c>
      <x:c r="O198" s="45" t="n">
        <x:f>SUM(F198:H198)</x:f>
        <x:v>2</x:v>
      </x:c>
      <x:c r="P198" s="42" t="n">
        <x:f>IF(AND(F198&lt;=F246,F198&lt;=F230,F198&lt;=F214,G198&lt;=G206,G198&lt;=G194,G198&lt;=G202,H198&lt;=H201,H198&lt;=H200,H198&lt;=H199),1,0)</x:f>
        <x:v>0</x:v>
      </x:c>
      <x:c r="Q198" s="42" t="n">
        <x:f>IF(AND(L198&lt;=L246,L198&lt;=L230,L198&lt;=L214,M198&lt;=M206,M198&lt;=M194,M198&lt;=M202,N198&lt;=N201,N198&lt;=N200,N198&lt;=N199),1,0)</x:f>
        <x:v>0</x:v>
      </x:c>
      <x:c r="R198" s="42" t="n">
        <x:v>0</x:v>
      </x:c>
      <x:c r="S198" s="42" t="n">
        <x:v>0</x:v>
      </x:c>
    </x:row>
    <x:row r="199">
      <x:c r="A199" t="n">
        <x:v>4</x:v>
      </x:c>
      <x:c r="B199" t="n">
        <x:v>0</x:v>
      </x:c>
      <x:c r="C199" t="n">
        <x:v>1</x:v>
      </x:c>
      <x:c r="D199" t="n">
        <x:v>1</x:v>
      </x:c>
      <x:c r="E199" t="str">
        <x:v>ell</x:v>
      </x:c>
      <x:c r="F199" s="45" t="n">
        <x:f>1*$B199</x:f>
        <x:v>0</x:v>
      </x:c>
      <x:c r="G199" s="45" t="n">
        <x:f>(1/2)*$C199+(3/2)*$D199</x:f>
        <x:v>2</x:v>
      </x:c>
      <x:c r="H199" s="45" t="n">
        <x:f>(1/2)*$C199+(3/2)*$D199</x:f>
        <x:v>2</x:v>
      </x:c>
      <x:c r="I199" s="45" t="n">
        <x:f>0</x:f>
        <x:v>0</x:v>
      </x:c>
      <x:c r="J199" s="45" t="n">
        <x:f>(1/2)*($C199+$D199)</x:f>
        <x:v>1</x:v>
      </x:c>
      <x:c r="K199" s="45" t="n">
        <x:f>(1/2)*($C199+$D199)</x:f>
        <x:v>1</x:v>
      </x:c>
      <x:c r="L199" s="45" t="n">
        <x:f>F199+I199</x:f>
        <x:v>0</x:v>
      </x:c>
      <x:c r="M199" s="45" t="n">
        <x:f>G199+J199</x:f>
        <x:v>3</x:v>
      </x:c>
      <x:c r="N199" s="45" t="n">
        <x:f>H199+K199</x:f>
        <x:v>3</x:v>
      </x:c>
      <x:c r="O199" s="45" t="n">
        <x:f>SUM(F199:H199)</x:f>
        <x:v>4</x:v>
      </x:c>
      <x:c r="P199" s="42" t="n">
        <x:f>IF(AND(F199&lt;=F247,F199&lt;=F231,F199&lt;=F215,G199&lt;=G207,G199&lt;=G195,G199&lt;=G203,H199&lt;=H201,H199&lt;=H198,H199&lt;=H200),1,0)</x:f>
        <x:v>0</x:v>
      </x:c>
      <x:c r="Q199" s="42" t="n">
        <x:f>IF(AND(L199&lt;=L247,L199&lt;=L231,L199&lt;=L215,M199&lt;=M207,M199&lt;=M195,M199&lt;=M203,N199&lt;=N201,N199&lt;=N198,N199&lt;=N200),1,0)</x:f>
        <x:v>0</x:v>
      </x:c>
      <x:c r="R199" s="42" t="n">
        <x:v>0</x:v>
      </x:c>
      <x:c r="S199" s="42" t="n">
        <x:v>0</x:v>
      </x:c>
    </x:row>
    <x:row r="200">
      <x:c r="A200" t="n">
        <x:v>4</x:v>
      </x:c>
      <x:c r="B200" t="n">
        <x:v>0</x:v>
      </x:c>
      <x:c r="C200" t="n">
        <x:v>1</x:v>
      </x:c>
      <x:c r="D200" t="n">
        <x:v>1</x:v>
      </x:c>
      <x:c r="E200" t="str">
        <x:v>elo</x:v>
      </x:c>
      <x:c r="F200" s="45" t="n">
        <x:f>1*$B200</x:f>
        <x:v>0</x:v>
      </x:c>
      <x:c r="G200" s="45" t="n">
        <x:f>1*$D200</x:f>
        <x:v>1</x:v>
      </x:c>
      <x:c r="H200" s="45" t="n">
        <x:f>0</x:f>
        <x:v>0</x:v>
      </x:c>
      <x:c r="I200" s="45" t="n">
        <x:f>0</x:f>
        <x:v>0</x:v>
      </x:c>
      <x:c r="J200" s="45" t="n">
        <x:f>0</x:f>
        <x:v>0</x:v>
      </x:c>
      <x:c r="K200" s="45" t="n">
        <x:f>0</x:f>
        <x:v>0</x:v>
      </x:c>
      <x:c r="L200" s="45" t="n">
        <x:f>F200+I200</x:f>
        <x:v>0</x:v>
      </x:c>
      <x:c r="M200" s="45" t="n">
        <x:f>G200+J200</x:f>
        <x:v>1</x:v>
      </x:c>
      <x:c r="N200" s="45" t="n">
        <x:f>H200+K200</x:f>
        <x:v>0</x:v>
      </x:c>
      <x:c r="O200" s="45" t="n">
        <x:f>SUM(F200:H200)</x:f>
        <x:v>1</x:v>
      </x:c>
      <x:c r="P200" s="42" t="n">
        <x:f>IF(AND(F200&lt;=F248,F200&lt;=F232,F200&lt;=F216,G200&lt;=G208,G200&lt;=G196,G200&lt;=G204,H200&lt;=H201,H200&lt;=H198,H200&lt;=H199),1,0)</x:f>
        <x:v>0</x:v>
      </x:c>
      <x:c r="Q200" s="42" t="n">
        <x:f>IF(AND(L200&lt;=L248,L200&lt;=L232,L200&lt;=L216,M200&lt;=M208,M200&lt;=M196,M200&lt;=M204,N200&lt;=N201,N200&lt;=N198,N200&lt;=N199),1,0)</x:f>
        <x:v>0</x:v>
      </x:c>
      <x:c r="R200" s="42" t="n">
        <x:v>0</x:v>
      </x:c>
      <x:c r="S200" s="42" t="n">
        <x:v>0</x:v>
      </x:c>
    </x:row>
    <x:row r="201">
      <x:c r="A201" t="n">
        <x:v>4</x:v>
      </x:c>
      <x:c r="B201" t="n">
        <x:v>0</x:v>
      </x:c>
      <x:c r="C201" t="n">
        <x:v>1</x:v>
      </x:c>
      <x:c r="D201" t="n">
        <x:v>1</x:v>
      </x:c>
      <x:c r="E201" t="str">
        <x:v>elv</x:v>
      </x:c>
      <x:c r="F201" s="45" t="n">
        <x:f>1*$B201</x:f>
        <x:v>0</x:v>
      </x:c>
      <x:c r="G201" s="45" t="n">
        <x:f>1*$D201</x:f>
        <x:v>1</x:v>
      </x:c>
      <x:c r="H201" s="45" t="n">
        <x:f>2*$B201</x:f>
        <x:v>0</x:v>
      </x:c>
      <x:c r="I201" s="45" t="n">
        <x:f>0</x:f>
        <x:v>0</x:v>
      </x:c>
      <x:c r="J201" s="45" t="n">
        <x:f>0</x:f>
        <x:v>0</x:v>
      </x:c>
      <x:c r="K201" s="45" t="n">
        <x:f>0</x:f>
        <x:v>0</x:v>
      </x:c>
      <x:c r="L201" s="45" t="n">
        <x:f>F201+I201</x:f>
        <x:v>0</x:v>
      </x:c>
      <x:c r="M201" s="45" t="n">
        <x:f>G201+J201</x:f>
        <x:v>1</x:v>
      </x:c>
      <x:c r="N201" s="45" t="n">
        <x:f>H201+K201</x:f>
        <x:v>0</x:v>
      </x:c>
      <x:c r="O201" s="45" t="n">
        <x:f>SUM(F201:H201)</x:f>
        <x:v>1</x:v>
      </x:c>
      <x:c r="P201" s="42" t="n">
        <x:f>IF(AND(F201&lt;=F249,F201&lt;=F233,F201&lt;=F217,G201&lt;=G209,G201&lt;=G197,G201&lt;=G205,H201&lt;=H198,H201&lt;=H200,H201&lt;=H199),1,0)</x:f>
        <x:v>0</x:v>
      </x:c>
      <x:c r="Q201" s="42" t="n">
        <x:f>IF(AND(L201&lt;=L249,L201&lt;=L233,L201&lt;=L217,M201&lt;=M209,M201&lt;=M197,M201&lt;=M205,N201&lt;=N198,N201&lt;=N200,N201&lt;=N199),1,0)</x:f>
        <x:v>0</x:v>
      </x:c>
      <x:c r="R201" s="42" t="n">
        <x:v>0</x:v>
      </x:c>
      <x:c r="S201" s="42" t="n">
        <x:v>0</x:v>
      </x:c>
    </x:row>
    <x:row r="202">
      <x:c r="A202" t="n">
        <x:v>4</x:v>
      </x:c>
      <x:c r="B202" t="n">
        <x:v>0</x:v>
      </x:c>
      <x:c r="C202" t="n">
        <x:v>1</x:v>
      </x:c>
      <x:c r="D202" t="n">
        <x:v>1</x:v>
      </x:c>
      <x:c r="E202" t="str">
        <x:v>eoe</x:v>
      </x:c>
      <x:c r="F202" s="45" t="n">
        <x:f>(1/2)*$B202+(1/2)*$C202</x:f>
        <x:v>0.5</x:v>
      </x:c>
      <x:c r="G202" s="45" t="n">
        <x:f>1*$C202+1*$D202</x:f>
        <x:v>2</x:v>
      </x:c>
      <x:c r="H202" s="45" t="n">
        <x:f>(1/2)*$B202+(1/2)*$C202</x:f>
        <x:v>0.5</x:v>
      </x:c>
      <x:c r="I202" s="45" t="n">
        <x:f>MAX((3/2)*$C202+$D202-(1/2)*$B202,0)</x:f>
        <x:v>2.5</x:v>
      </x:c>
      <x:c r="J202" s="45" t="n">
        <x:f>0</x:f>
        <x:v>0</x:v>
      </x:c>
      <x:c r="K202" s="45" t="n">
        <x:f>MAX((3/2)*$C202+$D202-(1/2)*$B202,0)</x:f>
        <x:v>2.5</x:v>
      </x:c>
      <x:c r="L202" s="45" t="n">
        <x:f>F202+I202</x:f>
        <x:v>3</x:v>
      </x:c>
      <x:c r="M202" s="45" t="n">
        <x:f>G202+J202</x:f>
        <x:v>2</x:v>
      </x:c>
      <x:c r="N202" s="45" t="n">
        <x:f>H202+K202</x:f>
        <x:v>3</x:v>
      </x:c>
      <x:c r="O202" s="45" t="n">
        <x:f>SUM(F202:H202)</x:f>
        <x:v>3</x:v>
      </x:c>
      <x:c r="P202" s="42" t="n">
        <x:f>IF(AND(F202&lt;=F250,F202&lt;=F234,F202&lt;=F218,G202&lt;=G206,G202&lt;=G194,G202&lt;=G198,H202&lt;=H205,H202&lt;=H204,H202&lt;=H203),1,0)</x:f>
        <x:v>0</x:v>
      </x:c>
      <x:c r="Q202" s="42" t="n">
        <x:f>IF(AND(L202&lt;=L250,L202&lt;=L234,L202&lt;=L218,M202&lt;=M206,M202&lt;=M194,M202&lt;=M198,N202&lt;=N205,N202&lt;=N204,N202&lt;=N203),1,0)</x:f>
        <x:v>0</x:v>
      </x:c>
      <x:c r="R202" s="42" t="n">
        <x:v>0</x:v>
      </x:c>
      <x:c r="S202" s="42" t="n">
        <x:v>0</x:v>
      </x:c>
    </x:row>
    <x:row r="203">
      <x:c r="A203" t="n">
        <x:v>4</x:v>
      </x:c>
      <x:c r="B203" t="n">
        <x:v>0</x:v>
      </x:c>
      <x:c r="C203" t="n">
        <x:v>1</x:v>
      </x:c>
      <x:c r="D203" t="n">
        <x:v>1</x:v>
      </x:c>
      <x:c r="E203" t="str">
        <x:v>eol</x:v>
      </x:c>
      <x:c r="F203" s="45" t="n">
        <x:f>1*$B203</x:f>
        <x:v>0</x:v>
      </x:c>
      <x:c r="G203" s="45" t="n">
        <x:f>0</x:f>
        <x:v>0</x:v>
      </x:c>
      <x:c r="H203" s="45" t="n">
        <x:f>1*$D203</x:f>
        <x:v>1</x:v>
      </x:c>
      <x:c r="I203" s="45" t="n">
        <x:f>0</x:f>
        <x:v>0</x:v>
      </x:c>
      <x:c r="J203" s="45" t="n">
        <x:f>0</x:f>
        <x:v>0</x:v>
      </x:c>
      <x:c r="K203" s="45" t="n">
        <x:f>0</x:f>
        <x:v>0</x:v>
      </x:c>
      <x:c r="L203" s="45" t="n">
        <x:f>F203+I203</x:f>
        <x:v>0</x:v>
      </x:c>
      <x:c r="M203" s="45" t="n">
        <x:f>G203+J203</x:f>
        <x:v>0</x:v>
      </x:c>
      <x:c r="N203" s="45" t="n">
        <x:f>H203+K203</x:f>
        <x:v>1</x:v>
      </x:c>
      <x:c r="O203" s="45" t="n">
        <x:f>SUM(F203:H203)</x:f>
        <x:v>1</x:v>
      </x:c>
      <x:c r="P203" s="42" t="n">
        <x:f>IF(AND(F203&lt;=F251,F203&lt;=F235,F203&lt;=F219,G203&lt;=G207,G203&lt;=G195,G203&lt;=G199,H203&lt;=H205,H203&lt;=H202,H203&lt;=H204),1,0)</x:f>
        <x:v>0</x:v>
      </x:c>
      <x:c r="Q203" s="42" t="n">
        <x:f>IF(AND(L203&lt;=L251,L203&lt;=L235,L203&lt;=L219,M203&lt;=M207,M203&lt;=M195,M203&lt;=M199,N203&lt;=N205,N203&lt;=N202,N203&lt;=N204),1,0)</x:f>
        <x:v>0</x:v>
      </x:c>
      <x:c r="R203" s="42" t="n">
        <x:v>0</x:v>
      </x:c>
      <x:c r="S203" s="42" t="n">
        <x:v>0</x:v>
      </x:c>
    </x:row>
    <x:row r="204">
      <x:c r="A204" t="n">
        <x:v>4</x:v>
      </x:c>
      <x:c r="B204" t="n">
        <x:v>0</x:v>
      </x:c>
      <x:c r="C204" t="n">
        <x:v>1</x:v>
      </x:c>
      <x:c r="D204" t="n">
        <x:v>1</x:v>
      </x:c>
      <x:c r="E204" t="str">
        <x:v>eoo</x:v>
      </x:c>
      <x:c r="F204" s="45" t="n">
        <x:f>1*$B204</x:f>
        <x:v>0</x:v>
      </x:c>
      <x:c r="G204" s="45" t="n">
        <x:f>(1/2)*$C204+(1/2)*$D204</x:f>
        <x:v>1</x:v>
      </x:c>
      <x:c r="H204" s="45" t="n">
        <x:f>(1/2)*$C204+(1/2)*$D204</x:f>
        <x:v>1</x:v>
      </x:c>
      <x:c r="I204" s="45" t="n">
        <x:f>0</x:f>
        <x:v>0</x:v>
      </x:c>
      <x:c r="J204" s="45" t="n">
        <x:f>(1/2)*($C204+$D204)</x:f>
        <x:v>1</x:v>
      </x:c>
      <x:c r="K204" s="45" t="n">
        <x:f>(1/2)*($C204+$D204)</x:f>
        <x:v>1</x:v>
      </x:c>
      <x:c r="L204" s="45" t="n">
        <x:f>F204+I204</x:f>
        <x:v>0</x:v>
      </x:c>
      <x:c r="M204" s="45" t="n">
        <x:f>G204+J204</x:f>
        <x:v>2</x:v>
      </x:c>
      <x:c r="N204" s="45" t="n">
        <x:f>H204+K204</x:f>
        <x:v>2</x:v>
      </x:c>
      <x:c r="O204" s="45" t="n">
        <x:f>SUM(F204:H204)</x:f>
        <x:v>2</x:v>
      </x:c>
      <x:c r="P204" s="42" t="n">
        <x:f>IF(AND(F204&lt;=F252,F204&lt;=F236,F204&lt;=F220,G204&lt;=G208,G204&lt;=G196,G204&lt;=G200,H204&lt;=H205,H204&lt;=H202,H204&lt;=H203),1,0)</x:f>
        <x:v>0</x:v>
      </x:c>
      <x:c r="Q204" s="42" t="n">
        <x:f>IF(AND(L204&lt;=L252,L204&lt;=L236,L204&lt;=L220,M204&lt;=M208,M204&lt;=M196,M204&lt;=M200,N204&lt;=N205,N204&lt;=N202,N204&lt;=N203),1,0)</x:f>
        <x:v>0</x:v>
      </x:c>
      <x:c r="R204" s="42" t="n">
        <x:v>0</x:v>
      </x:c>
      <x:c r="S204" s="42" t="n">
        <x:v>0</x:v>
      </x:c>
    </x:row>
    <x:row r="205">
      <x:c r="A205" t="n">
        <x:v>4</x:v>
      </x:c>
      <x:c r="B205" t="n">
        <x:v>0</x:v>
      </x:c>
      <x:c r="C205" t="n">
        <x:v>1</x:v>
      </x:c>
      <x:c r="D205" t="n">
        <x:v>1</x:v>
      </x:c>
      <x:c r="E205" t="str">
        <x:v>eov</x:v>
      </x:c>
      <x:c r="F205" s="45" t="n">
        <x:f>1*$B205</x:f>
        <x:v>0</x:v>
      </x:c>
      <x:c r="G205" s="45" t="n">
        <x:f>0</x:f>
        <x:v>0</x:v>
      </x:c>
      <x:c r="H205" s="45" t="n">
        <x:f>2*$B205</x:f>
        <x:v>0</x:v>
      </x:c>
      <x:c r="I205" s="45" t="n">
        <x:f>0</x:f>
        <x:v>0</x:v>
      </x:c>
      <x:c r="J205" s="45" t="n">
        <x:f>0</x:f>
        <x:v>0</x:v>
      </x:c>
      <x:c r="K205" s="45" t="n">
        <x:f>0</x:f>
        <x:v>0</x:v>
      </x:c>
      <x:c r="L205" s="45" t="n">
        <x:f>F205+I205</x:f>
        <x:v>0</x:v>
      </x:c>
      <x:c r="M205" s="45" t="n">
        <x:f>G205+J205</x:f>
        <x:v>0</x:v>
      </x:c>
      <x:c r="N205" s="45" t="n">
        <x:f>H205+K205</x:f>
        <x:v>0</x:v>
      </x:c>
      <x:c r="O205" s="45" t="n">
        <x:f>SUM(F205:H205)</x:f>
        <x:v>0</x:v>
      </x:c>
      <x:c r="P205" s="42" t="n">
        <x:f>IF(AND(F205&lt;=F253,F205&lt;=F237,F205&lt;=F221,G205&lt;=G209,G205&lt;=G197,G205&lt;=G201,H205&lt;=H202,H205&lt;=H204,H205&lt;=H203),1,0)</x:f>
        <x:v>1</x:v>
      </x:c>
      <x:c r="Q205" s="42" t="n">
        <x:f>IF(AND(L205&lt;=L253,L205&lt;=L237,L205&lt;=L221,M205&lt;=M209,M205&lt;=M197,M205&lt;=M201,N205&lt;=N202,N205&lt;=N204,N205&lt;=N203),1,0)</x:f>
        <x:v>1</x:v>
      </x:c>
      <x:c r="R205" s="42" t="n">
        <x:v>1</x:v>
      </x:c>
      <x:c r="S205" s="42" t="n">
        <x:v>1</x:v>
      </x:c>
    </x:row>
    <x:row r="206">
      <x:c r="A206" t="n">
        <x:v>4</x:v>
      </x:c>
      <x:c r="B206" t="n">
        <x:v>0</x:v>
      </x:c>
      <x:c r="C206" t="n">
        <x:v>1</x:v>
      </x:c>
      <x:c r="D206" t="n">
        <x:v>1</x:v>
      </x:c>
      <x:c r="E206" t="str">
        <x:v>eve</x:v>
      </x:c>
      <x:c r="F206" s="45" t="n">
        <x:f>(1/2)*$B206+(1/2)*$C206</x:f>
        <x:v>0.5</x:v>
      </x:c>
      <x:c r="G206" s="45" t="n">
        <x:f>2*$B206</x:f>
        <x:v>0</x:v>
      </x:c>
      <x:c r="H206" s="45" t="n">
        <x:f>(1/2)*$B206+(1/2)*$C206</x:f>
        <x:v>0.5</x:v>
      </x:c>
      <x:c r="I206" s="45" t="n">
        <x:f>MAX((1/2)*($C206-$B206),0)</x:f>
        <x:v>0.5</x:v>
      </x:c>
      <x:c r="J206" s="45" t="n">
        <x:f>0</x:f>
        <x:v>0</x:v>
      </x:c>
      <x:c r="K206" s="45" t="n">
        <x:f>MAX((1/2)*($C206-$B206),0)</x:f>
        <x:v>0.5</x:v>
      </x:c>
      <x:c r="L206" s="45" t="n">
        <x:f>F206+I206</x:f>
        <x:v>1</x:v>
      </x:c>
      <x:c r="M206" s="45" t="n">
        <x:f>G206+J206</x:f>
        <x:v>0</x:v>
      </x:c>
      <x:c r="N206" s="45" t="n">
        <x:f>H206+K206</x:f>
        <x:v>1</x:v>
      </x:c>
      <x:c r="O206" s="45" t="n">
        <x:f>SUM(F206:H206)</x:f>
        <x:v>1</x:v>
      </x:c>
      <x:c r="P206" s="42" t="n">
        <x:f>IF(AND(F206&lt;=F254,F206&lt;=F238,F206&lt;=F222,G206&lt;=G194,G206&lt;=G202,G206&lt;=G198,H206&lt;=H209,H206&lt;=H208,H206&lt;=H207),1,0)</x:f>
        <x:v>0</x:v>
      </x:c>
      <x:c r="Q206" s="42" t="n">
        <x:f>IF(AND(L206&lt;=L254,L206&lt;=L238,L206&lt;=L222,M206&lt;=M194,M206&lt;=M202,M206&lt;=M198,N206&lt;=N209,N206&lt;=N208,N206&lt;=N207),1,0)</x:f>
        <x:v>0</x:v>
      </x:c>
      <x:c r="R206" s="42" t="n">
        <x:v>0</x:v>
      </x:c>
      <x:c r="S206" s="42" t="n">
        <x:v>0</x:v>
      </x:c>
    </x:row>
    <x:row r="207">
      <x:c r="A207" t="n">
        <x:v>4</x:v>
      </x:c>
      <x:c r="B207" t="n">
        <x:v>0</x:v>
      </x:c>
      <x:c r="C207" t="n">
        <x:v>1</x:v>
      </x:c>
      <x:c r="D207" t="n">
        <x:v>1</x:v>
      </x:c>
      <x:c r="E207" t="str">
        <x:v>evl</x:v>
      </x:c>
      <x:c r="F207" s="45" t="n">
        <x:f>1*$B207</x:f>
        <x:v>0</x:v>
      </x:c>
      <x:c r="G207" s="45" t="n">
        <x:f>2*$B207</x:f>
        <x:v>0</x:v>
      </x:c>
      <x:c r="H207" s="45" t="n">
        <x:f>1*$D207</x:f>
        <x:v>1</x:v>
      </x:c>
      <x:c r="I207" s="45" t="n">
        <x:f>0</x:f>
        <x:v>0</x:v>
      </x:c>
      <x:c r="J207" s="45" t="n">
        <x:f>0</x:f>
        <x:v>0</x:v>
      </x:c>
      <x:c r="K207" s="45" t="n">
        <x:f>0</x:f>
        <x:v>0</x:v>
      </x:c>
      <x:c r="L207" s="45" t="n">
        <x:f>F207+I207</x:f>
        <x:v>0</x:v>
      </x:c>
      <x:c r="M207" s="45" t="n">
        <x:f>G207+J207</x:f>
        <x:v>0</x:v>
      </x:c>
      <x:c r="N207" s="45" t="n">
        <x:f>H207+K207</x:f>
        <x:v>1</x:v>
      </x:c>
      <x:c r="O207" s="45" t="n">
        <x:f>SUM(F207:H207)</x:f>
        <x:v>1</x:v>
      </x:c>
      <x:c r="P207" s="42" t="n">
        <x:f>IF(AND(F207&lt;=F255,F207&lt;=F239,F207&lt;=F223,G207&lt;=G195,G207&lt;=G203,G207&lt;=G199,H207&lt;=H209,H207&lt;=H206,H207&lt;=H208),1,0)</x:f>
        <x:v>0</x:v>
      </x:c>
      <x:c r="Q207" s="42" t="n">
        <x:f>IF(AND(L207&lt;=L255,L207&lt;=L239,L207&lt;=L223,M207&lt;=M195,M207&lt;=M203,M207&lt;=M199,N207&lt;=N209,N207&lt;=N206,N207&lt;=N208),1,0)</x:f>
        <x:v>0</x:v>
      </x:c>
      <x:c r="R207" s="42" t="n">
        <x:v>0</x:v>
      </x:c>
      <x:c r="S207" s="42" t="n">
        <x:v>0</x:v>
      </x:c>
    </x:row>
    <x:row r="208">
      <x:c r="A208" t="n">
        <x:v>4</x:v>
      </x:c>
      <x:c r="B208" t="n">
        <x:v>0</x:v>
      </x:c>
      <x:c r="C208" t="n">
        <x:v>1</x:v>
      </x:c>
      <x:c r="D208" t="n">
        <x:v>1</x:v>
      </x:c>
      <x:c r="E208" t="str">
        <x:v>evo</x:v>
      </x:c>
      <x:c r="F208" s="45" t="n">
        <x:f>1*$B208</x:f>
        <x:v>0</x:v>
      </x:c>
      <x:c r="G208" s="45" t="n">
        <x:f>2*$B208</x:f>
        <x:v>0</x:v>
      </x:c>
      <x:c r="H208" s="45" t="n">
        <x:f>0</x:f>
        <x:v>0</x:v>
      </x:c>
      <x:c r="I208" s="45" t="n">
        <x:f>0</x:f>
        <x:v>0</x:v>
      </x:c>
      <x:c r="J208" s="45" t="n">
        <x:f>0</x:f>
        <x:v>0</x:v>
      </x:c>
      <x:c r="K208" s="45" t="n">
        <x:f>0</x:f>
        <x:v>0</x:v>
      </x:c>
      <x:c r="L208" s="45" t="n">
        <x:f>F208+I208</x:f>
        <x:v>0</x:v>
      </x:c>
      <x:c r="M208" s="45" t="n">
        <x:f>G208+J208</x:f>
        <x:v>0</x:v>
      </x:c>
      <x:c r="N208" s="45" t="n">
        <x:f>H208+K208</x:f>
        <x:v>0</x:v>
      </x:c>
      <x:c r="O208" s="45" t="n">
        <x:f>SUM(F208:H208)</x:f>
        <x:v>0</x:v>
      </x:c>
      <x:c r="P208" s="42" t="n">
        <x:f>IF(AND(F208&lt;=F256,F208&lt;=F240,F208&lt;=F224,G208&lt;=G196,G208&lt;=G204,G208&lt;=G200,H208&lt;=H209,H208&lt;=H206,H208&lt;=H207),1,0)</x:f>
        <x:v>1</x:v>
      </x:c>
      <x:c r="Q208" s="42" t="n">
        <x:f>IF(AND(L208&lt;=L256,L208&lt;=L240,L208&lt;=L224,M208&lt;=M196,M208&lt;=M204,M208&lt;=M200,N208&lt;=N209,N208&lt;=N206,N208&lt;=N207),1,0)</x:f>
        <x:v>1</x:v>
      </x:c>
      <x:c r="R208" s="42" t="n">
        <x:v>1</x:v>
      </x:c>
      <x:c r="S208" s="42" t="n">
        <x:v>1</x:v>
      </x:c>
    </x:row>
    <x:row r="209">
      <x:c r="A209" t="n">
        <x:v>4</x:v>
      </x:c>
      <x:c r="B209" t="n">
        <x:v>0</x:v>
      </x:c>
      <x:c r="C209" t="n">
        <x:v>1</x:v>
      </x:c>
      <x:c r="D209" t="n">
        <x:v>1</x:v>
      </x:c>
      <x:c r="E209" t="str">
        <x:v>evv</x:v>
      </x:c>
      <x:c r="F209" s="45" t="n">
        <x:f>1*$C209</x:f>
        <x:v>1</x:v>
      </x:c>
      <x:c r="G209" s="45" t="n">
        <x:f>(3/2)*$B209+(1/2)*$C209</x:f>
        <x:v>0.5</x:v>
      </x:c>
      <x:c r="H209" s="45" t="n">
        <x:f>(3/2)*$B209+(1/2)*$C209</x:f>
        <x:v>0.5</x:v>
      </x:c>
      <x:c r="I209" s="45" t="n">
        <x:f>0</x:f>
        <x:v>0</x:v>
      </x:c>
      <x:c r="J209" s="45" t="n">
        <x:f>MAX((3/2)*($C209-$B209),0)</x:f>
        <x:v>1.5</x:v>
      </x:c>
      <x:c r="K209" s="45" t="n">
        <x:f>MAX((3/2)*($C209-$B209),0)</x:f>
        <x:v>1.5</x:v>
      </x:c>
      <x:c r="L209" s="45" t="n">
        <x:f>F209+I209</x:f>
        <x:v>1</x:v>
      </x:c>
      <x:c r="M209" s="45" t="n">
        <x:f>G209+J209</x:f>
        <x:v>2</x:v>
      </x:c>
      <x:c r="N209" s="45" t="n">
        <x:f>H209+K209</x:f>
        <x:v>2</x:v>
      </x:c>
      <x:c r="O209" s="45" t="n">
        <x:f>SUM(F209:H209)</x:f>
        <x:v>2</x:v>
      </x:c>
      <x:c r="P209" s="42" t="n">
        <x:f>IF(AND(F209&lt;=F257,F209&lt;=F241,F209&lt;=F225,G209&lt;=G197,G209&lt;=G205,G209&lt;=G201,H209&lt;=H206,H209&lt;=H208,H209&lt;=H207),1,0)</x:f>
        <x:v>0</x:v>
      </x:c>
      <x:c r="Q209" s="42" t="n">
        <x:f>IF(AND(L209&lt;=L257,L209&lt;=L241,L209&lt;=L225,M209&lt;=M197,M209&lt;=M205,M209&lt;=M201,N209&lt;=N206,N209&lt;=N208,N209&lt;=N207),1,0)</x:f>
        <x:v>0</x:v>
      </x:c>
      <x:c r="R209" s="42" t="n">
        <x:v>0</x:v>
      </x:c>
      <x:c r="S209" s="42" t="n">
        <x:v>0</x:v>
      </x:c>
    </x:row>
    <x:row r="210">
      <x:c r="A210" t="n">
        <x:v>4</x:v>
      </x:c>
      <x:c r="B210" t="n">
        <x:v>0</x:v>
      </x:c>
      <x:c r="C210" t="n">
        <x:v>1</x:v>
      </x:c>
      <x:c r="D210" t="n">
        <x:v>1</x:v>
      </x:c>
      <x:c r="E210" t="str">
        <x:v>lee</x:v>
      </x:c>
      <x:c r="F210" s="45" t="n">
        <x:f>1*$D210</x:f>
        <x:v>1</x:v>
      </x:c>
      <x:c r="G210" s="45" t="n">
        <x:f>(1/2)*$B210+(1/2)*$C210</x:f>
        <x:v>0.5</x:v>
      </x:c>
      <x:c r="H210" s="45" t="n">
        <x:f>(1/2)*$B210+(1/2)*$C210</x:f>
        <x:v>0.5</x:v>
      </x:c>
      <x:c r="I210" s="45" t="n">
        <x:f>0</x:f>
        <x:v>0</x:v>
      </x:c>
      <x:c r="J210" s="45" t="n">
        <x:f>MAX((1/2)*($C210-$B210),0)</x:f>
        <x:v>0.5</x:v>
      </x:c>
      <x:c r="K210" s="45" t="n">
        <x:f>MAX((1/2)*($C210-$B210),0)</x:f>
        <x:v>0.5</x:v>
      </x:c>
      <x:c r="L210" s="45" t="n">
        <x:f>F210+I210</x:f>
        <x:v>1</x:v>
      </x:c>
      <x:c r="M210" s="45" t="n">
        <x:f>G210+J210</x:f>
        <x:v>1</x:v>
      </x:c>
      <x:c r="N210" s="45" t="n">
        <x:f>H210+K210</x:f>
        <x:v>1</x:v>
      </x:c>
      <x:c r="O210" s="45" t="n">
        <x:f>SUM(F210:H210)</x:f>
        <x:v>2</x:v>
      </x:c>
      <x:c r="P210" s="42" t="n">
        <x:f>IF(AND(F210&lt;=F242,F210&lt;=F194,F210&lt;=F226,G210&lt;=G222,G210&lt;=G218,G210&lt;=G214,H210&lt;=H213,H210&lt;=H212,H210&lt;=H211),1,0)</x:f>
        <x:v>0</x:v>
      </x:c>
      <x:c r="Q210" s="42" t="n">
        <x:f>IF(AND(L210&lt;=L242,L210&lt;=L194,L210&lt;=L226,M210&lt;=M222,M210&lt;=M218,M210&lt;=M214,N210&lt;=N213,N210&lt;=N212,N210&lt;=N211),1,0)</x:f>
        <x:v>0</x:v>
      </x:c>
      <x:c r="R210" s="42" t="n">
        <x:v>0</x:v>
      </x:c>
      <x:c r="S210" s="42" t="n">
        <x:v>0</x:v>
      </x:c>
    </x:row>
    <x:row r="211">
      <x:c r="A211" t="n">
        <x:v>4</x:v>
      </x:c>
      <x:c r="B211" t="n">
        <x:v>0</x:v>
      </x:c>
      <x:c r="C211" t="n">
        <x:v>1</x:v>
      </x:c>
      <x:c r="D211" t="n">
        <x:v>1</x:v>
      </x:c>
      <x:c r="E211" t="str">
        <x:v>lel</x:v>
      </x:c>
      <x:c r="F211" s="45" t="n">
        <x:f>(1/2)*$C211+(3/2)*$D211</x:f>
        <x:v>2</x:v>
      </x:c>
      <x:c r="G211" s="45" t="n">
        <x:f>1*$B211</x:f>
        <x:v>0</x:v>
      </x:c>
      <x:c r="H211" s="45" t="n">
        <x:f>(1/2)*$C211+(3/2)*$D211</x:f>
        <x:v>2</x:v>
      </x:c>
      <x:c r="I211" s="45" t="n">
        <x:f>(1/2)*($C211+$D211)</x:f>
        <x:v>1</x:v>
      </x:c>
      <x:c r="J211" s="45" t="n">
        <x:f>0</x:f>
        <x:v>0</x:v>
      </x:c>
      <x:c r="K211" s="45" t="n">
        <x:f>(1/2)*($C211+$D211)</x:f>
        <x:v>1</x:v>
      </x:c>
      <x:c r="L211" s="45" t="n">
        <x:f>F211+I211</x:f>
        <x:v>3</x:v>
      </x:c>
      <x:c r="M211" s="45" t="n">
        <x:f>G211+J211</x:f>
        <x:v>0</x:v>
      </x:c>
      <x:c r="N211" s="45" t="n">
        <x:f>H211+K211</x:f>
        <x:v>3</x:v>
      </x:c>
      <x:c r="O211" s="45" t="n">
        <x:f>SUM(F211:H211)</x:f>
        <x:v>4</x:v>
      </x:c>
      <x:c r="P211" s="42" t="n">
        <x:f>IF(AND(F211&lt;=F243,F211&lt;=F195,F211&lt;=F227,G211&lt;=G223,G211&lt;=G219,G211&lt;=G215,H211&lt;=H213,H211&lt;=H210,H211&lt;=H212),1,0)</x:f>
        <x:v>0</x:v>
      </x:c>
      <x:c r="Q211" s="42" t="n">
        <x:f>IF(AND(L211&lt;=L243,L211&lt;=L195,L211&lt;=L227,M211&lt;=M223,M211&lt;=M219,M211&lt;=M215,N211&lt;=N213,N211&lt;=N210,N211&lt;=N212),1,0)</x:f>
        <x:v>0</x:v>
      </x:c>
      <x:c r="R211" s="42" t="n">
        <x:v>0</x:v>
      </x:c>
      <x:c r="S211" s="42" t="n">
        <x:v>0</x:v>
      </x:c>
    </x:row>
    <x:row r="212">
      <x:c r="A212" t="n">
        <x:v>4</x:v>
      </x:c>
      <x:c r="B212" t="n">
        <x:v>0</x:v>
      </x:c>
      <x:c r="C212" t="n">
        <x:v>1</x:v>
      </x:c>
      <x:c r="D212" t="n">
        <x:v>1</x:v>
      </x:c>
      <x:c r="E212" t="str">
        <x:v>leo</x:v>
      </x:c>
      <x:c r="F212" s="45" t="n">
        <x:f>1*$D212</x:f>
        <x:v>1</x:v>
      </x:c>
      <x:c r="G212" s="45" t="n">
        <x:f>1*$B212</x:f>
        <x:v>0</x:v>
      </x:c>
      <x:c r="H212" s="45" t="n">
        <x:f>0</x:f>
        <x:v>0</x:v>
      </x:c>
      <x:c r="I212" s="45" t="n">
        <x:f>0</x:f>
        <x:v>0</x:v>
      </x:c>
      <x:c r="J212" s="45" t="n">
        <x:f>0</x:f>
        <x:v>0</x:v>
      </x:c>
      <x:c r="K212" s="45" t="n">
        <x:f>0</x:f>
        <x:v>0</x:v>
      </x:c>
      <x:c r="L212" s="45" t="n">
        <x:f>F212+I212</x:f>
        <x:v>1</x:v>
      </x:c>
      <x:c r="M212" s="45" t="n">
        <x:f>G212+J212</x:f>
        <x:v>0</x:v>
      </x:c>
      <x:c r="N212" s="45" t="n">
        <x:f>H212+K212</x:f>
        <x:v>0</x:v>
      </x:c>
      <x:c r="O212" s="45" t="n">
        <x:f>SUM(F212:H212)</x:f>
        <x:v>1</x:v>
      </x:c>
      <x:c r="P212" s="42" t="n">
        <x:f>IF(AND(F212&lt;=F244,F212&lt;=F196,F212&lt;=F228,G212&lt;=G224,G212&lt;=G220,G212&lt;=G216,H212&lt;=H213,H212&lt;=H210,H212&lt;=H211),1,0)</x:f>
        <x:v>0</x:v>
      </x:c>
      <x:c r="Q212" s="42" t="n">
        <x:f>IF(AND(L212&lt;=L244,L212&lt;=L196,L212&lt;=L228,M212&lt;=M224,M212&lt;=M220,M212&lt;=M216,N212&lt;=N213,N212&lt;=N210,N212&lt;=N211),1,0)</x:f>
        <x:v>0</x:v>
      </x:c>
      <x:c r="R212" s="42" t="n">
        <x:v>0</x:v>
      </x:c>
      <x:c r="S212" s="42" t="n">
        <x:v>0</x:v>
      </x:c>
    </x:row>
    <x:row r="213">
      <x:c r="A213" t="n">
        <x:v>4</x:v>
      </x:c>
      <x:c r="B213" t="n">
        <x:v>0</x:v>
      </x:c>
      <x:c r="C213" t="n">
        <x:v>1</x:v>
      </x:c>
      <x:c r="D213" t="n">
        <x:v>1</x:v>
      </x:c>
      <x:c r="E213" t="str">
        <x:v>lev</x:v>
      </x:c>
      <x:c r="F213" s="45" t="n">
        <x:f>1*$D213</x:f>
        <x:v>1</x:v>
      </x:c>
      <x:c r="G213" s="45" t="n">
        <x:f>1*$B213</x:f>
        <x:v>0</x:v>
      </x:c>
      <x:c r="H213" s="45" t="n">
        <x:f>2*$B213</x:f>
        <x:v>0</x:v>
      </x:c>
      <x:c r="I213" s="45" t="n">
        <x:f>0</x:f>
        <x:v>0</x:v>
      </x:c>
      <x:c r="J213" s="45" t="n">
        <x:f>0</x:f>
        <x:v>0</x:v>
      </x:c>
      <x:c r="K213" s="45" t="n">
        <x:f>0</x:f>
        <x:v>0</x:v>
      </x:c>
      <x:c r="L213" s="45" t="n">
        <x:f>F213+I213</x:f>
        <x:v>1</x:v>
      </x:c>
      <x:c r="M213" s="45" t="n">
        <x:f>G213+J213</x:f>
        <x:v>0</x:v>
      </x:c>
      <x:c r="N213" s="45" t="n">
        <x:f>H213+K213</x:f>
        <x:v>0</x:v>
      </x:c>
      <x:c r="O213" s="45" t="n">
        <x:f>SUM(F213:H213)</x:f>
        <x:v>1</x:v>
      </x:c>
      <x:c r="P213" s="42" t="n">
        <x:f>IF(AND(F213&lt;=F245,F213&lt;=F197,F213&lt;=F229,G213&lt;=G225,G213&lt;=G221,G213&lt;=G217,H213&lt;=H210,H213&lt;=H212,H213&lt;=H211),1,0)</x:f>
        <x:v>0</x:v>
      </x:c>
      <x:c r="Q213" s="42" t="n">
        <x:f>IF(AND(L213&lt;=L245,L213&lt;=L197,L213&lt;=L229,M213&lt;=M225,M213&lt;=M221,M213&lt;=M217,N213&lt;=N210,N213&lt;=N212,N213&lt;=N211),1,0)</x:f>
        <x:v>0</x:v>
      </x:c>
      <x:c r="R213" s="42" t="n">
        <x:v>0</x:v>
      </x:c>
      <x:c r="S213" s="42" t="n">
        <x:v>0</x:v>
      </x:c>
    </x:row>
    <x:row r="214">
      <x:c r="A214" t="n">
        <x:v>4</x:v>
      </x:c>
      <x:c r="B214" t="n">
        <x:v>0</x:v>
      </x:c>
      <x:c r="C214" t="n">
        <x:v>1</x:v>
      </x:c>
      <x:c r="D214" t="n">
        <x:v>1</x:v>
      </x:c>
      <x:c r="E214" t="str">
        <x:v>lle</x:v>
      </x:c>
      <x:c r="F214" s="45" t="n">
        <x:f>(1/2)*$C214+(3/2)*$D214</x:f>
        <x:v>2</x:v>
      </x:c>
      <x:c r="G214" s="45" t="n">
        <x:f>(1/2)*$C214+(3/2)*$D214</x:f>
        <x:v>2</x:v>
      </x:c>
      <x:c r="H214" s="45" t="n">
        <x:f>1*$B214</x:f>
        <x:v>0</x:v>
      </x:c>
      <x:c r="I214" s="45" t="n">
        <x:f>(1/2)*($C214+$D214)</x:f>
        <x:v>1</x:v>
      </x:c>
      <x:c r="J214" s="45" t="n">
        <x:f>(1/2)*($C214+$D214)</x:f>
        <x:v>1</x:v>
      </x:c>
      <x:c r="K214" s="45" t="n">
        <x:f>0</x:f>
        <x:v>0</x:v>
      </x:c>
      <x:c r="L214" s="45" t="n">
        <x:f>F214+I214</x:f>
        <x:v>3</x:v>
      </x:c>
      <x:c r="M214" s="45" t="n">
        <x:f>G214+J214</x:f>
        <x:v>3</x:v>
      </x:c>
      <x:c r="N214" s="45" t="n">
        <x:f>H214+K214</x:f>
        <x:v>0</x:v>
      </x:c>
      <x:c r="O214" s="45" t="n">
        <x:f>SUM(F214:H214)</x:f>
        <x:v>4</x:v>
      </x:c>
      <x:c r="P214" s="42" t="n">
        <x:f>IF(AND(F214&lt;=F246,F214&lt;=F198,F214&lt;=F230,G214&lt;=G222,G214&lt;=G210,G214&lt;=G218,H214&lt;=H217,H214&lt;=H216,H214&lt;=H215),1,0)</x:f>
        <x:v>0</x:v>
      </x:c>
      <x:c r="Q214" s="42" t="n">
        <x:f>IF(AND(L214&lt;=L246,L214&lt;=L198,L214&lt;=L230,M214&lt;=M222,M214&lt;=M210,M214&lt;=M218,N214&lt;=N217,N214&lt;=N216,N214&lt;=N215),1,0)</x:f>
        <x:v>0</x:v>
      </x:c>
      <x:c r="R214" s="42" t="n">
        <x:v>0</x:v>
      </x:c>
      <x:c r="S214" s="42" t="n">
        <x:v>0</x:v>
      </x:c>
    </x:row>
    <x:row r="215">
      <x:c r="A215" t="n">
        <x:v>4</x:v>
      </x:c>
      <x:c r="B215" t="n">
        <x:v>0</x:v>
      </x:c>
      <x:c r="C215" t="n">
        <x:v>1</x:v>
      </x:c>
      <x:c r="D215" t="n">
        <x:v>1</x:v>
      </x:c>
      <x:c r="E215" t="str">
        <x:v>lll</x:v>
      </x:c>
      <x:c r="F215" s="45" t="n">
        <x:f>1*$C215+2*$D215</x:f>
        <x:v>3</x:v>
      </x:c>
      <x:c r="G215" s="45" t="n">
        <x:f>1*$C215+2*$D215</x:f>
        <x:v>3</x:v>
      </x:c>
      <x:c r="H215" s="45" t="n">
        <x:f>1*$C215+2*$D215</x:f>
        <x:v>3</x:v>
      </x:c>
      <x:c r="I215" s="45" t="n">
        <x:f>$C215+$D215</x:f>
        <x:v>2</x:v>
      </x:c>
      <x:c r="J215" s="45" t="n">
        <x:f>$C215+$D215</x:f>
        <x:v>2</x:v>
      </x:c>
      <x:c r="K215" s="45" t="n">
        <x:f>$C215+$D215</x:f>
        <x:v>2</x:v>
      </x:c>
      <x:c r="L215" s="45" t="n">
        <x:f>F215+I215</x:f>
        <x:v>5</x:v>
      </x:c>
      <x:c r="M215" s="45" t="n">
        <x:f>G215+J215</x:f>
        <x:v>5</x:v>
      </x:c>
      <x:c r="N215" s="45" t="n">
        <x:f>H215+K215</x:f>
        <x:v>5</x:v>
      </x:c>
      <x:c r="O215" s="45" t="n">
        <x:f>SUM(F215:H215)</x:f>
        <x:v>9</x:v>
      </x:c>
      <x:c r="P215" s="42" t="n">
        <x:f>IF(AND(F215&lt;=F247,F215&lt;=F199,F215&lt;=F231,G215&lt;=G223,G215&lt;=G211,G215&lt;=G219,H215&lt;=H217,H215&lt;=H214,H215&lt;=H216),1,0)</x:f>
        <x:v>0</x:v>
      </x:c>
      <x:c r="Q215" s="42" t="n">
        <x:f>IF(AND(L215&lt;=L247,L215&lt;=L199,L215&lt;=L231,M215&lt;=M223,M215&lt;=M211,M215&lt;=M219,N215&lt;=N217,N215&lt;=N214,N215&lt;=N216),1,0)</x:f>
        <x:v>0</x:v>
      </x:c>
      <x:c r="R215" s="42" t="n">
        <x:v>0</x:v>
      </x:c>
      <x:c r="S215" s="42" t="n">
        <x:v>0</x:v>
      </x:c>
    </x:row>
    <x:row r="216">
      <x:c r="A216" t="n">
        <x:v>4</x:v>
      </x:c>
      <x:c r="B216" t="n">
        <x:v>0</x:v>
      </x:c>
      <x:c r="C216" t="n">
        <x:v>1</x:v>
      </x:c>
      <x:c r="D216" t="n">
        <x:v>1</x:v>
      </x:c>
      <x:c r="E216" t="str">
        <x:v>llo</x:v>
      </x:c>
      <x:c r="F216" s="45" t="n">
        <x:f>(1/2)*$C216+(3/2)*$D216</x:f>
        <x:v>2</x:v>
      </x:c>
      <x:c r="G216" s="45" t="n">
        <x:f>(1/2)*$C216+(3/2)*$D216</x:f>
        <x:v>2</x:v>
      </x:c>
      <x:c r="H216" s="45" t="n">
        <x:f>0</x:f>
        <x:v>0</x:v>
      </x:c>
      <x:c r="I216" s="45" t="n">
        <x:f>(1/2)*($C216+$D216)</x:f>
        <x:v>1</x:v>
      </x:c>
      <x:c r="J216" s="45" t="n">
        <x:f>(1/2)*($C216+$D216)</x:f>
        <x:v>1</x:v>
      </x:c>
      <x:c r="K216" s="45" t="n">
        <x:f>0</x:f>
        <x:v>0</x:v>
      </x:c>
      <x:c r="L216" s="45" t="n">
        <x:f>F216+I216</x:f>
        <x:v>3</x:v>
      </x:c>
      <x:c r="M216" s="45" t="n">
        <x:f>G216+J216</x:f>
        <x:v>3</x:v>
      </x:c>
      <x:c r="N216" s="45" t="n">
        <x:f>H216+K216</x:f>
        <x:v>0</x:v>
      </x:c>
      <x:c r="O216" s="45" t="n">
        <x:f>SUM(F216:H216)</x:f>
        <x:v>4</x:v>
      </x:c>
      <x:c r="P216" s="42" t="n">
        <x:f>IF(AND(F216&lt;=F248,F216&lt;=F200,F216&lt;=F232,G216&lt;=G224,G216&lt;=G212,G216&lt;=G220,H216&lt;=H217,H216&lt;=H214,H216&lt;=H215),1,0)</x:f>
        <x:v>0</x:v>
      </x:c>
      <x:c r="Q216" s="42" t="n">
        <x:f>IF(AND(L216&lt;=L248,L216&lt;=L200,L216&lt;=L232,M216&lt;=M224,M216&lt;=M212,M216&lt;=M220,N216&lt;=N217,N216&lt;=N214,N216&lt;=N215),1,0)</x:f>
        <x:v>0</x:v>
      </x:c>
      <x:c r="R216" s="42" t="n">
        <x:v>0</x:v>
      </x:c>
      <x:c r="S216" s="42" t="n">
        <x:v>0</x:v>
      </x:c>
    </x:row>
    <x:row r="217">
      <x:c r="A217" t="n">
        <x:v>4</x:v>
      </x:c>
      <x:c r="B217" t="n">
        <x:v>0</x:v>
      </x:c>
      <x:c r="C217" t="n">
        <x:v>1</x:v>
      </x:c>
      <x:c r="D217" t="n">
        <x:v>1</x:v>
      </x:c>
      <x:c r="E217" t="str">
        <x:v>llv</x:v>
      </x:c>
      <x:c r="F217" s="45" t="n">
        <x:f>(1/2)*$C217+(3/2)*$D217</x:f>
        <x:v>2</x:v>
      </x:c>
      <x:c r="G217" s="45" t="n">
        <x:f>(1/2)*$C217+(3/2)*$D217</x:f>
        <x:v>2</x:v>
      </x:c>
      <x:c r="H217" s="45" t="n">
        <x:f>2*$B217</x:f>
        <x:v>0</x:v>
      </x:c>
      <x:c r="I217" s="45" t="n">
        <x:f>(1/2)*($C217+$D217)</x:f>
        <x:v>1</x:v>
      </x:c>
      <x:c r="J217" s="45" t="n">
        <x:f>(1/2)*($C217+$D217)</x:f>
        <x:v>1</x:v>
      </x:c>
      <x:c r="K217" s="45" t="n">
        <x:f>0</x:f>
        <x:v>0</x:v>
      </x:c>
      <x:c r="L217" s="45" t="n">
        <x:f>F217+I217</x:f>
        <x:v>3</x:v>
      </x:c>
      <x:c r="M217" s="45" t="n">
        <x:f>G217+J217</x:f>
        <x:v>3</x:v>
      </x:c>
      <x:c r="N217" s="45" t="n">
        <x:f>H217+K217</x:f>
        <x:v>0</x:v>
      </x:c>
      <x:c r="O217" s="45" t="n">
        <x:f>SUM(F217:H217)</x:f>
        <x:v>4</x:v>
      </x:c>
      <x:c r="P217" s="42" t="n">
        <x:f>IF(AND(F217&lt;=F249,F217&lt;=F201,F217&lt;=F233,G217&lt;=G225,G217&lt;=G213,G217&lt;=G221,H217&lt;=H214,H217&lt;=H216,H217&lt;=H215),1,0)</x:f>
        <x:v>0</x:v>
      </x:c>
      <x:c r="Q217" s="42" t="n">
        <x:f>IF(AND(L217&lt;=L249,L217&lt;=L201,L217&lt;=L233,M217&lt;=M225,M217&lt;=M213,M217&lt;=M221,N217&lt;=N214,N217&lt;=N216,N217&lt;=N215),1,0)</x:f>
        <x:v>0</x:v>
      </x:c>
      <x:c r="R217" s="42" t="n">
        <x:v>0</x:v>
      </x:c>
      <x:c r="S217" s="42" t="n">
        <x:v>0</x:v>
      </x:c>
    </x:row>
    <x:row r="218">
      <x:c r="A218" t="n">
        <x:v>4</x:v>
      </x:c>
      <x:c r="B218" t="n">
        <x:v>0</x:v>
      </x:c>
      <x:c r="C218" t="n">
        <x:v>1</x:v>
      </x:c>
      <x:c r="D218" t="n">
        <x:v>1</x:v>
      </x:c>
      <x:c r="E218" t="str">
        <x:v>loe</x:v>
      </x:c>
      <x:c r="F218" s="45" t="n">
        <x:f>1*$D218</x:f>
        <x:v>1</x:v>
      </x:c>
      <x:c r="G218" s="45" t="n">
        <x:f>0</x:f>
        <x:v>0</x:v>
      </x:c>
      <x:c r="H218" s="45" t="n">
        <x:f>1*$B218</x:f>
        <x:v>0</x:v>
      </x:c>
      <x:c r="I218" s="45" t="n">
        <x:f>0</x:f>
        <x:v>0</x:v>
      </x:c>
      <x:c r="J218" s="45" t="n">
        <x:f>0</x:f>
        <x:v>0</x:v>
      </x:c>
      <x:c r="K218" s="45" t="n">
        <x:f>0</x:f>
        <x:v>0</x:v>
      </x:c>
      <x:c r="L218" s="45" t="n">
        <x:f>F218+I218</x:f>
        <x:v>1</x:v>
      </x:c>
      <x:c r="M218" s="45" t="n">
        <x:f>G218+J218</x:f>
        <x:v>0</x:v>
      </x:c>
      <x:c r="N218" s="45" t="n">
        <x:f>H218+K218</x:f>
        <x:v>0</x:v>
      </x:c>
      <x:c r="O218" s="45" t="n">
        <x:f>SUM(F218:H218)</x:f>
        <x:v>1</x:v>
      </x:c>
      <x:c r="P218" s="42" t="n">
        <x:f>IF(AND(F218&lt;=F250,F218&lt;=F202,F218&lt;=F234,G218&lt;=G222,G218&lt;=G210,G218&lt;=G214,H218&lt;=H221,H218&lt;=H220,H218&lt;=H219),1,0)</x:f>
        <x:v>0</x:v>
      </x:c>
      <x:c r="Q218" s="42" t="n">
        <x:f>IF(AND(L218&lt;=L250,L218&lt;=L202,L218&lt;=L234,M218&lt;=M222,M218&lt;=M210,M218&lt;=M214,N218&lt;=N221,N218&lt;=N220,N218&lt;=N219),1,0)</x:f>
        <x:v>0</x:v>
      </x:c>
      <x:c r="R218" s="42" t="n">
        <x:v>0</x:v>
      </x:c>
      <x:c r="S218" s="42" t="n">
        <x:v>0</x:v>
      </x:c>
    </x:row>
    <x:row r="219">
      <x:c r="A219" t="n">
        <x:v>4</x:v>
      </x:c>
      <x:c r="B219" t="n">
        <x:v>0</x:v>
      </x:c>
      <x:c r="C219" t="n">
        <x:v>1</x:v>
      </x:c>
      <x:c r="D219" t="n">
        <x:v>1</x:v>
      </x:c>
      <x:c r="E219" t="str">
        <x:v>lol</x:v>
      </x:c>
      <x:c r="F219" s="45" t="n">
        <x:f>(1/2)*$C219+(3/2)*$D219</x:f>
        <x:v>2</x:v>
      </x:c>
      <x:c r="G219" s="45" t="n">
        <x:f>0</x:f>
        <x:v>0</x:v>
      </x:c>
      <x:c r="H219" s="45" t="n">
        <x:f>(1/2)*$C219+(3/2)*$D219</x:f>
        <x:v>2</x:v>
      </x:c>
      <x:c r="I219" s="45" t="n">
        <x:f>(1/2)*($C219+$D219)</x:f>
        <x:v>1</x:v>
      </x:c>
      <x:c r="J219" s="45" t="n">
        <x:f>0</x:f>
        <x:v>0</x:v>
      </x:c>
      <x:c r="K219" s="45" t="n">
        <x:f>(1/2)*($C219+$D219)</x:f>
        <x:v>1</x:v>
      </x:c>
      <x:c r="L219" s="45" t="n">
        <x:f>F219+I219</x:f>
        <x:v>3</x:v>
      </x:c>
      <x:c r="M219" s="45" t="n">
        <x:f>G219+J219</x:f>
        <x:v>0</x:v>
      </x:c>
      <x:c r="N219" s="45" t="n">
        <x:f>H219+K219</x:f>
        <x:v>3</x:v>
      </x:c>
      <x:c r="O219" s="45" t="n">
        <x:f>SUM(F219:H219)</x:f>
        <x:v>4</x:v>
      </x:c>
      <x:c r="P219" s="42" t="n">
        <x:f>IF(AND(F219&lt;=F251,F219&lt;=F203,F219&lt;=F235,G219&lt;=G223,G219&lt;=G211,G219&lt;=G215,H219&lt;=H221,H219&lt;=H218,H219&lt;=H220),1,0)</x:f>
        <x:v>0</x:v>
      </x:c>
      <x:c r="Q219" s="42" t="n">
        <x:f>IF(AND(L219&lt;=L251,L219&lt;=L203,L219&lt;=L235,M219&lt;=M223,M219&lt;=M211,M219&lt;=M215,N219&lt;=N221,N219&lt;=N218,N219&lt;=N220),1,0)</x:f>
        <x:v>0</x:v>
      </x:c>
      <x:c r="R219" s="42" t="n">
        <x:v>0</x:v>
      </x:c>
      <x:c r="S219" s="42" t="n">
        <x:v>0</x:v>
      </x:c>
    </x:row>
    <x:row r="220">
      <x:c r="A220" t="n">
        <x:v>4</x:v>
      </x:c>
      <x:c r="B220" t="n">
        <x:v>0</x:v>
      </x:c>
      <x:c r="C220" t="n">
        <x:v>1</x:v>
      </x:c>
      <x:c r="D220" t="n">
        <x:v>1</x:v>
      </x:c>
      <x:c r="E220" t="str">
        <x:v>loo</x:v>
      </x:c>
      <x:c r="F220" s="45" t="n">
        <x:f>1*$C220+2*$D220</x:f>
        <x:v>3</x:v>
      </x:c>
      <x:c r="G220" s="45" t="n">
        <x:f>(1/2)*$C220+(1/2)*$D220</x:f>
        <x:v>1</x:v>
      </x:c>
      <x:c r="H220" s="45" t="n">
        <x:f>(1/2)*$C220+(1/2)*$D220</x:f>
        <x:v>1</x:v>
      </x:c>
      <x:c r="I220" s="45" t="n">
        <x:f>0</x:f>
        <x:v>0</x:v>
      </x:c>
      <x:c r="J220" s="45" t="n">
        <x:f>(3/2)*($C220+$D220)</x:f>
        <x:v>3</x:v>
      </x:c>
      <x:c r="K220" s="45" t="n">
        <x:f>(3/2)*($C220+$D220)</x:f>
        <x:v>3</x:v>
      </x:c>
      <x:c r="L220" s="45" t="n">
        <x:f>F220+I220</x:f>
        <x:v>3</x:v>
      </x:c>
      <x:c r="M220" s="45" t="n">
        <x:f>G220+J220</x:f>
        <x:v>4</x:v>
      </x:c>
      <x:c r="N220" s="45" t="n">
        <x:f>H220+K220</x:f>
        <x:v>4</x:v>
      </x:c>
      <x:c r="O220" s="45" t="n">
        <x:f>SUM(F220:H220)</x:f>
        <x:v>5</x:v>
      </x:c>
      <x:c r="P220" s="42" t="n">
        <x:f>IF(AND(F220&lt;=F252,F220&lt;=F204,F220&lt;=F236,G220&lt;=G224,G220&lt;=G212,G220&lt;=G216,H220&lt;=H221,H220&lt;=H218,H220&lt;=H219),1,0)</x:f>
        <x:v>0</x:v>
      </x:c>
      <x:c r="Q220" s="42" t="n">
        <x:f>IF(AND(L220&lt;=L252,L220&lt;=L204,L220&lt;=L236,M220&lt;=M224,M220&lt;=M212,M220&lt;=M216,N220&lt;=N221,N220&lt;=N218,N220&lt;=N219),1,0)</x:f>
        <x:v>0</x:v>
      </x:c>
      <x:c r="R220" s="42" t="n">
        <x:v>0</x:v>
      </x:c>
      <x:c r="S220" s="42" t="n">
        <x:v>0</x:v>
      </x:c>
    </x:row>
    <x:row r="221">
      <x:c r="A221" t="n">
        <x:v>4</x:v>
      </x:c>
      <x:c r="B221" t="n">
        <x:v>0</x:v>
      </x:c>
      <x:c r="C221" t="n">
        <x:v>1</x:v>
      </x:c>
      <x:c r="D221" t="n">
        <x:v>1</x:v>
      </x:c>
      <x:c r="E221" t="str">
        <x:v>lov</x:v>
      </x:c>
      <x:c r="F221" s="45" t="n">
        <x:f>1*$D221</x:f>
        <x:v>1</x:v>
      </x:c>
      <x:c r="G221" s="45" t="n">
        <x:f>0</x:f>
        <x:v>0</x:v>
      </x:c>
      <x:c r="H221" s="45" t="n">
        <x:f>2*$B221</x:f>
        <x:v>0</x:v>
      </x:c>
      <x:c r="I221" s="45" t="n">
        <x:f>0</x:f>
        <x:v>0</x:v>
      </x:c>
      <x:c r="J221" s="45" t="n">
        <x:f>0</x:f>
        <x:v>0</x:v>
      </x:c>
      <x:c r="K221" s="45" t="n">
        <x:f>0</x:f>
        <x:v>0</x:v>
      </x:c>
      <x:c r="L221" s="45" t="n">
        <x:f>F221+I221</x:f>
        <x:v>1</x:v>
      </x:c>
      <x:c r="M221" s="45" t="n">
        <x:f>G221+J221</x:f>
        <x:v>0</x:v>
      </x:c>
      <x:c r="N221" s="45" t="n">
        <x:f>H221+K221</x:f>
        <x:v>0</x:v>
      </x:c>
      <x:c r="O221" s="45" t="n">
        <x:f>SUM(F221:H221)</x:f>
        <x:v>1</x:v>
      </x:c>
      <x:c r="P221" s="42" t="n">
        <x:f>IF(AND(F221&lt;=F253,F221&lt;=F205,F221&lt;=F237,G221&lt;=G225,G221&lt;=G213,G221&lt;=G217,H221&lt;=H218,H221&lt;=H220,H221&lt;=H219),1,0)</x:f>
        <x:v>0</x:v>
      </x:c>
      <x:c r="Q221" s="42" t="n">
        <x:f>IF(AND(L221&lt;=L253,L221&lt;=L205,L221&lt;=L237,M221&lt;=M225,M221&lt;=M213,M221&lt;=M217,N221&lt;=N218,N221&lt;=N220,N221&lt;=N219),1,0)</x:f>
        <x:v>0</x:v>
      </x:c>
      <x:c r="R221" s="42" t="n">
        <x:v>0</x:v>
      </x:c>
      <x:c r="S221" s="42" t="n">
        <x:v>0</x:v>
      </x:c>
    </x:row>
    <x:row r="222">
      <x:c r="A222" t="n">
        <x:v>4</x:v>
      </x:c>
      <x:c r="B222" t="n">
        <x:v>0</x:v>
      </x:c>
      <x:c r="C222" t="n">
        <x:v>1</x:v>
      </x:c>
      <x:c r="D222" t="n">
        <x:v>1</x:v>
      </x:c>
      <x:c r="E222" t="str">
        <x:v>lve</x:v>
      </x:c>
      <x:c r="F222" s="45" t="n">
        <x:f>1*$D222</x:f>
        <x:v>1</x:v>
      </x:c>
      <x:c r="G222" s="45" t="n">
        <x:f>2*$B222</x:f>
        <x:v>0</x:v>
      </x:c>
      <x:c r="H222" s="45" t="n">
        <x:f>1*$B222</x:f>
        <x:v>0</x:v>
      </x:c>
      <x:c r="I222" s="45" t="n">
        <x:f>0</x:f>
        <x:v>0</x:v>
      </x:c>
      <x:c r="J222" s="45" t="n">
        <x:f>0</x:f>
        <x:v>0</x:v>
      </x:c>
      <x:c r="K222" s="45" t="n">
        <x:f>0</x:f>
        <x:v>0</x:v>
      </x:c>
      <x:c r="L222" s="45" t="n">
        <x:f>F222+I222</x:f>
        <x:v>1</x:v>
      </x:c>
      <x:c r="M222" s="45" t="n">
        <x:f>G222+J222</x:f>
        <x:v>0</x:v>
      </x:c>
      <x:c r="N222" s="45" t="n">
        <x:f>H222+K222</x:f>
        <x:v>0</x:v>
      </x:c>
      <x:c r="O222" s="45" t="n">
        <x:f>SUM(F222:H222)</x:f>
        <x:v>1</x:v>
      </x:c>
      <x:c r="P222" s="42" t="n">
        <x:f>IF(AND(F222&lt;=F254,F222&lt;=F206,F222&lt;=F238,G222&lt;=G210,G222&lt;=G218,G222&lt;=G214,H222&lt;=H225,H222&lt;=H224,H222&lt;=H223),1,0)</x:f>
        <x:v>0</x:v>
      </x:c>
      <x:c r="Q222" s="42" t="n">
        <x:f>IF(AND(L222&lt;=L254,L222&lt;=L206,L222&lt;=L238,M222&lt;=M210,M222&lt;=M218,M222&lt;=M214,N222&lt;=N225,N222&lt;=N224,N222&lt;=N223),1,0)</x:f>
        <x:v>0</x:v>
      </x:c>
      <x:c r="R222" s="42" t="n">
        <x:v>0</x:v>
      </x:c>
      <x:c r="S222" s="42" t="n">
        <x:v>0</x:v>
      </x:c>
    </x:row>
    <x:row r="223">
      <x:c r="A223" t="n">
        <x:v>4</x:v>
      </x:c>
      <x:c r="B223" t="n">
        <x:v>0</x:v>
      </x:c>
      <x:c r="C223" t="n">
        <x:v>1</x:v>
      </x:c>
      <x:c r="D223" t="n">
        <x:v>1</x:v>
      </x:c>
      <x:c r="E223" t="str">
        <x:v>lvl</x:v>
      </x:c>
      <x:c r="F223" s="45" t="n">
        <x:f>(1/2)*$C223+(3/2)*$D223</x:f>
        <x:v>2</x:v>
      </x:c>
      <x:c r="G223" s="45" t="n">
        <x:f>2*$B223</x:f>
        <x:v>0</x:v>
      </x:c>
      <x:c r="H223" s="45" t="n">
        <x:f>(1/2)*$C223+(3/2)*$D223</x:f>
        <x:v>2</x:v>
      </x:c>
      <x:c r="I223" s="45" t="n">
        <x:f>(1/2)*($C223+$D223)</x:f>
        <x:v>1</x:v>
      </x:c>
      <x:c r="J223" s="45" t="n">
        <x:f>0</x:f>
        <x:v>0</x:v>
      </x:c>
      <x:c r="K223" s="45" t="n">
        <x:f>(1/2)*($C223+$D223)</x:f>
        <x:v>1</x:v>
      </x:c>
      <x:c r="L223" s="45" t="n">
        <x:f>F223+I223</x:f>
        <x:v>3</x:v>
      </x:c>
      <x:c r="M223" s="45" t="n">
        <x:f>G223+J223</x:f>
        <x:v>0</x:v>
      </x:c>
      <x:c r="N223" s="45" t="n">
        <x:f>H223+K223</x:f>
        <x:v>3</x:v>
      </x:c>
      <x:c r="O223" s="45" t="n">
        <x:f>SUM(F223:H223)</x:f>
        <x:v>4</x:v>
      </x:c>
      <x:c r="P223" s="42" t="n">
        <x:f>IF(AND(F223&lt;=F255,F223&lt;=F207,F223&lt;=F239,G223&lt;=G211,G223&lt;=G219,G223&lt;=G215,H223&lt;=H225,H223&lt;=H222,H223&lt;=H224),1,0)</x:f>
        <x:v>0</x:v>
      </x:c>
      <x:c r="Q223" s="42" t="n">
        <x:f>IF(AND(L223&lt;=L255,L223&lt;=L207,L223&lt;=L239,M223&lt;=M211,M223&lt;=M219,M223&lt;=M215,N223&lt;=N225,N223&lt;=N222,N223&lt;=N224),1,0)</x:f>
        <x:v>0</x:v>
      </x:c>
      <x:c r="R223" s="42" t="n">
        <x:v>0</x:v>
      </x:c>
      <x:c r="S223" s="42" t="n">
        <x:v>0</x:v>
      </x:c>
    </x:row>
    <x:row r="224">
      <x:c r="A224" t="n">
        <x:v>4</x:v>
      </x:c>
      <x:c r="B224" t="n">
        <x:v>0</x:v>
      </x:c>
      <x:c r="C224" t="n">
        <x:v>1</x:v>
      </x:c>
      <x:c r="D224" t="n">
        <x:v>1</x:v>
      </x:c>
      <x:c r="E224" t="str">
        <x:v>lvo</x:v>
      </x:c>
      <x:c r="F224" s="45" t="n">
        <x:f>1*$D224</x:f>
        <x:v>1</x:v>
      </x:c>
      <x:c r="G224" s="45" t="n">
        <x:f>2*$B224</x:f>
        <x:v>0</x:v>
      </x:c>
      <x:c r="H224" s="45" t="n">
        <x:f>0</x:f>
        <x:v>0</x:v>
      </x:c>
      <x:c r="I224" s="45" t="n">
        <x:f>0</x:f>
        <x:v>0</x:v>
      </x:c>
      <x:c r="J224" s="45" t="n">
        <x:f>0</x:f>
        <x:v>0</x:v>
      </x:c>
      <x:c r="K224" s="45" t="n">
        <x:f>0</x:f>
        <x:v>0</x:v>
      </x:c>
      <x:c r="L224" s="45" t="n">
        <x:f>F224+I224</x:f>
        <x:v>1</x:v>
      </x:c>
      <x:c r="M224" s="45" t="n">
        <x:f>G224+J224</x:f>
        <x:v>0</x:v>
      </x:c>
      <x:c r="N224" s="45" t="n">
        <x:f>H224+K224</x:f>
        <x:v>0</x:v>
      </x:c>
      <x:c r="O224" s="45" t="n">
        <x:f>SUM(F224:H224)</x:f>
        <x:v>1</x:v>
      </x:c>
      <x:c r="P224" s="42" t="n">
        <x:f>IF(AND(F224&lt;=F256,F224&lt;=F208,F224&lt;=F240,G224&lt;=G212,G224&lt;=G220,G224&lt;=G216,H224&lt;=H225,H224&lt;=H222,H224&lt;=H223),1,0)</x:f>
        <x:v>0</x:v>
      </x:c>
      <x:c r="Q224" s="42" t="n">
        <x:f>IF(AND(L224&lt;=L256,L224&lt;=L208,L224&lt;=L240,M224&lt;=M212,M224&lt;=M220,M224&lt;=M216,N224&lt;=N225,N224&lt;=N222,N224&lt;=N223),1,0)</x:f>
        <x:v>0</x:v>
      </x:c>
      <x:c r="R224" s="42" t="n">
        <x:v>0</x:v>
      </x:c>
      <x:c r="S224" s="42" t="n">
        <x:v>0</x:v>
      </x:c>
    </x:row>
    <x:row r="225">
      <x:c r="A225" t="n">
        <x:v>4</x:v>
      </x:c>
      <x:c r="B225" t="n">
        <x:v>0</x:v>
      </x:c>
      <x:c r="C225" t="n">
        <x:v>1</x:v>
      </x:c>
      <x:c r="D225" t="n">
        <x:v>1</x:v>
      </x:c>
      <x:c r="E225" t="str">
        <x:v>lvv</x:v>
      </x:c>
      <x:c r="F225" s="45" t="n">
        <x:f>1*$D225</x:f>
        <x:v>1</x:v>
      </x:c>
      <x:c r="G225" s="45" t="n">
        <x:f>(3/2)*$B225+(1/2)*$C225</x:f>
        <x:v>0.5</x:v>
      </x:c>
      <x:c r="H225" s="45" t="n">
        <x:f>(3/2)*$B225+(1/2)*$C225</x:f>
        <x:v>0.5</x:v>
      </x:c>
      <x:c r="I225" s="45" t="n">
        <x:f>0</x:f>
        <x:v>0</x:v>
      </x:c>
      <x:c r="J225" s="45" t="n">
        <x:f>MAX((1/2)*($C225-$B225),0)</x:f>
        <x:v>0.5</x:v>
      </x:c>
      <x:c r="K225" s="45" t="n">
        <x:f>MAX((1/2)*($C225-$B225),0)</x:f>
        <x:v>0.5</x:v>
      </x:c>
      <x:c r="L225" s="45" t="n">
        <x:f>F225+I225</x:f>
        <x:v>1</x:v>
      </x:c>
      <x:c r="M225" s="45" t="n">
        <x:f>G225+J225</x:f>
        <x:v>1</x:v>
      </x:c>
      <x:c r="N225" s="45" t="n">
        <x:f>H225+K225</x:f>
        <x:v>1</x:v>
      </x:c>
      <x:c r="O225" s="45" t="n">
        <x:f>SUM(F225:H225)</x:f>
        <x:v>2</x:v>
      </x:c>
      <x:c r="P225" s="42" t="n">
        <x:f>IF(AND(F225&lt;=F257,F225&lt;=F209,F225&lt;=F241,G225&lt;=G213,G225&lt;=G221,G225&lt;=G217,H225&lt;=H222,H225&lt;=H224,H225&lt;=H223),1,0)</x:f>
        <x:v>0</x:v>
      </x:c>
      <x:c r="Q225" s="42" t="n">
        <x:f>IF(AND(L225&lt;=L257,L225&lt;=L209,L225&lt;=L241,M225&lt;=M213,M225&lt;=M221,M225&lt;=M217,N225&lt;=N222,N225&lt;=N224,N225&lt;=N223),1,0)</x:f>
        <x:v>0</x:v>
      </x:c>
      <x:c r="R225" s="42" t="n">
        <x:v>0</x:v>
      </x:c>
      <x:c r="S225" s="42" t="n">
        <x:v>0</x:v>
      </x:c>
    </x:row>
    <x:row r="226">
      <x:c r="A226" t="n">
        <x:v>4</x:v>
      </x:c>
      <x:c r="B226" t="n">
        <x:v>0</x:v>
      </x:c>
      <x:c r="C226" t="n">
        <x:v>1</x:v>
      </x:c>
      <x:c r="D226" t="n">
        <x:v>1</x:v>
      </x:c>
      <x:c r="E226" t="str">
        <x:v>oee</x:v>
      </x:c>
      <x:c r="F226" s="45" t="n">
        <x:f>1*$C226+1*$D226</x:f>
        <x:v>2</x:v>
      </x:c>
      <x:c r="G226" s="45" t="n">
        <x:f>(1/2)*$B226+(1/2)*$C226</x:f>
        <x:v>0.5</x:v>
      </x:c>
      <x:c r="H226" s="45" t="n">
        <x:f>(1/2)*$B226+(1/2)*$C226</x:f>
        <x:v>0.5</x:v>
      </x:c>
      <x:c r="I226" s="45" t="n">
        <x:f>0</x:f>
        <x:v>0</x:v>
      </x:c>
      <x:c r="J226" s="45" t="n">
        <x:f>MAX((3/2)*$C226+$D226-(1/2)*$B226,0)</x:f>
        <x:v>2.5</x:v>
      </x:c>
      <x:c r="K226" s="45" t="n">
        <x:f>MAX((3/2)*$C226+$D226-(1/2)*$B226,0)</x:f>
        <x:v>2.5</x:v>
      </x:c>
      <x:c r="L226" s="45" t="n">
        <x:f>F226+I226</x:f>
        <x:v>2</x:v>
      </x:c>
      <x:c r="M226" s="45" t="n">
        <x:f>G226+J226</x:f>
        <x:v>3</x:v>
      </x:c>
      <x:c r="N226" s="45" t="n">
        <x:f>H226+K226</x:f>
        <x:v>3</x:v>
      </x:c>
      <x:c r="O226" s="45" t="n">
        <x:f>SUM(F226:H226)</x:f>
        <x:v>3</x:v>
      </x:c>
      <x:c r="P226" s="42" t="n">
        <x:f>IF(AND(F226&lt;=F242,F226&lt;=F194,F226&lt;=F210,G226&lt;=G238,G226&lt;=G234,G226&lt;=G230,H226&lt;=H229,H226&lt;=H228,H226&lt;=H227),1,0)</x:f>
        <x:v>0</x:v>
      </x:c>
      <x:c r="Q226" s="42" t="n">
        <x:f>IF(AND(L226&lt;=L242,L226&lt;=L194,L226&lt;=L210,M226&lt;=M238,M226&lt;=M234,M226&lt;=M230,N226&lt;=N229,N226&lt;=N228,N226&lt;=N227),1,0)</x:f>
        <x:v>0</x:v>
      </x:c>
      <x:c r="R226" s="42" t="n">
        <x:v>0</x:v>
      </x:c>
      <x:c r="S226" s="42" t="n">
        <x:v>0</x:v>
      </x:c>
    </x:row>
    <x:row r="227">
      <x:c r="A227" t="n">
        <x:v>4</x:v>
      </x:c>
      <x:c r="B227" t="n">
        <x:v>0</x:v>
      </x:c>
      <x:c r="C227" t="n">
        <x:v>1</x:v>
      </x:c>
      <x:c r="D227" t="n">
        <x:v>1</x:v>
      </x:c>
      <x:c r="E227" t="str">
        <x:v>oel</x:v>
      </x:c>
      <x:c r="F227" s="45" t="n">
        <x:f>0</x:f>
        <x:v>0</x:v>
      </x:c>
      <x:c r="G227" s="45" t="n">
        <x:f>1*$B227</x:f>
        <x:v>0</x:v>
      </x:c>
      <x:c r="H227" s="45" t="n">
        <x:f>1*$D227</x:f>
        <x:v>1</x:v>
      </x:c>
      <x:c r="I227" s="45" t="n">
        <x:f>0</x:f>
        <x:v>0</x:v>
      </x:c>
      <x:c r="J227" s="45" t="n">
        <x:f>0</x:f>
        <x:v>0</x:v>
      </x:c>
      <x:c r="K227" s="45" t="n">
        <x:f>0</x:f>
        <x:v>0</x:v>
      </x:c>
      <x:c r="L227" s="45" t="n">
        <x:f>F227+I227</x:f>
        <x:v>0</x:v>
      </x:c>
      <x:c r="M227" s="45" t="n">
        <x:f>G227+J227</x:f>
        <x:v>0</x:v>
      </x:c>
      <x:c r="N227" s="45" t="n">
        <x:f>H227+K227</x:f>
        <x:v>1</x:v>
      </x:c>
      <x:c r="O227" s="45" t="n">
        <x:f>SUM(F227:H227)</x:f>
        <x:v>1</x:v>
      </x:c>
      <x:c r="P227" s="42" t="n">
        <x:f>IF(AND(F227&lt;=F243,F227&lt;=F195,F227&lt;=F211,G227&lt;=G239,G227&lt;=G235,G227&lt;=G231,H227&lt;=H229,H227&lt;=H226,H227&lt;=H228),1,0)</x:f>
        <x:v>0</x:v>
      </x:c>
      <x:c r="Q227" s="42" t="n">
        <x:f>IF(AND(L227&lt;=L243,L227&lt;=L195,L227&lt;=L211,M227&lt;=M239,M227&lt;=M235,M227&lt;=M231,N227&lt;=N229,N227&lt;=N226,N227&lt;=N228),1,0)</x:f>
        <x:v>0</x:v>
      </x:c>
      <x:c r="R227" s="42" t="n">
        <x:v>0</x:v>
      </x:c>
      <x:c r="S227" s="42" t="n">
        <x:v>0</x:v>
      </x:c>
    </x:row>
    <x:row r="228">
      <x:c r="A228" t="n">
        <x:v>4</x:v>
      </x:c>
      <x:c r="B228" t="n">
        <x:v>0</x:v>
      </x:c>
      <x:c r="C228" t="n">
        <x:v>1</x:v>
      </x:c>
      <x:c r="D228" t="n">
        <x:v>1</x:v>
      </x:c>
      <x:c r="E228" t="str">
        <x:v>oeo</x:v>
      </x:c>
      <x:c r="F228" s="45" t="n">
        <x:f>(1/2)*$C228+(1/2)*$D228</x:f>
        <x:v>1</x:v>
      </x:c>
      <x:c r="G228" s="45" t="n">
        <x:f>1*$B228</x:f>
        <x:v>0</x:v>
      </x:c>
      <x:c r="H228" s="45" t="n">
        <x:f>(1/2)*$C228+(1/2)*$D228</x:f>
        <x:v>1</x:v>
      </x:c>
      <x:c r="I228" s="45" t="n">
        <x:f>(1/2)*($C228+$D228)</x:f>
        <x:v>1</x:v>
      </x:c>
      <x:c r="J228" s="45" t="n">
        <x:f>0</x:f>
        <x:v>0</x:v>
      </x:c>
      <x:c r="K228" s="45" t="n">
        <x:f>(1/2)*($C228+$D228)</x:f>
        <x:v>1</x:v>
      </x:c>
      <x:c r="L228" s="45" t="n">
        <x:f>F228+I228</x:f>
        <x:v>2</x:v>
      </x:c>
      <x:c r="M228" s="45" t="n">
        <x:f>G228+J228</x:f>
        <x:v>0</x:v>
      </x:c>
      <x:c r="N228" s="45" t="n">
        <x:f>H228+K228</x:f>
        <x:v>2</x:v>
      </x:c>
      <x:c r="O228" s="45" t="n">
        <x:f>SUM(F228:H228)</x:f>
        <x:v>2</x:v>
      </x:c>
      <x:c r="P228" s="42" t="n">
        <x:f>IF(AND(F228&lt;=F244,F228&lt;=F196,F228&lt;=F212,G228&lt;=G240,G228&lt;=G236,G228&lt;=G232,H228&lt;=H229,H228&lt;=H226,H228&lt;=H227),1,0)</x:f>
        <x:v>0</x:v>
      </x:c>
      <x:c r="Q228" s="42" t="n">
        <x:f>IF(AND(L228&lt;=L244,L228&lt;=L196,L228&lt;=L212,M228&lt;=M240,M228&lt;=M236,M228&lt;=M232,N228&lt;=N229,N228&lt;=N226,N228&lt;=N227),1,0)</x:f>
        <x:v>0</x:v>
      </x:c>
      <x:c r="R228" s="42" t="n">
        <x:v>0</x:v>
      </x:c>
      <x:c r="S228" s="42" t="n">
        <x:v>0</x:v>
      </x:c>
    </x:row>
    <x:row r="229">
      <x:c r="A229" t="n">
        <x:v>4</x:v>
      </x:c>
      <x:c r="B229" t="n">
        <x:v>0</x:v>
      </x:c>
      <x:c r="C229" t="n">
        <x:v>1</x:v>
      </x:c>
      <x:c r="D229" t="n">
        <x:v>1</x:v>
      </x:c>
      <x:c r="E229" t="str">
        <x:v>oev</x:v>
      </x:c>
      <x:c r="F229" s="45" t="n">
        <x:f>0</x:f>
        <x:v>0</x:v>
      </x:c>
      <x:c r="G229" s="45" t="n">
        <x:f>1*$B229</x:f>
        <x:v>0</x:v>
      </x:c>
      <x:c r="H229" s="45" t="n">
        <x:f>2*$B229</x:f>
        <x:v>0</x:v>
      </x:c>
      <x:c r="I229" s="45" t="n">
        <x:f>0</x:f>
        <x:v>0</x:v>
      </x:c>
      <x:c r="J229" s="45" t="n">
        <x:f>0</x:f>
        <x:v>0</x:v>
      </x:c>
      <x:c r="K229" s="45" t="n">
        <x:f>0</x:f>
        <x:v>0</x:v>
      </x:c>
      <x:c r="L229" s="45" t="n">
        <x:f>F229+I229</x:f>
        <x:v>0</x:v>
      </x:c>
      <x:c r="M229" s="45" t="n">
        <x:f>G229+J229</x:f>
        <x:v>0</x:v>
      </x:c>
      <x:c r="N229" s="45" t="n">
        <x:f>H229+K229</x:f>
        <x:v>0</x:v>
      </x:c>
      <x:c r="O229" s="45" t="n">
        <x:f>SUM(F229:H229)</x:f>
        <x:v>0</x:v>
      </x:c>
      <x:c r="P229" s="42" t="n">
        <x:f>IF(AND(F229&lt;=F245,F229&lt;=F197,F229&lt;=F213,G229&lt;=G241,G229&lt;=G237,G229&lt;=G233,H229&lt;=H226,H229&lt;=H228,H229&lt;=H227),1,0)</x:f>
        <x:v>1</x:v>
      </x:c>
      <x:c r="Q229" s="42" t="n">
        <x:f>IF(AND(L229&lt;=L245,L229&lt;=L197,L229&lt;=L213,M229&lt;=M241,M229&lt;=M237,M229&lt;=M233,N229&lt;=N226,N229&lt;=N228,N229&lt;=N227),1,0)</x:f>
        <x:v>1</x:v>
      </x:c>
      <x:c r="R229" s="42" t="n">
        <x:v>1</x:v>
      </x:c>
      <x:c r="S229" s="42" t="n">
        <x:v>1</x:v>
      </x:c>
    </x:row>
    <x:row r="230">
      <x:c r="A230" t="n">
        <x:v>4</x:v>
      </x:c>
      <x:c r="B230" t="n">
        <x:v>0</x:v>
      </x:c>
      <x:c r="C230" t="n">
        <x:v>1</x:v>
      </x:c>
      <x:c r="D230" t="n">
        <x:v>1</x:v>
      </x:c>
      <x:c r="E230" t="str">
        <x:v>ole</x:v>
      </x:c>
      <x:c r="F230" s="45" t="n">
        <x:f>0</x:f>
        <x:v>0</x:v>
      </x:c>
      <x:c r="G230" s="45" t="n">
        <x:f>1*$D230</x:f>
        <x:v>1</x:v>
      </x:c>
      <x:c r="H230" s="45" t="n">
        <x:f>1*$B230</x:f>
        <x:v>0</x:v>
      </x:c>
      <x:c r="I230" s="45" t="n">
        <x:f>0</x:f>
        <x:v>0</x:v>
      </x:c>
      <x:c r="J230" s="45" t="n">
        <x:f>0</x:f>
        <x:v>0</x:v>
      </x:c>
      <x:c r="K230" s="45" t="n">
        <x:f>0</x:f>
        <x:v>0</x:v>
      </x:c>
      <x:c r="L230" s="45" t="n">
        <x:f>F230+I230</x:f>
        <x:v>0</x:v>
      </x:c>
      <x:c r="M230" s="45" t="n">
        <x:f>G230+J230</x:f>
        <x:v>1</x:v>
      </x:c>
      <x:c r="N230" s="45" t="n">
        <x:f>H230+K230</x:f>
        <x:v>0</x:v>
      </x:c>
      <x:c r="O230" s="45" t="n">
        <x:f>SUM(F230:H230)</x:f>
        <x:v>1</x:v>
      </x:c>
      <x:c r="P230" s="42" t="n">
        <x:f>IF(AND(F230&lt;=F246,F230&lt;=F198,F230&lt;=F214,G230&lt;=G238,G230&lt;=G226,G230&lt;=G234,H230&lt;=H233,H230&lt;=H232,H230&lt;=H231),1,0)</x:f>
        <x:v>0</x:v>
      </x:c>
      <x:c r="Q230" s="42" t="n">
        <x:f>IF(AND(L230&lt;=L246,L230&lt;=L198,L230&lt;=L214,M230&lt;=M238,M230&lt;=M226,M230&lt;=M234,N230&lt;=N233,N230&lt;=N232,N230&lt;=N231),1,0)</x:f>
        <x:v>0</x:v>
      </x:c>
      <x:c r="R230" s="42" t="n">
        <x:v>0</x:v>
      </x:c>
      <x:c r="S230" s="42" t="n">
        <x:v>0</x:v>
      </x:c>
    </x:row>
    <x:row r="231">
      <x:c r="A231" t="n">
        <x:v>4</x:v>
      </x:c>
      <x:c r="B231" t="n">
        <x:v>0</x:v>
      </x:c>
      <x:c r="C231" t="n">
        <x:v>1</x:v>
      </x:c>
      <x:c r="D231" t="n">
        <x:v>1</x:v>
      </x:c>
      <x:c r="E231" t="str">
        <x:v>oll</x:v>
      </x:c>
      <x:c r="F231" s="45" t="n">
        <x:f>0</x:f>
        <x:v>0</x:v>
      </x:c>
      <x:c r="G231" s="45" t="n">
        <x:f>(1/2)*$C231+(3/2)*$D231</x:f>
        <x:v>2</x:v>
      </x:c>
      <x:c r="H231" s="45" t="n">
        <x:f>(1/2)*$C231+(3/2)*$D231</x:f>
        <x:v>2</x:v>
      </x:c>
      <x:c r="I231" s="45" t="n">
        <x:f>0</x:f>
        <x:v>0</x:v>
      </x:c>
      <x:c r="J231" s="45" t="n">
        <x:f>(1/2)*($C231+$D231)</x:f>
        <x:v>1</x:v>
      </x:c>
      <x:c r="K231" s="45" t="n">
        <x:f>(1/2)*($C231+$D231)</x:f>
        <x:v>1</x:v>
      </x:c>
      <x:c r="L231" s="45" t="n">
        <x:f>F231+I231</x:f>
        <x:v>0</x:v>
      </x:c>
      <x:c r="M231" s="45" t="n">
        <x:f>G231+J231</x:f>
        <x:v>3</x:v>
      </x:c>
      <x:c r="N231" s="45" t="n">
        <x:f>H231+K231</x:f>
        <x:v>3</x:v>
      </x:c>
      <x:c r="O231" s="45" t="n">
        <x:f>SUM(F231:H231)</x:f>
        <x:v>4</x:v>
      </x:c>
      <x:c r="P231" s="42" t="n">
        <x:f>IF(AND(F231&lt;=F247,F231&lt;=F199,F231&lt;=F215,G231&lt;=G239,G231&lt;=G227,G231&lt;=G235,H231&lt;=H233,H231&lt;=H230,H231&lt;=H232),1,0)</x:f>
        <x:v>0</x:v>
      </x:c>
      <x:c r="Q231" s="42" t="n">
        <x:f>IF(AND(L231&lt;=L247,L231&lt;=L199,L231&lt;=L215,M231&lt;=M239,M231&lt;=M227,M231&lt;=M235,N231&lt;=N233,N231&lt;=N230,N231&lt;=N232),1,0)</x:f>
        <x:v>0</x:v>
      </x:c>
      <x:c r="R231" s="42" t="n">
        <x:v>0</x:v>
      </x:c>
      <x:c r="S231" s="42" t="n">
        <x:v>0</x:v>
      </x:c>
    </x:row>
    <x:row r="232">
      <x:c r="A232" t="n">
        <x:v>4</x:v>
      </x:c>
      <x:c r="B232" t="n">
        <x:v>0</x:v>
      </x:c>
      <x:c r="C232" t="n">
        <x:v>1</x:v>
      </x:c>
      <x:c r="D232" t="n">
        <x:v>1</x:v>
      </x:c>
      <x:c r="E232" t="str">
        <x:v>olo</x:v>
      </x:c>
      <x:c r="F232" s="45" t="n">
        <x:f>(1/2)*$C232+(1/2)*$D232</x:f>
        <x:v>1</x:v>
      </x:c>
      <x:c r="G232" s="45" t="n">
        <x:f>1*$C232+2*$D232</x:f>
        <x:v>3</x:v>
      </x:c>
      <x:c r="H232" s="45" t="n">
        <x:f>(1/2)*$C232+(1/2)*$D232</x:f>
        <x:v>1</x:v>
      </x:c>
      <x:c r="I232" s="45" t="n">
        <x:f>(3/2)*($C232+$D232)</x:f>
        <x:v>3</x:v>
      </x:c>
      <x:c r="J232" s="45" t="n">
        <x:f>0</x:f>
        <x:v>0</x:v>
      </x:c>
      <x:c r="K232" s="45" t="n">
        <x:f>(3/2)*($C232+$D232)</x:f>
        <x:v>3</x:v>
      </x:c>
      <x:c r="L232" s="45" t="n">
        <x:f>F232+I232</x:f>
        <x:v>4</x:v>
      </x:c>
      <x:c r="M232" s="45" t="n">
        <x:f>G232+J232</x:f>
        <x:v>3</x:v>
      </x:c>
      <x:c r="N232" s="45" t="n">
        <x:f>H232+K232</x:f>
        <x:v>4</x:v>
      </x:c>
      <x:c r="O232" s="45" t="n">
        <x:f>SUM(F232:H232)</x:f>
        <x:v>5</x:v>
      </x:c>
      <x:c r="P232" s="42" t="n">
        <x:f>IF(AND(F232&lt;=F248,F232&lt;=F200,F232&lt;=F216,G232&lt;=G240,G232&lt;=G228,G232&lt;=G236,H232&lt;=H233,H232&lt;=H230,H232&lt;=H231),1,0)</x:f>
        <x:v>0</x:v>
      </x:c>
      <x:c r="Q232" s="42" t="n">
        <x:f>IF(AND(L232&lt;=L248,L232&lt;=L200,L232&lt;=L216,M232&lt;=M240,M232&lt;=M228,M232&lt;=M236,N232&lt;=N233,N232&lt;=N230,N232&lt;=N231),1,0)</x:f>
        <x:v>0</x:v>
      </x:c>
      <x:c r="R232" s="42" t="n">
        <x:v>0</x:v>
      </x:c>
      <x:c r="S232" s="42" t="n">
        <x:v>0</x:v>
      </x:c>
    </x:row>
    <x:row r="233">
      <x:c r="A233" t="n">
        <x:v>4</x:v>
      </x:c>
      <x:c r="B233" t="n">
        <x:v>0</x:v>
      </x:c>
      <x:c r="C233" t="n">
        <x:v>1</x:v>
      </x:c>
      <x:c r="D233" t="n">
        <x:v>1</x:v>
      </x:c>
      <x:c r="E233" t="str">
        <x:v>olv</x:v>
      </x:c>
      <x:c r="F233" s="45" t="n">
        <x:f>0</x:f>
        <x:v>0</x:v>
      </x:c>
      <x:c r="G233" s="45" t="n">
        <x:f>1*$D233</x:f>
        <x:v>1</x:v>
      </x:c>
      <x:c r="H233" s="45" t="n">
        <x:f>2*$B233</x:f>
        <x:v>0</x:v>
      </x:c>
      <x:c r="I233" s="45" t="n">
        <x:f>0</x:f>
        <x:v>0</x:v>
      </x:c>
      <x:c r="J233" s="45" t="n">
        <x:f>0</x:f>
        <x:v>0</x:v>
      </x:c>
      <x:c r="K233" s="45" t="n">
        <x:f>0</x:f>
        <x:v>0</x:v>
      </x:c>
      <x:c r="L233" s="45" t="n">
        <x:f>F233+I233</x:f>
        <x:v>0</x:v>
      </x:c>
      <x:c r="M233" s="45" t="n">
        <x:f>G233+J233</x:f>
        <x:v>1</x:v>
      </x:c>
      <x:c r="N233" s="45" t="n">
        <x:f>H233+K233</x:f>
        <x:v>0</x:v>
      </x:c>
      <x:c r="O233" s="45" t="n">
        <x:f>SUM(F233:H233)</x:f>
        <x:v>1</x:v>
      </x:c>
      <x:c r="P233" s="42" t="n">
        <x:f>IF(AND(F233&lt;=F249,F233&lt;=F201,F233&lt;=F217,G233&lt;=G241,G233&lt;=G229,G233&lt;=G237,H233&lt;=H230,H233&lt;=H232,H233&lt;=H231),1,0)</x:f>
        <x:v>0</x:v>
      </x:c>
      <x:c r="Q233" s="42" t="n">
        <x:f>IF(AND(L233&lt;=L249,L233&lt;=L201,L233&lt;=L217,M233&lt;=M241,M233&lt;=M229,M233&lt;=M237,N233&lt;=N230,N233&lt;=N232,N233&lt;=N231),1,0)</x:f>
        <x:v>0</x:v>
      </x:c>
      <x:c r="R233" s="42" t="n">
        <x:v>0</x:v>
      </x:c>
      <x:c r="S233" s="42" t="n">
        <x:v>0</x:v>
      </x:c>
    </x:row>
    <x:row r="234">
      <x:c r="A234" t="n">
        <x:v>4</x:v>
      </x:c>
      <x:c r="B234" t="n">
        <x:v>0</x:v>
      </x:c>
      <x:c r="C234" t="n">
        <x:v>1</x:v>
      </x:c>
      <x:c r="D234" t="n">
        <x:v>1</x:v>
      </x:c>
      <x:c r="E234" t="str">
        <x:v>ooe</x:v>
      </x:c>
      <x:c r="F234" s="45" t="n">
        <x:f>(1/2)*$C234+(1/2)*$D234</x:f>
        <x:v>1</x:v>
      </x:c>
      <x:c r="G234" s="45" t="n">
        <x:f>(1/2)*$C234+(1/2)*$D234</x:f>
        <x:v>1</x:v>
      </x:c>
      <x:c r="H234" s="45" t="n">
        <x:f>1*$B234</x:f>
        <x:v>0</x:v>
      </x:c>
      <x:c r="I234" s="45" t="n">
        <x:f>(1/2)*($C234+$D234)</x:f>
        <x:v>1</x:v>
      </x:c>
      <x:c r="J234" s="45" t="n">
        <x:f>(1/2)*($C234+$D234)</x:f>
        <x:v>1</x:v>
      </x:c>
      <x:c r="K234" s="45" t="n">
        <x:f>0</x:f>
        <x:v>0</x:v>
      </x:c>
      <x:c r="L234" s="45" t="n">
        <x:f>F234+I234</x:f>
        <x:v>2</x:v>
      </x:c>
      <x:c r="M234" s="45" t="n">
        <x:f>G234+J234</x:f>
        <x:v>2</x:v>
      </x:c>
      <x:c r="N234" s="45" t="n">
        <x:f>H234+K234</x:f>
        <x:v>0</x:v>
      </x:c>
      <x:c r="O234" s="45" t="n">
        <x:f>SUM(F234:H234)</x:f>
        <x:v>2</x:v>
      </x:c>
      <x:c r="P234" s="42" t="n">
        <x:f>IF(AND(F234&lt;=F250,F234&lt;=F202,F234&lt;=F218,G234&lt;=G238,G234&lt;=G226,G234&lt;=G230,H234&lt;=H237,H234&lt;=H236,H234&lt;=H235),1,0)</x:f>
        <x:v>0</x:v>
      </x:c>
      <x:c r="Q234" s="42" t="n">
        <x:f>IF(AND(L234&lt;=L250,L234&lt;=L202,L234&lt;=L218,M234&lt;=M238,M234&lt;=M226,M234&lt;=M230,N234&lt;=N237,N234&lt;=N236,N234&lt;=N235),1,0)</x:f>
        <x:v>0</x:v>
      </x:c>
      <x:c r="R234" s="42" t="n">
        <x:v>0</x:v>
      </x:c>
      <x:c r="S234" s="42" t="n">
        <x:v>0</x:v>
      </x:c>
    </x:row>
    <x:row r="235">
      <x:c r="A235" t="n">
        <x:v>4</x:v>
      </x:c>
      <x:c r="B235" t="n">
        <x:v>0</x:v>
      </x:c>
      <x:c r="C235" t="n">
        <x:v>1</x:v>
      </x:c>
      <x:c r="D235" t="n">
        <x:v>1</x:v>
      </x:c>
      <x:c r="E235" t="str">
        <x:v>ool</x:v>
      </x:c>
      <x:c r="F235" s="45" t="n">
        <x:f>(1/2)*$C235+(1/2)*$D235</x:f>
        <x:v>1</x:v>
      </x:c>
      <x:c r="G235" s="45" t="n">
        <x:f>(1/2)*$C235+(1/2)*$D235</x:f>
        <x:v>1</x:v>
      </x:c>
      <x:c r="H235" s="45" t="n">
        <x:f>1*$C235+2*$D235</x:f>
        <x:v>3</x:v>
      </x:c>
      <x:c r="I235" s="45" t="n">
        <x:f>(3/2)*($C235+$D235)</x:f>
        <x:v>3</x:v>
      </x:c>
      <x:c r="J235" s="45" t="n">
        <x:f>(3/2)*($C235+$D235)</x:f>
        <x:v>3</x:v>
      </x:c>
      <x:c r="K235" s="45" t="n">
        <x:f>0</x:f>
        <x:v>0</x:v>
      </x:c>
      <x:c r="L235" s="45" t="n">
        <x:f>F235+I235</x:f>
        <x:v>4</x:v>
      </x:c>
      <x:c r="M235" s="45" t="n">
        <x:f>G235+J235</x:f>
        <x:v>4</x:v>
      </x:c>
      <x:c r="N235" s="45" t="n">
        <x:f>H235+K235</x:f>
        <x:v>3</x:v>
      </x:c>
      <x:c r="O235" s="45" t="n">
        <x:f>SUM(F235:H235)</x:f>
        <x:v>5</x:v>
      </x:c>
      <x:c r="P235" s="42" t="n">
        <x:f>IF(AND(F235&lt;=F251,F235&lt;=F203,F235&lt;=F219,G235&lt;=G239,G235&lt;=G227,G235&lt;=G231,H235&lt;=H237,H235&lt;=H234,H235&lt;=H236),1,0)</x:f>
        <x:v>0</x:v>
      </x:c>
      <x:c r="Q235" s="42" t="n">
        <x:f>IF(AND(L235&lt;=L251,L235&lt;=L203,L235&lt;=L219,M235&lt;=M239,M235&lt;=M227,M235&lt;=M231,N235&lt;=N237,N235&lt;=N234,N235&lt;=N236),1,0)</x:f>
        <x:v>0</x:v>
      </x:c>
      <x:c r="R235" s="42" t="n">
        <x:v>0</x:v>
      </x:c>
      <x:c r="S235" s="42" t="n">
        <x:v>0</x:v>
      </x:c>
    </x:row>
    <x:row r="236">
      <x:c r="A236" t="n">
        <x:v>4</x:v>
      </x:c>
      <x:c r="B236" t="n">
        <x:v>0</x:v>
      </x:c>
      <x:c r="C236" t="n">
        <x:v>1</x:v>
      </x:c>
      <x:c r="D236" t="n">
        <x:v>1</x:v>
      </x:c>
      <x:c r="E236" t="str">
        <x:v>ooo</x:v>
      </x:c>
      <x:c r="F236" s="45" t="n">
        <x:f>1*$C236+1*$D236</x:f>
        <x:v>2</x:v>
      </x:c>
      <x:c r="G236" s="45" t="n">
        <x:f>1*$C236+1*$D236</x:f>
        <x:v>2</x:v>
      </x:c>
      <x:c r="H236" s="45" t="n">
        <x:f>1*$C236+1*$D236</x:f>
        <x:v>2</x:v>
      </x:c>
      <x:c r="I236" s="45" t="n">
        <x:f>$C236+$D236</x:f>
        <x:v>2</x:v>
      </x:c>
      <x:c r="J236" s="45" t="n">
        <x:f>$C236+$D236</x:f>
        <x:v>2</x:v>
      </x:c>
      <x:c r="K236" s="45" t="n">
        <x:f>$C236+$D236</x:f>
        <x:v>2</x:v>
      </x:c>
      <x:c r="L236" s="45" t="n">
        <x:f>F236+I236</x:f>
        <x:v>4</x:v>
      </x:c>
      <x:c r="M236" s="45" t="n">
        <x:f>G236+J236</x:f>
        <x:v>4</x:v>
      </x:c>
      <x:c r="N236" s="45" t="n">
        <x:f>H236+K236</x:f>
        <x:v>4</x:v>
      </x:c>
      <x:c r="O236" s="45" t="n">
        <x:f>SUM(F236:H236)</x:f>
        <x:v>6</x:v>
      </x:c>
      <x:c r="P236" s="42" t="n">
        <x:f>IF(AND(F236&lt;=F252,F236&lt;=F204,F236&lt;=F220,G236&lt;=G240,G236&lt;=G228,G236&lt;=G232,H236&lt;=H237,H236&lt;=H234,H236&lt;=H235),1,0)</x:f>
        <x:v>0</x:v>
      </x:c>
      <x:c r="Q236" s="42" t="n">
        <x:f>IF(AND(L236&lt;=L252,L236&lt;=L204,L236&lt;=L220,M236&lt;=M240,M236&lt;=M228,M236&lt;=M232,N236&lt;=N237,N236&lt;=N234,N236&lt;=N235),1,0)</x:f>
        <x:v>0</x:v>
      </x:c>
      <x:c r="R236" s="42" t="n">
        <x:v>0</x:v>
      </x:c>
      <x:c r="S236" s="42" t="n">
        <x:v>0</x:v>
      </x:c>
    </x:row>
    <x:row r="237">
      <x:c r="A237" t="n">
        <x:v>4</x:v>
      </x:c>
      <x:c r="B237" t="n">
        <x:v>0</x:v>
      </x:c>
      <x:c r="C237" t="n">
        <x:v>1</x:v>
      </x:c>
      <x:c r="D237" t="n">
        <x:v>1</x:v>
      </x:c>
      <x:c r="E237" t="str">
        <x:v>oov</x:v>
      </x:c>
      <x:c r="F237" s="45" t="n">
        <x:f>(1/2)*$C237+(1/2)*$D237</x:f>
        <x:v>1</x:v>
      </x:c>
      <x:c r="G237" s="45" t="n">
        <x:f>(1/2)*$C237+(1/2)*$D237</x:f>
        <x:v>1</x:v>
      </x:c>
      <x:c r="H237" s="45" t="n">
        <x:f>2*$B237</x:f>
        <x:v>0</x:v>
      </x:c>
      <x:c r="I237" s="45" t="n">
        <x:f>(1/2)*($C237+$D237)</x:f>
        <x:v>1</x:v>
      </x:c>
      <x:c r="J237" s="45" t="n">
        <x:f>(1/2)*($C237+$D237)</x:f>
        <x:v>1</x:v>
      </x:c>
      <x:c r="K237" s="45" t="n">
        <x:f>0</x:f>
        <x:v>0</x:v>
      </x:c>
      <x:c r="L237" s="45" t="n">
        <x:f>F237+I237</x:f>
        <x:v>2</x:v>
      </x:c>
      <x:c r="M237" s="45" t="n">
        <x:f>G237+J237</x:f>
        <x:v>2</x:v>
      </x:c>
      <x:c r="N237" s="45" t="n">
        <x:f>H237+K237</x:f>
        <x:v>0</x:v>
      </x:c>
      <x:c r="O237" s="45" t="n">
        <x:f>SUM(F237:H237)</x:f>
        <x:v>2</x:v>
      </x:c>
      <x:c r="P237" s="42" t="n">
        <x:f>IF(AND(F237&lt;=F253,F237&lt;=F205,F237&lt;=F221,G237&lt;=G241,G237&lt;=G229,G237&lt;=G233,H237&lt;=H234,H237&lt;=H236,H237&lt;=H235),1,0)</x:f>
        <x:v>0</x:v>
      </x:c>
      <x:c r="Q237" s="42" t="n">
        <x:f>IF(AND(L237&lt;=L253,L237&lt;=L205,L237&lt;=L221,M237&lt;=M241,M237&lt;=M229,M237&lt;=M233,N237&lt;=N234,N237&lt;=N236,N237&lt;=N235),1,0)</x:f>
        <x:v>0</x:v>
      </x:c>
      <x:c r="R237" s="42" t="n">
        <x:v>0</x:v>
      </x:c>
      <x:c r="S237" s="42" t="n">
        <x:v>0</x:v>
      </x:c>
    </x:row>
    <x:row r="238">
      <x:c r="A238" t="n">
        <x:v>4</x:v>
      </x:c>
      <x:c r="B238" t="n">
        <x:v>0</x:v>
      </x:c>
      <x:c r="C238" t="n">
        <x:v>1</x:v>
      </x:c>
      <x:c r="D238" t="n">
        <x:v>1</x:v>
      </x:c>
      <x:c r="E238" t="str">
        <x:v>ove</x:v>
      </x:c>
      <x:c r="F238" s="45" t="n">
        <x:f>0</x:f>
        <x:v>0</x:v>
      </x:c>
      <x:c r="G238" s="45" t="n">
        <x:f>2*$B238</x:f>
        <x:v>0</x:v>
      </x:c>
      <x:c r="H238" s="45" t="n">
        <x:f>1*$B238</x:f>
        <x:v>0</x:v>
      </x:c>
      <x:c r="I238" s="45" t="n">
        <x:f>0</x:f>
        <x:v>0</x:v>
      </x:c>
      <x:c r="J238" s="45" t="n">
        <x:f>0</x:f>
        <x:v>0</x:v>
      </x:c>
      <x:c r="K238" s="45" t="n">
        <x:f>0</x:f>
        <x:v>0</x:v>
      </x:c>
      <x:c r="L238" s="45" t="n">
        <x:f>F238+I238</x:f>
        <x:v>0</x:v>
      </x:c>
      <x:c r="M238" s="45" t="n">
        <x:f>G238+J238</x:f>
        <x:v>0</x:v>
      </x:c>
      <x:c r="N238" s="45" t="n">
        <x:f>H238+K238</x:f>
        <x:v>0</x:v>
      </x:c>
      <x:c r="O238" s="45" t="n">
        <x:f>SUM(F238:H238)</x:f>
        <x:v>0</x:v>
      </x:c>
      <x:c r="P238" s="42" t="n">
        <x:f>IF(AND(F238&lt;=F254,F238&lt;=F206,F238&lt;=F222,G238&lt;=G226,G238&lt;=G234,G238&lt;=G230,H238&lt;=H241,H238&lt;=H240,H238&lt;=H239),1,0)</x:f>
        <x:v>1</x:v>
      </x:c>
      <x:c r="Q238" s="42" t="n">
        <x:f>IF(AND(L238&lt;=L254,L238&lt;=L206,L238&lt;=L222,M238&lt;=M226,M238&lt;=M234,M238&lt;=M230,N238&lt;=N241,N238&lt;=N240,N238&lt;=N239),1,0)</x:f>
        <x:v>1</x:v>
      </x:c>
      <x:c r="R238" s="42" t="n">
        <x:v>1</x:v>
      </x:c>
      <x:c r="S238" s="42" t="n">
        <x:v>1</x:v>
      </x:c>
    </x:row>
    <x:row r="239">
      <x:c r="A239" t="n">
        <x:v>4</x:v>
      </x:c>
      <x:c r="B239" t="n">
        <x:v>0</x:v>
      </x:c>
      <x:c r="C239" t="n">
        <x:v>1</x:v>
      </x:c>
      <x:c r="D239" t="n">
        <x:v>1</x:v>
      </x:c>
      <x:c r="E239" t="str">
        <x:v>ovl</x:v>
      </x:c>
      <x:c r="F239" s="45" t="n">
        <x:f>0</x:f>
        <x:v>0</x:v>
      </x:c>
      <x:c r="G239" s="45" t="n">
        <x:f>2*$B239</x:f>
        <x:v>0</x:v>
      </x:c>
      <x:c r="H239" s="45" t="n">
        <x:f>1*$D239</x:f>
        <x:v>1</x:v>
      </x:c>
      <x:c r="I239" s="45" t="n">
        <x:f>0</x:f>
        <x:v>0</x:v>
      </x:c>
      <x:c r="J239" s="45" t="n">
        <x:f>0</x:f>
        <x:v>0</x:v>
      </x:c>
      <x:c r="K239" s="45" t="n">
        <x:f>0</x:f>
        <x:v>0</x:v>
      </x:c>
      <x:c r="L239" s="45" t="n">
        <x:f>F239+I239</x:f>
        <x:v>0</x:v>
      </x:c>
      <x:c r="M239" s="45" t="n">
        <x:f>G239+J239</x:f>
        <x:v>0</x:v>
      </x:c>
      <x:c r="N239" s="45" t="n">
        <x:f>H239+K239</x:f>
        <x:v>1</x:v>
      </x:c>
      <x:c r="O239" s="45" t="n">
        <x:f>SUM(F239:H239)</x:f>
        <x:v>1</x:v>
      </x:c>
      <x:c r="P239" s="42" t="n">
        <x:f>IF(AND(F239&lt;=F255,F239&lt;=F207,F239&lt;=F223,G239&lt;=G227,G239&lt;=G235,G239&lt;=G231,H239&lt;=H241,H239&lt;=H238,H239&lt;=H240),1,0)</x:f>
        <x:v>0</x:v>
      </x:c>
      <x:c r="Q239" s="42" t="n">
        <x:f>IF(AND(L239&lt;=L255,L239&lt;=L207,L239&lt;=L223,M239&lt;=M227,M239&lt;=M235,M239&lt;=M231,N239&lt;=N241,N239&lt;=N238,N239&lt;=N240),1,0)</x:f>
        <x:v>0</x:v>
      </x:c>
      <x:c r="R239" s="42" t="n">
        <x:v>0</x:v>
      </x:c>
      <x:c r="S239" s="42" t="n">
        <x:v>0</x:v>
      </x:c>
    </x:row>
    <x:row r="240">
      <x:c r="A240" t="n">
        <x:v>4</x:v>
      </x:c>
      <x:c r="B240" t="n">
        <x:v>0</x:v>
      </x:c>
      <x:c r="C240" t="n">
        <x:v>1</x:v>
      </x:c>
      <x:c r="D240" t="n">
        <x:v>1</x:v>
      </x:c>
      <x:c r="E240" t="str">
        <x:v>ovo</x:v>
      </x:c>
      <x:c r="F240" s="45" t="n">
        <x:f>(1/2)*$C240+(1/2)*$D240</x:f>
        <x:v>1</x:v>
      </x:c>
      <x:c r="G240" s="45" t="n">
        <x:f>2*$B240</x:f>
        <x:v>0</x:v>
      </x:c>
      <x:c r="H240" s="45" t="n">
        <x:f>(1/2)*$C240+(1/2)*$D240</x:f>
        <x:v>1</x:v>
      </x:c>
      <x:c r="I240" s="45" t="n">
        <x:f>(1/2)*($C240+$D240)</x:f>
        <x:v>1</x:v>
      </x:c>
      <x:c r="J240" s="45" t="n">
        <x:f>0</x:f>
        <x:v>0</x:v>
      </x:c>
      <x:c r="K240" s="45" t="n">
        <x:f>(1/2)*($C240+$D240)</x:f>
        <x:v>1</x:v>
      </x:c>
      <x:c r="L240" s="45" t="n">
        <x:f>F240+I240</x:f>
        <x:v>2</x:v>
      </x:c>
      <x:c r="M240" s="45" t="n">
        <x:f>G240+J240</x:f>
        <x:v>0</x:v>
      </x:c>
      <x:c r="N240" s="45" t="n">
        <x:f>H240+K240</x:f>
        <x:v>2</x:v>
      </x:c>
      <x:c r="O240" s="45" t="n">
        <x:f>SUM(F240:H240)</x:f>
        <x:v>2</x:v>
      </x:c>
      <x:c r="P240" s="42" t="n">
        <x:f>IF(AND(F240&lt;=F256,F240&lt;=F208,F240&lt;=F224,G240&lt;=G228,G240&lt;=G236,G240&lt;=G232,H240&lt;=H241,H240&lt;=H238,H240&lt;=H239),1,0)</x:f>
        <x:v>0</x:v>
      </x:c>
      <x:c r="Q240" s="42" t="n">
        <x:f>IF(AND(L240&lt;=L256,L240&lt;=L208,L240&lt;=L224,M240&lt;=M228,M240&lt;=M236,M240&lt;=M232,N240&lt;=N241,N240&lt;=N238,N240&lt;=N239),1,0)</x:f>
        <x:v>0</x:v>
      </x:c>
      <x:c r="R240" s="42" t="n">
        <x:v>0</x:v>
      </x:c>
      <x:c r="S240" s="42" t="n">
        <x:v>0</x:v>
      </x:c>
    </x:row>
    <x:row r="241">
      <x:c r="A241" t="n">
        <x:v>4</x:v>
      </x:c>
      <x:c r="B241" t="n">
        <x:v>0</x:v>
      </x:c>
      <x:c r="C241" t="n">
        <x:v>1</x:v>
      </x:c>
      <x:c r="D241" t="n">
        <x:v>1</x:v>
      </x:c>
      <x:c r="E241" t="str">
        <x:v>ovv</x:v>
      </x:c>
      <x:c r="F241" s="45" t="n">
        <x:f>0</x:f>
        <x:v>0</x:v>
      </x:c>
      <x:c r="G241" s="45" t="n">
        <x:f>(3/2)*$B241+(1/2)*$C241</x:f>
        <x:v>0.5</x:v>
      </x:c>
      <x:c r="H241" s="45" t="n">
        <x:f>(3/2)*$B241+(1/2)*$C241</x:f>
        <x:v>0.5</x:v>
      </x:c>
      <x:c r="I241" s="45" t="n">
        <x:f>0</x:f>
        <x:v>0</x:v>
      </x:c>
      <x:c r="J241" s="45" t="n">
        <x:f>MAX((1/2)*($C241-$B241),0)</x:f>
        <x:v>0.5</x:v>
      </x:c>
      <x:c r="K241" s="45" t="n">
        <x:f>MAX((1/2)*($C241-$B241),0)</x:f>
        <x:v>0.5</x:v>
      </x:c>
      <x:c r="L241" s="45" t="n">
        <x:f>F241+I241</x:f>
        <x:v>0</x:v>
      </x:c>
      <x:c r="M241" s="45" t="n">
        <x:f>G241+J241</x:f>
        <x:v>1</x:v>
      </x:c>
      <x:c r="N241" s="45" t="n">
        <x:f>H241+K241</x:f>
        <x:v>1</x:v>
      </x:c>
      <x:c r="O241" s="45" t="n">
        <x:f>SUM(F241:H241)</x:f>
        <x:v>1</x:v>
      </x:c>
      <x:c r="P241" s="42" t="n">
        <x:f>IF(AND(F241&lt;=F257,F241&lt;=F209,F241&lt;=F225,G241&lt;=G229,G241&lt;=G237,G241&lt;=G233,H241&lt;=H238,H241&lt;=H240,H241&lt;=H239),1,0)</x:f>
        <x:v>0</x:v>
      </x:c>
      <x:c r="Q241" s="42" t="n">
        <x:f>IF(AND(L241&lt;=L257,L241&lt;=L209,L241&lt;=L225,M241&lt;=M229,M241&lt;=M237,M241&lt;=M233,N241&lt;=N238,N241&lt;=N240,N241&lt;=N239),1,0)</x:f>
        <x:v>0</x:v>
      </x:c>
      <x:c r="R241" s="42" t="n">
        <x:v>0</x:v>
      </x:c>
      <x:c r="S241" s="42" t="n">
        <x:v>0</x:v>
      </x:c>
    </x:row>
    <x:row r="242">
      <x:c r="A242" t="n">
        <x:v>4</x:v>
      </x:c>
      <x:c r="B242" t="n">
        <x:v>0</x:v>
      </x:c>
      <x:c r="C242" t="n">
        <x:v>1</x:v>
      </x:c>
      <x:c r="D242" t="n">
        <x:v>1</x:v>
      </x:c>
      <x:c r="E242" t="str">
        <x:v>vee</x:v>
      </x:c>
      <x:c r="F242" s="45" t="n">
        <x:f>2*$B242</x:f>
        <x:v>0</x:v>
      </x:c>
      <x:c r="G242" s="45" t="n">
        <x:f>(1/2)*$B242+(1/2)*$C242</x:f>
        <x:v>0.5</x:v>
      </x:c>
      <x:c r="H242" s="45" t="n">
        <x:f>(1/2)*$B242+(1/2)*$C242</x:f>
        <x:v>0.5</x:v>
      </x:c>
      <x:c r="I242" s="45" t="n">
        <x:f>0</x:f>
        <x:v>0</x:v>
      </x:c>
      <x:c r="J242" s="45" t="n">
        <x:f>MAX((1/2)*($C242-$B242),0)</x:f>
        <x:v>0.5</x:v>
      </x:c>
      <x:c r="K242" s="45" t="n">
        <x:f>MAX((1/2)*($C242-$B242),0)</x:f>
        <x:v>0.5</x:v>
      </x:c>
      <x:c r="L242" s="45" t="n">
        <x:f>F242+I242</x:f>
        <x:v>0</x:v>
      </x:c>
      <x:c r="M242" s="45" t="n">
        <x:f>G242+J242</x:f>
        <x:v>1</x:v>
      </x:c>
      <x:c r="N242" s="45" t="n">
        <x:f>H242+K242</x:f>
        <x:v>1</x:v>
      </x:c>
      <x:c r="O242" s="45" t="n">
        <x:f>SUM(F242:H242)</x:f>
        <x:v>1</x:v>
      </x:c>
      <x:c r="P242" s="42" t="n">
        <x:f>IF(AND(F242&lt;=F194,F242&lt;=F226,F242&lt;=F210,G242&lt;=G254,G242&lt;=G250,G242&lt;=G246,H242&lt;=H245,H242&lt;=H244,H242&lt;=H243),1,0)</x:f>
        <x:v>0</x:v>
      </x:c>
      <x:c r="Q242" s="42" t="n">
        <x:f>IF(AND(L242&lt;=L194,L242&lt;=L226,L242&lt;=L210,M242&lt;=M254,M242&lt;=M250,M242&lt;=M246,N242&lt;=N245,N242&lt;=N244,N242&lt;=N243),1,0)</x:f>
        <x:v>0</x:v>
      </x:c>
      <x:c r="R242" s="42" t="n">
        <x:v>0</x:v>
      </x:c>
      <x:c r="S242" s="42" t="n">
        <x:v>0</x:v>
      </x:c>
    </x:row>
    <x:row r="243">
      <x:c r="A243" t="n">
        <x:v>4</x:v>
      </x:c>
      <x:c r="B243" t="n">
        <x:v>0</x:v>
      </x:c>
      <x:c r="C243" t="n">
        <x:v>1</x:v>
      </x:c>
      <x:c r="D243" t="n">
        <x:v>1</x:v>
      </x:c>
      <x:c r="E243" t="str">
        <x:v>vel</x:v>
      </x:c>
      <x:c r="F243" s="45" t="n">
        <x:f>2*$B243</x:f>
        <x:v>0</x:v>
      </x:c>
      <x:c r="G243" s="45" t="n">
        <x:f>1*$B243</x:f>
        <x:v>0</x:v>
      </x:c>
      <x:c r="H243" s="45" t="n">
        <x:f>1*$D243</x:f>
        <x:v>1</x:v>
      </x:c>
      <x:c r="I243" s="45" t="n">
        <x:f>0</x:f>
        <x:v>0</x:v>
      </x:c>
      <x:c r="J243" s="45" t="n">
        <x:f>0</x:f>
        <x:v>0</x:v>
      </x:c>
      <x:c r="K243" s="45" t="n">
        <x:f>0</x:f>
        <x:v>0</x:v>
      </x:c>
      <x:c r="L243" s="45" t="n">
        <x:f>F243+I243</x:f>
        <x:v>0</x:v>
      </x:c>
      <x:c r="M243" s="45" t="n">
        <x:f>G243+J243</x:f>
        <x:v>0</x:v>
      </x:c>
      <x:c r="N243" s="45" t="n">
        <x:f>H243+K243</x:f>
        <x:v>1</x:v>
      </x:c>
      <x:c r="O243" s="45" t="n">
        <x:f>SUM(F243:H243)</x:f>
        <x:v>1</x:v>
      </x:c>
      <x:c r="P243" s="42" t="n">
        <x:f>IF(AND(F243&lt;=F195,F243&lt;=F227,F243&lt;=F211,G243&lt;=G255,G243&lt;=G251,G243&lt;=G247,H243&lt;=H245,H243&lt;=H242,H243&lt;=H244),1,0)</x:f>
        <x:v>0</x:v>
      </x:c>
      <x:c r="Q243" s="42" t="n">
        <x:f>IF(AND(L243&lt;=L195,L243&lt;=L227,L243&lt;=L211,M243&lt;=M255,M243&lt;=M251,M243&lt;=M247,N243&lt;=N245,N243&lt;=N242,N243&lt;=N244),1,0)</x:f>
        <x:v>0</x:v>
      </x:c>
      <x:c r="R243" s="42" t="n">
        <x:v>0</x:v>
      </x:c>
      <x:c r="S243" s="42" t="n">
        <x:v>0</x:v>
      </x:c>
    </x:row>
    <x:row r="244">
      <x:c r="A244" t="n">
        <x:v>4</x:v>
      </x:c>
      <x:c r="B244" t="n">
        <x:v>0</x:v>
      </x:c>
      <x:c r="C244" t="n">
        <x:v>1</x:v>
      </x:c>
      <x:c r="D244" t="n">
        <x:v>1</x:v>
      </x:c>
      <x:c r="E244" t="str">
        <x:v>veo</x:v>
      </x:c>
      <x:c r="F244" s="45" t="n">
        <x:f>2*$B244</x:f>
        <x:v>0</x:v>
      </x:c>
      <x:c r="G244" s="45" t="n">
        <x:f>1*$B244</x:f>
        <x:v>0</x:v>
      </x:c>
      <x:c r="H244" s="45" t="n">
        <x:f>0</x:f>
        <x:v>0</x:v>
      </x:c>
      <x:c r="I244" s="45" t="n">
        <x:f>0</x:f>
        <x:v>0</x:v>
      </x:c>
      <x:c r="J244" s="45" t="n">
        <x:f>0</x:f>
        <x:v>0</x:v>
      </x:c>
      <x:c r="K244" s="45" t="n">
        <x:f>0</x:f>
        <x:v>0</x:v>
      </x:c>
      <x:c r="L244" s="45" t="n">
        <x:f>F244+I244</x:f>
        <x:v>0</x:v>
      </x:c>
      <x:c r="M244" s="45" t="n">
        <x:f>G244+J244</x:f>
        <x:v>0</x:v>
      </x:c>
      <x:c r="N244" s="45" t="n">
        <x:f>H244+K244</x:f>
        <x:v>0</x:v>
      </x:c>
      <x:c r="O244" s="45" t="n">
        <x:f>SUM(F244:H244)</x:f>
        <x:v>0</x:v>
      </x:c>
      <x:c r="P244" s="42" t="n">
        <x:f>IF(AND(F244&lt;=F196,F244&lt;=F228,F244&lt;=F212,G244&lt;=G256,G244&lt;=G252,G244&lt;=G248,H244&lt;=H245,H244&lt;=H242,H244&lt;=H243),1,0)</x:f>
        <x:v>1</x:v>
      </x:c>
      <x:c r="Q244" s="42" t="n">
        <x:f>IF(AND(L244&lt;=L196,L244&lt;=L228,L244&lt;=L212,M244&lt;=M256,M244&lt;=M252,M244&lt;=M248,N244&lt;=N245,N244&lt;=N242,N244&lt;=N243),1,0)</x:f>
        <x:v>1</x:v>
      </x:c>
      <x:c r="R244" s="42" t="n">
        <x:v>1</x:v>
      </x:c>
      <x:c r="S244" s="42" t="n">
        <x:v>1</x:v>
      </x:c>
    </x:row>
    <x:row r="245">
      <x:c r="A245" t="n">
        <x:v>4</x:v>
      </x:c>
      <x:c r="B245" t="n">
        <x:v>0</x:v>
      </x:c>
      <x:c r="C245" t="n">
        <x:v>1</x:v>
      </x:c>
      <x:c r="D245" t="n">
        <x:v>1</x:v>
      </x:c>
      <x:c r="E245" t="str">
        <x:v>vev</x:v>
      </x:c>
      <x:c r="F245" s="45" t="n">
        <x:f>(3/2)*$B245+(1/2)*$C245</x:f>
        <x:v>0.5</x:v>
      </x:c>
      <x:c r="G245" s="45" t="n">
        <x:f>1*$C245</x:f>
        <x:v>1</x:v>
      </x:c>
      <x:c r="H245" s="45" t="n">
        <x:f>(3/2)*$B245+(1/2)*$C245</x:f>
        <x:v>0.5</x:v>
      </x:c>
      <x:c r="I245" s="45" t="n">
        <x:f>MAX((3/2)*($C245-$B245),0)</x:f>
        <x:v>1.5</x:v>
      </x:c>
      <x:c r="J245" s="45" t="n">
        <x:f>0</x:f>
        <x:v>0</x:v>
      </x:c>
      <x:c r="K245" s="45" t="n">
        <x:f>MAX((3/2)*($C245-$B245),0)</x:f>
        <x:v>1.5</x:v>
      </x:c>
      <x:c r="L245" s="45" t="n">
        <x:f>F245+I245</x:f>
        <x:v>2</x:v>
      </x:c>
      <x:c r="M245" s="45" t="n">
        <x:f>G245+J245</x:f>
        <x:v>1</x:v>
      </x:c>
      <x:c r="N245" s="45" t="n">
        <x:f>H245+K245</x:f>
        <x:v>2</x:v>
      </x:c>
      <x:c r="O245" s="45" t="n">
        <x:f>SUM(F245:H245)</x:f>
        <x:v>2</x:v>
      </x:c>
      <x:c r="P245" s="42" t="n">
        <x:f>IF(AND(F245&lt;=F197,F245&lt;=F229,F245&lt;=F213,G245&lt;=G257,G245&lt;=G253,G245&lt;=G249,H245&lt;=H242,H245&lt;=H244,H245&lt;=H243),1,0)</x:f>
        <x:v>0</x:v>
      </x:c>
      <x:c r="Q245" s="42" t="n">
        <x:f>IF(AND(L245&lt;=L197,L245&lt;=L229,L245&lt;=L213,M245&lt;=M257,M245&lt;=M253,M245&lt;=M249,N245&lt;=N242,N245&lt;=N244,N245&lt;=N243),1,0)</x:f>
        <x:v>0</x:v>
      </x:c>
      <x:c r="R245" s="42" t="n">
        <x:v>0</x:v>
      </x:c>
      <x:c r="S245" s="42" t="n">
        <x:v>0</x:v>
      </x:c>
    </x:row>
    <x:row r="246">
      <x:c r="A246" t="n">
        <x:v>4</x:v>
      </x:c>
      <x:c r="B246" t="n">
        <x:v>0</x:v>
      </x:c>
      <x:c r="C246" t="n">
        <x:v>1</x:v>
      </x:c>
      <x:c r="D246" t="n">
        <x:v>1</x:v>
      </x:c>
      <x:c r="E246" t="str">
        <x:v>vle</x:v>
      </x:c>
      <x:c r="F246" s="45" t="n">
        <x:f>2*$B246</x:f>
        <x:v>0</x:v>
      </x:c>
      <x:c r="G246" s="45" t="n">
        <x:f>1*$D246</x:f>
        <x:v>1</x:v>
      </x:c>
      <x:c r="H246" s="45" t="n">
        <x:f>1*$B246</x:f>
        <x:v>0</x:v>
      </x:c>
      <x:c r="I246" s="45" t="n">
        <x:f>0</x:f>
        <x:v>0</x:v>
      </x:c>
      <x:c r="J246" s="45" t="n">
        <x:f>0</x:f>
        <x:v>0</x:v>
      </x:c>
      <x:c r="K246" s="45" t="n">
        <x:f>0</x:f>
        <x:v>0</x:v>
      </x:c>
      <x:c r="L246" s="45" t="n">
        <x:f>F246+I246</x:f>
        <x:v>0</x:v>
      </x:c>
      <x:c r="M246" s="45" t="n">
        <x:f>G246+J246</x:f>
        <x:v>1</x:v>
      </x:c>
      <x:c r="N246" s="45" t="n">
        <x:f>H246+K246</x:f>
        <x:v>0</x:v>
      </x:c>
      <x:c r="O246" s="45" t="n">
        <x:f>SUM(F246:H246)</x:f>
        <x:v>1</x:v>
      </x:c>
      <x:c r="P246" s="42" t="n">
        <x:f>IF(AND(F246&lt;=F198,F246&lt;=F230,F246&lt;=F214,G246&lt;=G254,G246&lt;=G242,G246&lt;=G250,H246&lt;=H249,H246&lt;=H248,H246&lt;=H247),1,0)</x:f>
        <x:v>0</x:v>
      </x:c>
      <x:c r="Q246" s="42" t="n">
        <x:f>IF(AND(L246&lt;=L198,L246&lt;=L230,L246&lt;=L214,M246&lt;=M254,M246&lt;=M242,M246&lt;=M250,N246&lt;=N249,N246&lt;=N248,N246&lt;=N247),1,0)</x:f>
        <x:v>0</x:v>
      </x:c>
      <x:c r="R246" s="42" t="n">
        <x:v>0</x:v>
      </x:c>
      <x:c r="S246" s="42" t="n">
        <x:v>0</x:v>
      </x:c>
    </x:row>
    <x:row r="247">
      <x:c r="A247" t="n">
        <x:v>4</x:v>
      </x:c>
      <x:c r="B247" t="n">
        <x:v>0</x:v>
      </x:c>
      <x:c r="C247" t="n">
        <x:v>1</x:v>
      </x:c>
      <x:c r="D247" t="n">
        <x:v>1</x:v>
      </x:c>
      <x:c r="E247" t="str">
        <x:v>vll</x:v>
      </x:c>
      <x:c r="F247" s="45" t="n">
        <x:f>2*$B247</x:f>
        <x:v>0</x:v>
      </x:c>
      <x:c r="G247" s="45" t="n">
        <x:f>(1/2)*$C247+(3/2)*$D247</x:f>
        <x:v>2</x:v>
      </x:c>
      <x:c r="H247" s="45" t="n">
        <x:f>(1/2)*$C247+(3/2)*$D247</x:f>
        <x:v>2</x:v>
      </x:c>
      <x:c r="I247" s="45" t="n">
        <x:f>0</x:f>
        <x:v>0</x:v>
      </x:c>
      <x:c r="J247" s="45" t="n">
        <x:f>(1/2)*($C247+$D247)</x:f>
        <x:v>1</x:v>
      </x:c>
      <x:c r="K247" s="45" t="n">
        <x:f>(1/2)*($C247+$D247)</x:f>
        <x:v>1</x:v>
      </x:c>
      <x:c r="L247" s="45" t="n">
        <x:f>F247+I247</x:f>
        <x:v>0</x:v>
      </x:c>
      <x:c r="M247" s="45" t="n">
        <x:f>G247+J247</x:f>
        <x:v>3</x:v>
      </x:c>
      <x:c r="N247" s="45" t="n">
        <x:f>H247+K247</x:f>
        <x:v>3</x:v>
      </x:c>
      <x:c r="O247" s="45" t="n">
        <x:f>SUM(F247:H247)</x:f>
        <x:v>4</x:v>
      </x:c>
      <x:c r="P247" s="42" t="n">
        <x:f>IF(AND(F247&lt;=F199,F247&lt;=F231,F247&lt;=F215,G247&lt;=G255,G247&lt;=G243,G247&lt;=G251,H247&lt;=H249,H247&lt;=H246,H247&lt;=H248),1,0)</x:f>
        <x:v>0</x:v>
      </x:c>
      <x:c r="Q247" s="42" t="n">
        <x:f>IF(AND(L247&lt;=L199,L247&lt;=L231,L247&lt;=L215,M247&lt;=M255,M247&lt;=M243,M247&lt;=M251,N247&lt;=N249,N247&lt;=N246,N247&lt;=N248),1,0)</x:f>
        <x:v>0</x:v>
      </x:c>
      <x:c r="R247" s="42" t="n">
        <x:v>0</x:v>
      </x:c>
      <x:c r="S247" s="42" t="n">
        <x:v>0</x:v>
      </x:c>
    </x:row>
    <x:row r="248">
      <x:c r="A248" t="n">
        <x:v>4</x:v>
      </x:c>
      <x:c r="B248" t="n">
        <x:v>0</x:v>
      </x:c>
      <x:c r="C248" t="n">
        <x:v>1</x:v>
      </x:c>
      <x:c r="D248" t="n">
        <x:v>1</x:v>
      </x:c>
      <x:c r="E248" t="str">
        <x:v>vlo</x:v>
      </x:c>
      <x:c r="F248" s="45" t="n">
        <x:f>2*$B248</x:f>
        <x:v>0</x:v>
      </x:c>
      <x:c r="G248" s="45" t="n">
        <x:f>1*$D248</x:f>
        <x:v>1</x:v>
      </x:c>
      <x:c r="H248" s="45" t="n">
        <x:f>0</x:f>
        <x:v>0</x:v>
      </x:c>
      <x:c r="I248" s="45" t="n">
        <x:f>0</x:f>
        <x:v>0</x:v>
      </x:c>
      <x:c r="J248" s="45" t="n">
        <x:f>0</x:f>
        <x:v>0</x:v>
      </x:c>
      <x:c r="K248" s="45" t="n">
        <x:f>0</x:f>
        <x:v>0</x:v>
      </x:c>
      <x:c r="L248" s="45" t="n">
        <x:f>F248+I248</x:f>
        <x:v>0</x:v>
      </x:c>
      <x:c r="M248" s="45" t="n">
        <x:f>G248+J248</x:f>
        <x:v>1</x:v>
      </x:c>
      <x:c r="N248" s="45" t="n">
        <x:f>H248+K248</x:f>
        <x:v>0</x:v>
      </x:c>
      <x:c r="O248" s="45" t="n">
        <x:f>SUM(F248:H248)</x:f>
        <x:v>1</x:v>
      </x:c>
      <x:c r="P248" s="42" t="n">
        <x:f>IF(AND(F248&lt;=F200,F248&lt;=F232,F248&lt;=F216,G248&lt;=G256,G248&lt;=G244,G248&lt;=G252,H248&lt;=H249,H248&lt;=H246,H248&lt;=H247),1,0)</x:f>
        <x:v>0</x:v>
      </x:c>
      <x:c r="Q248" s="42" t="n">
        <x:f>IF(AND(L248&lt;=L200,L248&lt;=L232,L248&lt;=L216,M248&lt;=M256,M248&lt;=M244,M248&lt;=M252,N248&lt;=N249,N248&lt;=N246,N248&lt;=N247),1,0)</x:f>
        <x:v>0</x:v>
      </x:c>
      <x:c r="R248" s="42" t="n">
        <x:v>0</x:v>
      </x:c>
      <x:c r="S248" s="42" t="n">
        <x:v>0</x:v>
      </x:c>
    </x:row>
    <x:row r="249">
      <x:c r="A249" t="n">
        <x:v>4</x:v>
      </x:c>
      <x:c r="B249" t="n">
        <x:v>0</x:v>
      </x:c>
      <x:c r="C249" t="n">
        <x:v>1</x:v>
      </x:c>
      <x:c r="D249" t="n">
        <x:v>1</x:v>
      </x:c>
      <x:c r="E249" t="str">
        <x:v>vlv</x:v>
      </x:c>
      <x:c r="F249" s="45" t="n">
        <x:f>(3/2)*$B249+(1/2)*$C249</x:f>
        <x:v>0.5</x:v>
      </x:c>
      <x:c r="G249" s="45" t="n">
        <x:f>1*$D249</x:f>
        <x:v>1</x:v>
      </x:c>
      <x:c r="H249" s="45" t="n">
        <x:f>(3/2)*$B249+(1/2)*$C249</x:f>
        <x:v>0.5</x:v>
      </x:c>
      <x:c r="I249" s="45" t="n">
        <x:f>MAX((1/2)*($C249-$B249),0)</x:f>
        <x:v>0.5</x:v>
      </x:c>
      <x:c r="J249" s="45" t="n">
        <x:f>0</x:f>
        <x:v>0</x:v>
      </x:c>
      <x:c r="K249" s="45" t="n">
        <x:f>MAX((1/2)*($C249-$B249),0)</x:f>
        <x:v>0.5</x:v>
      </x:c>
      <x:c r="L249" s="45" t="n">
        <x:f>F249+I249</x:f>
        <x:v>1</x:v>
      </x:c>
      <x:c r="M249" s="45" t="n">
        <x:f>G249+J249</x:f>
        <x:v>1</x:v>
      </x:c>
      <x:c r="N249" s="45" t="n">
        <x:f>H249+K249</x:f>
        <x:v>1</x:v>
      </x:c>
      <x:c r="O249" s="45" t="n">
        <x:f>SUM(F249:H249)</x:f>
        <x:v>2</x:v>
      </x:c>
      <x:c r="P249" s="42" t="n">
        <x:f>IF(AND(F249&lt;=F201,F249&lt;=F233,F249&lt;=F217,G249&lt;=G257,G249&lt;=G245,G249&lt;=G253,H249&lt;=H246,H249&lt;=H248,H249&lt;=H247),1,0)</x:f>
        <x:v>0</x:v>
      </x:c>
      <x:c r="Q249" s="42" t="n">
        <x:f>IF(AND(L249&lt;=L201,L249&lt;=L233,L249&lt;=L217,M249&lt;=M257,M249&lt;=M245,M249&lt;=M253,N249&lt;=N246,N249&lt;=N248,N249&lt;=N247),1,0)</x:f>
        <x:v>0</x:v>
      </x:c>
      <x:c r="R249" s="42" t="n">
        <x:v>0</x:v>
      </x:c>
      <x:c r="S249" s="42" t="n">
        <x:v>0</x:v>
      </x:c>
    </x:row>
    <x:row r="250">
      <x:c r="A250" t="n">
        <x:v>4</x:v>
      </x:c>
      <x:c r="B250" t="n">
        <x:v>0</x:v>
      </x:c>
      <x:c r="C250" t="n">
        <x:v>1</x:v>
      </x:c>
      <x:c r="D250" t="n">
        <x:v>1</x:v>
      </x:c>
      <x:c r="E250" t="str">
        <x:v>voe</x:v>
      </x:c>
      <x:c r="F250" s="45" t="n">
        <x:f>2*$B250</x:f>
        <x:v>0</x:v>
      </x:c>
      <x:c r="G250" s="45" t="n">
        <x:f>0</x:f>
        <x:v>0</x:v>
      </x:c>
      <x:c r="H250" s="45" t="n">
        <x:f>1*$B250</x:f>
        <x:v>0</x:v>
      </x:c>
      <x:c r="I250" s="45" t="n">
        <x:f>0</x:f>
        <x:v>0</x:v>
      </x:c>
      <x:c r="J250" s="45" t="n">
        <x:f>0</x:f>
        <x:v>0</x:v>
      </x:c>
      <x:c r="K250" s="45" t="n">
        <x:f>0</x:f>
        <x:v>0</x:v>
      </x:c>
      <x:c r="L250" s="45" t="n">
        <x:f>F250+I250</x:f>
        <x:v>0</x:v>
      </x:c>
      <x:c r="M250" s="45" t="n">
        <x:f>G250+J250</x:f>
        <x:v>0</x:v>
      </x:c>
      <x:c r="N250" s="45" t="n">
        <x:f>H250+K250</x:f>
        <x:v>0</x:v>
      </x:c>
      <x:c r="O250" s="45" t="n">
        <x:f>SUM(F250:H250)</x:f>
        <x:v>0</x:v>
      </x:c>
      <x:c r="P250" s="42" t="n">
        <x:f>IF(AND(F250&lt;=F202,F250&lt;=F234,F250&lt;=F218,G250&lt;=G254,G250&lt;=G242,G250&lt;=G246,H250&lt;=H253,H250&lt;=H252,H250&lt;=H251),1,0)</x:f>
        <x:v>1</x:v>
      </x:c>
      <x:c r="Q250" s="42" t="n">
        <x:f>IF(AND(L250&lt;=L202,L250&lt;=L234,L250&lt;=L218,M250&lt;=M254,M250&lt;=M242,M250&lt;=M246,N250&lt;=N253,N250&lt;=N252,N250&lt;=N251),1,0)</x:f>
        <x:v>1</x:v>
      </x:c>
      <x:c r="R250" s="42" t="n">
        <x:v>1</x:v>
      </x:c>
      <x:c r="S250" s="42" t="n">
        <x:v>1</x:v>
      </x:c>
    </x:row>
    <x:row r="251">
      <x:c r="A251" t="n">
        <x:v>4</x:v>
      </x:c>
      <x:c r="B251" t="n">
        <x:v>0</x:v>
      </x:c>
      <x:c r="C251" t="n">
        <x:v>1</x:v>
      </x:c>
      <x:c r="D251" t="n">
        <x:v>1</x:v>
      </x:c>
      <x:c r="E251" t="str">
        <x:v>vol</x:v>
      </x:c>
      <x:c r="F251" s="45" t="n">
        <x:f>2*$B251</x:f>
        <x:v>0</x:v>
      </x:c>
      <x:c r="G251" s="45" t="n">
        <x:f>0</x:f>
        <x:v>0</x:v>
      </x:c>
      <x:c r="H251" s="45" t="n">
        <x:f>1*$D251</x:f>
        <x:v>1</x:v>
      </x:c>
      <x:c r="I251" s="45" t="n">
        <x:f>0</x:f>
        <x:v>0</x:v>
      </x:c>
      <x:c r="J251" s="45" t="n">
        <x:f>0</x:f>
        <x:v>0</x:v>
      </x:c>
      <x:c r="K251" s="45" t="n">
        <x:f>0</x:f>
        <x:v>0</x:v>
      </x:c>
      <x:c r="L251" s="45" t="n">
        <x:f>F251+I251</x:f>
        <x:v>0</x:v>
      </x:c>
      <x:c r="M251" s="45" t="n">
        <x:f>G251+J251</x:f>
        <x:v>0</x:v>
      </x:c>
      <x:c r="N251" s="45" t="n">
        <x:f>H251+K251</x:f>
        <x:v>1</x:v>
      </x:c>
      <x:c r="O251" s="45" t="n">
        <x:f>SUM(F251:H251)</x:f>
        <x:v>1</x:v>
      </x:c>
      <x:c r="P251" s="42" t="n">
        <x:f>IF(AND(F251&lt;=F203,F251&lt;=F235,F251&lt;=F219,G251&lt;=G255,G251&lt;=G243,G251&lt;=G247,H251&lt;=H253,H251&lt;=H250,H251&lt;=H252),1,0)</x:f>
        <x:v>0</x:v>
      </x:c>
      <x:c r="Q251" s="42" t="n">
        <x:f>IF(AND(L251&lt;=L203,L251&lt;=L235,L251&lt;=L219,M251&lt;=M255,M251&lt;=M243,M251&lt;=M247,N251&lt;=N253,N251&lt;=N250,N251&lt;=N252),1,0)</x:f>
        <x:v>0</x:v>
      </x:c>
      <x:c r="R251" s="42" t="n">
        <x:v>0</x:v>
      </x:c>
      <x:c r="S251" s="42" t="n">
        <x:v>0</x:v>
      </x:c>
    </x:row>
    <x:row r="252">
      <x:c r="A252" t="n">
        <x:v>4</x:v>
      </x:c>
      <x:c r="B252" t="n">
        <x:v>0</x:v>
      </x:c>
      <x:c r="C252" t="n">
        <x:v>1</x:v>
      </x:c>
      <x:c r="D252" t="n">
        <x:v>1</x:v>
      </x:c>
      <x:c r="E252" t="str">
        <x:v>voo</x:v>
      </x:c>
      <x:c r="F252" s="45" t="n">
        <x:f>2*$B252</x:f>
        <x:v>0</x:v>
      </x:c>
      <x:c r="G252" s="45" t="n">
        <x:f>(1/2)*$C252+(1/2)*$D252</x:f>
        <x:v>1</x:v>
      </x:c>
      <x:c r="H252" s="45" t="n">
        <x:f>(1/2)*$C252+(1/2)*$D252</x:f>
        <x:v>1</x:v>
      </x:c>
      <x:c r="I252" s="45" t="n">
        <x:f>0</x:f>
        <x:v>0</x:v>
      </x:c>
      <x:c r="J252" s="45" t="n">
        <x:f>(1/2)*($C252+$D252)</x:f>
        <x:v>1</x:v>
      </x:c>
      <x:c r="K252" s="45" t="n">
        <x:f>(1/2)*($C252+$D252)</x:f>
        <x:v>1</x:v>
      </x:c>
      <x:c r="L252" s="45" t="n">
        <x:f>F252+I252</x:f>
        <x:v>0</x:v>
      </x:c>
      <x:c r="M252" s="45" t="n">
        <x:f>G252+J252</x:f>
        <x:v>2</x:v>
      </x:c>
      <x:c r="N252" s="45" t="n">
        <x:f>H252+K252</x:f>
        <x:v>2</x:v>
      </x:c>
      <x:c r="O252" s="45" t="n">
        <x:f>SUM(F252:H252)</x:f>
        <x:v>2</x:v>
      </x:c>
      <x:c r="P252" s="42" t="n">
        <x:f>IF(AND(F252&lt;=F204,F252&lt;=F236,F252&lt;=F220,G252&lt;=G256,G252&lt;=G244,G252&lt;=G248,H252&lt;=H253,H252&lt;=H250,H252&lt;=H251),1,0)</x:f>
        <x:v>0</x:v>
      </x:c>
      <x:c r="Q252" s="42" t="n">
        <x:f>IF(AND(L252&lt;=L204,L252&lt;=L236,L252&lt;=L220,M252&lt;=M256,M252&lt;=M244,M252&lt;=M248,N252&lt;=N253,N252&lt;=N250,N252&lt;=N251),1,0)</x:f>
        <x:v>0</x:v>
      </x:c>
      <x:c r="R252" s="42" t="n">
        <x:v>0</x:v>
      </x:c>
      <x:c r="S252" s="42" t="n">
        <x:v>0</x:v>
      </x:c>
    </x:row>
    <x:row r="253">
      <x:c r="A253" t="n">
        <x:v>4</x:v>
      </x:c>
      <x:c r="B253" t="n">
        <x:v>0</x:v>
      </x:c>
      <x:c r="C253" t="n">
        <x:v>1</x:v>
      </x:c>
      <x:c r="D253" t="n">
        <x:v>1</x:v>
      </x:c>
      <x:c r="E253" t="str">
        <x:v>vov</x:v>
      </x:c>
      <x:c r="F253" s="45" t="n">
        <x:f>(3/2)*$B253+(1/2)*$C253</x:f>
        <x:v>0.5</x:v>
      </x:c>
      <x:c r="G253" s="45" t="n">
        <x:f>0</x:f>
        <x:v>0</x:v>
      </x:c>
      <x:c r="H253" s="45" t="n">
        <x:f>(3/2)*$B253+(1/2)*$C253</x:f>
        <x:v>0.5</x:v>
      </x:c>
      <x:c r="I253" s="45" t="n">
        <x:f>MAX((1/2)*($C253-$B253),0)</x:f>
        <x:v>0.5</x:v>
      </x:c>
      <x:c r="J253" s="45" t="n">
        <x:f>0</x:f>
        <x:v>0</x:v>
      </x:c>
      <x:c r="K253" s="45" t="n">
        <x:f>MAX((1/2)*($C253-$B253),0)</x:f>
        <x:v>0.5</x:v>
      </x:c>
      <x:c r="L253" s="45" t="n">
        <x:f>F253+I253</x:f>
        <x:v>1</x:v>
      </x:c>
      <x:c r="M253" s="45" t="n">
        <x:f>G253+J253</x:f>
        <x:v>0</x:v>
      </x:c>
      <x:c r="N253" s="45" t="n">
        <x:f>H253+K253</x:f>
        <x:v>1</x:v>
      </x:c>
      <x:c r="O253" s="45" t="n">
        <x:f>SUM(F253:H253)</x:f>
        <x:v>1</x:v>
      </x:c>
      <x:c r="P253" s="42" t="n">
        <x:f>IF(AND(F253&lt;=F205,F253&lt;=F237,F253&lt;=F221,G253&lt;=G257,G253&lt;=G245,G253&lt;=G249,H253&lt;=H250,H253&lt;=H252,H253&lt;=H251),1,0)</x:f>
        <x:v>0</x:v>
      </x:c>
      <x:c r="Q253" s="42" t="n">
        <x:f>IF(AND(L253&lt;=L205,L253&lt;=L237,L253&lt;=L221,M253&lt;=M257,M253&lt;=M245,M253&lt;=M249,N253&lt;=N250,N253&lt;=N252,N253&lt;=N251),1,0)</x:f>
        <x:v>0</x:v>
      </x:c>
      <x:c r="R253" s="42" t="n">
        <x:v>0</x:v>
      </x:c>
      <x:c r="S253" s="42" t="n">
        <x:v>0</x:v>
      </x:c>
    </x:row>
    <x:row r="254">
      <x:c r="A254" t="n">
        <x:v>4</x:v>
      </x:c>
      <x:c r="B254" t="n">
        <x:v>0</x:v>
      </x:c>
      <x:c r="C254" t="n">
        <x:v>1</x:v>
      </x:c>
      <x:c r="D254" t="n">
        <x:v>1</x:v>
      </x:c>
      <x:c r="E254" t="str">
        <x:v>vve</x:v>
      </x:c>
      <x:c r="F254" s="45" t="n">
        <x:f>(3/2)*$B254+(1/2)*$C254</x:f>
        <x:v>0.5</x:v>
      </x:c>
      <x:c r="G254" s="45" t="n">
        <x:f>(3/2)*$B254+(1/2)*$C254</x:f>
        <x:v>0.5</x:v>
      </x:c>
      <x:c r="H254" s="45" t="n">
        <x:f>1*$C254</x:f>
        <x:v>1</x:v>
      </x:c>
      <x:c r="I254" s="45" t="n">
        <x:f>MAX((3/2)*($C254-$B254),0)</x:f>
        <x:v>1.5</x:v>
      </x:c>
      <x:c r="J254" s="45" t="n">
        <x:f>MAX((3/2)*($C254-$B254),0)</x:f>
        <x:v>1.5</x:v>
      </x:c>
      <x:c r="K254" s="45" t="n">
        <x:f>0</x:f>
        <x:v>0</x:v>
      </x:c>
      <x:c r="L254" s="45" t="n">
        <x:f>F254+I254</x:f>
        <x:v>2</x:v>
      </x:c>
      <x:c r="M254" s="45" t="n">
        <x:f>G254+J254</x:f>
        <x:v>2</x:v>
      </x:c>
      <x:c r="N254" s="45" t="n">
        <x:f>H254+K254</x:f>
        <x:v>1</x:v>
      </x:c>
      <x:c r="O254" s="45" t="n">
        <x:f>SUM(F254:H254)</x:f>
        <x:v>2</x:v>
      </x:c>
      <x:c r="P254" s="42" t="n">
        <x:f>IF(AND(F254&lt;=F206,F254&lt;=F238,F254&lt;=F222,G254&lt;=G242,G254&lt;=G250,G254&lt;=G246,H254&lt;=H257,H254&lt;=H256,H254&lt;=H255),1,0)</x:f>
        <x:v>0</x:v>
      </x:c>
      <x:c r="Q254" s="42" t="n">
        <x:f>IF(AND(L254&lt;=L206,L254&lt;=L238,L254&lt;=L222,M254&lt;=M242,M254&lt;=M250,M254&lt;=M246,N254&lt;=N257,N254&lt;=N256,N254&lt;=N255),1,0)</x:f>
        <x:v>0</x:v>
      </x:c>
      <x:c r="R254" s="42" t="n">
        <x:v>0</x:v>
      </x:c>
      <x:c r="S254" s="42" t="n">
        <x:v>0</x:v>
      </x:c>
    </x:row>
    <x:row r="255">
      <x:c r="A255" t="n">
        <x:v>4</x:v>
      </x:c>
      <x:c r="B255" t="n">
        <x:v>0</x:v>
      </x:c>
      <x:c r="C255" t="n">
        <x:v>1</x:v>
      </x:c>
      <x:c r="D255" t="n">
        <x:v>1</x:v>
      </x:c>
      <x:c r="E255" t="str">
        <x:v>vvl</x:v>
      </x:c>
      <x:c r="F255" s="45" t="n">
        <x:f>(3/2)*$B255+(1/2)*$C255</x:f>
        <x:v>0.5</x:v>
      </x:c>
      <x:c r="G255" s="45" t="n">
        <x:f>(3/2)*$B255+(1/2)*$C255</x:f>
        <x:v>0.5</x:v>
      </x:c>
      <x:c r="H255" s="45" t="n">
        <x:f>1*$D255</x:f>
        <x:v>1</x:v>
      </x:c>
      <x:c r="I255" s="45" t="n">
        <x:f>MAX((1/2)*($C255-$B255),0)</x:f>
        <x:v>0.5</x:v>
      </x:c>
      <x:c r="J255" s="45" t="n">
        <x:f>MAX((1/2)*($C255-$B255),0)</x:f>
        <x:v>0.5</x:v>
      </x:c>
      <x:c r="K255" s="45" t="n">
        <x:f>0</x:f>
        <x:v>0</x:v>
      </x:c>
      <x:c r="L255" s="45" t="n">
        <x:f>F255+I255</x:f>
        <x:v>1</x:v>
      </x:c>
      <x:c r="M255" s="45" t="n">
        <x:f>G255+J255</x:f>
        <x:v>1</x:v>
      </x:c>
      <x:c r="N255" s="45" t="n">
        <x:f>H255+K255</x:f>
        <x:v>1</x:v>
      </x:c>
      <x:c r="O255" s="45" t="n">
        <x:f>SUM(F255:H255)</x:f>
        <x:v>2</x:v>
      </x:c>
      <x:c r="P255" s="42" t="n">
        <x:f>IF(AND(F255&lt;=F207,F255&lt;=F239,F255&lt;=F223,G255&lt;=G243,G255&lt;=G251,G255&lt;=G247,H255&lt;=H257,H255&lt;=H254,H255&lt;=H256),1,0)</x:f>
        <x:v>0</x:v>
      </x:c>
      <x:c r="Q255" s="42" t="n">
        <x:f>IF(AND(L255&lt;=L207,L255&lt;=L239,L255&lt;=L223,M255&lt;=M243,M255&lt;=M251,M255&lt;=M247,N255&lt;=N257,N255&lt;=N254,N255&lt;=N256),1,0)</x:f>
        <x:v>0</x:v>
      </x:c>
      <x:c r="R255" s="42" t="n">
        <x:v>0</x:v>
      </x:c>
      <x:c r="S255" s="42" t="n">
        <x:v>0</x:v>
      </x:c>
    </x:row>
    <x:row r="256">
      <x:c r="A256" t="n">
        <x:v>4</x:v>
      </x:c>
      <x:c r="B256" t="n">
        <x:v>0</x:v>
      </x:c>
      <x:c r="C256" t="n">
        <x:v>1</x:v>
      </x:c>
      <x:c r="D256" t="n">
        <x:v>1</x:v>
      </x:c>
      <x:c r="E256" t="str">
        <x:v>vvo</x:v>
      </x:c>
      <x:c r="F256" s="45" t="n">
        <x:f>(3/2)*$B256+(1/2)*$C256</x:f>
        <x:v>0.5</x:v>
      </x:c>
      <x:c r="G256" s="45" t="n">
        <x:f>(3/2)*$B256+(1/2)*$C256</x:f>
        <x:v>0.5</x:v>
      </x:c>
      <x:c r="H256" s="45" t="n">
        <x:f>0</x:f>
        <x:v>0</x:v>
      </x:c>
      <x:c r="I256" s="45" t="n">
        <x:f>MAX((1/2)*($C256-$B256),0)</x:f>
        <x:v>0.5</x:v>
      </x:c>
      <x:c r="J256" s="45" t="n">
        <x:f>MAX((1/2)*($C256-$B256),0)</x:f>
        <x:v>0.5</x:v>
      </x:c>
      <x:c r="K256" s="45" t="n">
        <x:f>0</x:f>
        <x:v>0</x:v>
      </x:c>
      <x:c r="L256" s="45" t="n">
        <x:f>F256+I256</x:f>
        <x:v>1</x:v>
      </x:c>
      <x:c r="M256" s="45" t="n">
        <x:f>G256+J256</x:f>
        <x:v>1</x:v>
      </x:c>
      <x:c r="N256" s="45" t="n">
        <x:f>H256+K256</x:f>
        <x:v>0</x:v>
      </x:c>
      <x:c r="O256" s="45" t="n">
        <x:f>SUM(F256:H256)</x:f>
        <x:v>1</x:v>
      </x:c>
      <x:c r="P256" s="42" t="n">
        <x:f>IF(AND(F256&lt;=F208,F256&lt;=F240,F256&lt;=F224,G256&lt;=G244,G256&lt;=G252,G256&lt;=G248,H256&lt;=H257,H256&lt;=H254,H256&lt;=H255),1,0)</x:f>
        <x:v>0</x:v>
      </x:c>
      <x:c r="Q256" s="42" t="n">
        <x:f>IF(AND(L256&lt;=L208,L256&lt;=L240,L256&lt;=L224,M256&lt;=M244,M256&lt;=M252,M256&lt;=M248,N256&lt;=N257,N256&lt;=N254,N256&lt;=N255),1,0)</x:f>
        <x:v>0</x:v>
      </x:c>
      <x:c r="R256" s="42" t="n">
        <x:v>0</x:v>
      </x:c>
      <x:c r="S256" s="42" t="n">
        <x:v>0</x:v>
      </x:c>
    </x:row>
    <x:row r="257">
      <x:c r="A257" t="n">
        <x:v>4</x:v>
      </x:c>
      <x:c r="B257" t="n">
        <x:v>0</x:v>
      </x:c>
      <x:c r="C257" t="n">
        <x:v>1</x:v>
      </x:c>
      <x:c r="D257" t="n">
        <x:v>1</x:v>
      </x:c>
      <x:c r="E257" t="str">
        <x:v>vvv</x:v>
      </x:c>
      <x:c r="F257" s="45" t="n">
        <x:f>1*$B257+1*$C257</x:f>
        <x:v>1</x:v>
      </x:c>
      <x:c r="G257" s="45" t="n">
        <x:f>1*$B257+1*$C257</x:f>
        <x:v>1</x:v>
      </x:c>
      <x:c r="H257" s="45" t="n">
        <x:f>1*$B257+1*$C257</x:f>
        <x:v>1</x:v>
      </x:c>
      <x:c r="I257" s="45" t="n">
        <x:f>MAX($C257-$B257,0)</x:f>
        <x:v>1</x:v>
      </x:c>
      <x:c r="J257" s="45" t="n">
        <x:f>MAX($C257-$B257,0)</x:f>
        <x:v>1</x:v>
      </x:c>
      <x:c r="K257" s="45" t="n">
        <x:f>MAX($C257-$B257,0)</x:f>
        <x:v>1</x:v>
      </x:c>
      <x:c r="L257" s="45" t="n">
        <x:f>F257+I257</x:f>
        <x:v>2</x:v>
      </x:c>
      <x:c r="M257" s="45" t="n">
        <x:f>G257+J257</x:f>
        <x:v>2</x:v>
      </x:c>
      <x:c r="N257" s="45" t="n">
        <x:f>H257+K257</x:f>
        <x:v>2</x:v>
      </x:c>
      <x:c r="O257" s="45" t="n">
        <x:f>SUM(F257:H257)</x:f>
        <x:v>3</x:v>
      </x:c>
      <x:c r="P257" s="42" t="n">
        <x:f>IF(AND(F257&lt;=F209,F257&lt;=F241,F257&lt;=F225,G257&lt;=G245,G257&lt;=G253,G257&lt;=G249,H257&lt;=H254,H257&lt;=H256,H257&lt;=H255),1,0)</x:f>
        <x:v>0</x:v>
      </x:c>
      <x:c r="Q257" s="42" t="n">
        <x:f>IF(AND(L257&lt;=L209,L257&lt;=L241,L257&lt;=L225,M257&lt;=M245,M257&lt;=M253,M257&lt;=M249,N257&lt;=N254,N257&lt;=N256,N257&lt;=N255),1,0)</x:f>
        <x:v>0</x:v>
      </x:c>
      <x:c r="R257" s="42" t="n">
        <x:v>0</x:v>
      </x:c>
      <x:c r="S257" s="42" t="n">
        <x:v>0</x:v>
      </x:c>
    </x:row>
    <x:row r="258">
      <x:c r="A258" t="n">
        <x:v>5</x:v>
      </x:c>
      <x:c r="B258" t="n">
        <x:v>1</x:v>
      </x:c>
      <x:c r="C258" t="n">
        <x:v>0</x:v>
      </x:c>
      <x:c r="D258" t="n">
        <x:v>0</x:v>
      </x:c>
      <x:c r="E258" t="str">
        <x:v>eee</x:v>
      </x:c>
      <x:c r="F258" s="45" t="n">
        <x:f>(1/3)*$B258+1*$C258+(1/3)*$D258</x:f>
        <x:v>0.3333333333333333</x:v>
      </x:c>
      <x:c r="G258" s="45" t="n">
        <x:f>(1/3)*$B258+1*$C258+(1/3)*$D258</x:f>
        <x:v>0.3333333333333333</x:v>
      </x:c>
      <x:c r="H258" s="45" t="n">
        <x:f>(1/3)*$B258+1*$C258+(1/3)*$D258</x:f>
        <x:v>0.3333333333333333</x:v>
      </x:c>
      <x:c r="I258" s="45" t="n">
        <x:f>MAX($C258+(2/3)*$D258-(1/3)*$B258,0)</x:f>
        <x:v>0</x:v>
      </x:c>
      <x:c r="J258" s="45" t="n">
        <x:f>MAX($C258+(2/3)*$D258-(1/3)*$B258,0)</x:f>
        <x:v>0</x:v>
      </x:c>
      <x:c r="K258" s="45" t="n">
        <x:f>MAX($C258+(2/3)*$D258-(1/3)*$B258,0)</x:f>
        <x:v>0</x:v>
      </x:c>
      <x:c r="L258" s="45" t="n">
        <x:f>F258+I258</x:f>
        <x:v>0.3333333333333333</x:v>
      </x:c>
      <x:c r="M258" s="45" t="n">
        <x:f>G258+J258</x:f>
        <x:v>0.3333333333333333</x:v>
      </x:c>
      <x:c r="N258" s="45" t="n">
        <x:f>H258+K258</x:f>
        <x:v>0.3333333333333333</x:v>
      </x:c>
      <x:c r="O258" s="45" t="n">
        <x:f>SUM(F258:H258)</x:f>
        <x:v>1</x:v>
      </x:c>
      <x:c r="P258" s="42" t="n">
        <x:f>IF(AND(F258&lt;=F306,F258&lt;=F290,F258&lt;=F274,G258&lt;=G270,G258&lt;=G266,G258&lt;=G262,H258&lt;=H261,H258&lt;=H260,H258&lt;=H259),1,0)</x:f>
        <x:v>0</x:v>
      </x:c>
      <x:c r="Q258" s="42" t="n">
        <x:f>IF(AND(L258&lt;=L306,L258&lt;=L290,L258&lt;=L274,M258&lt;=M270,M258&lt;=M266,M258&lt;=M262,N258&lt;=N261,N258&lt;=N260,N258&lt;=N259),1,0)</x:f>
        <x:v>0</x:v>
      </x:c>
      <x:c r="R258" s="42" t="n">
        <x:v>0</x:v>
      </x:c>
      <x:c r="S258" s="42" t="n">
        <x:v>0</x:v>
      </x:c>
    </x:row>
    <x:row r="259">
      <x:c r="A259" t="n">
        <x:v>5</x:v>
      </x:c>
      <x:c r="B259" t="n">
        <x:v>1</x:v>
      </x:c>
      <x:c r="C259" t="n">
        <x:v>0</x:v>
      </x:c>
      <x:c r="D259" t="n">
        <x:v>0</x:v>
      </x:c>
      <x:c r="E259" t="str">
        <x:v>eel</x:v>
      </x:c>
      <x:c r="F259" s="45" t="n">
        <x:f>(1/2)*$B259+(1/2)*$C259</x:f>
        <x:v>0.5</x:v>
      </x:c>
      <x:c r="G259" s="45" t="n">
        <x:f>(1/2)*$B259+(1/2)*$C259</x:f>
        <x:v>0.5</x:v>
      </x:c>
      <x:c r="H259" s="45" t="n">
        <x:f>1*$D259</x:f>
        <x:v>0</x:v>
      </x:c>
      <x:c r="I259" s="45" t="n">
        <x:f>MAX((1/2)*($C259-$B259),0)</x:f>
        <x:v>0</x:v>
      </x:c>
      <x:c r="J259" s="45" t="n">
        <x:f>MAX((1/2)*($C259-$B259),0)</x:f>
        <x:v>0</x:v>
      </x:c>
      <x:c r="K259" s="45" t="n">
        <x:f>0</x:f>
        <x:v>0</x:v>
      </x:c>
      <x:c r="L259" s="45" t="n">
        <x:f>F259+I259</x:f>
        <x:v>0.5</x:v>
      </x:c>
      <x:c r="M259" s="45" t="n">
        <x:f>G259+J259</x:f>
        <x:v>0.5</x:v>
      </x:c>
      <x:c r="N259" s="45" t="n">
        <x:f>H259+K259</x:f>
        <x:v>0</x:v>
      </x:c>
      <x:c r="O259" s="45" t="n">
        <x:f>SUM(F259:H259)</x:f>
        <x:v>1</x:v>
      </x:c>
      <x:c r="P259" s="42" t="n">
        <x:f>IF(AND(F259&lt;=F307,F259&lt;=F291,F259&lt;=F275,G259&lt;=G271,G259&lt;=G267,G259&lt;=G263,H259&lt;=H261,H259&lt;=H258,H259&lt;=H260),1,0)</x:f>
        <x:v>0</x:v>
      </x:c>
      <x:c r="Q259" s="42" t="n">
        <x:f>IF(AND(L259&lt;=L307,L259&lt;=L291,L259&lt;=L275,M259&lt;=M271,M259&lt;=M267,M259&lt;=M263,N259&lt;=N261,N259&lt;=N258,N259&lt;=N260),1,0)</x:f>
        <x:v>0</x:v>
      </x:c>
      <x:c r="R259" s="42" t="n">
        <x:v>0</x:v>
      </x:c>
      <x:c r="S259" s="42" t="n">
        <x:v>0</x:v>
      </x:c>
    </x:row>
    <x:row r="260">
      <x:c r="A260" t="n">
        <x:v>5</x:v>
      </x:c>
      <x:c r="B260" t="n">
        <x:v>1</x:v>
      </x:c>
      <x:c r="C260" t="n">
        <x:v>0</x:v>
      </x:c>
      <x:c r="D260" t="n">
        <x:v>0</x:v>
      </x:c>
      <x:c r="E260" t="str">
        <x:v>eeo</x:v>
      </x:c>
      <x:c r="F260" s="45" t="n">
        <x:f>(1/2)*$B260+(1/2)*$C260</x:f>
        <x:v>0.5</x:v>
      </x:c>
      <x:c r="G260" s="45" t="n">
        <x:f>(1/2)*$B260+(1/2)*$C260</x:f>
        <x:v>0.5</x:v>
      </x:c>
      <x:c r="H260" s="45" t="n">
        <x:f>1*$C260+1*$D260</x:f>
        <x:v>0</x:v>
      </x:c>
      <x:c r="I260" s="45" t="n">
        <x:f>MAX((3/2)*$C260+$D260-(1/2)*$B260,0)</x:f>
        <x:v>0</x:v>
      </x:c>
      <x:c r="J260" s="45" t="n">
        <x:f>MAX((3/2)*$C260+$D260-(1/2)*$B260,0)</x:f>
        <x:v>0</x:v>
      </x:c>
      <x:c r="K260" s="45" t="n">
        <x:f>0</x:f>
        <x:v>0</x:v>
      </x:c>
      <x:c r="L260" s="45" t="n">
        <x:f>F260+I260</x:f>
        <x:v>0.5</x:v>
      </x:c>
      <x:c r="M260" s="45" t="n">
        <x:f>G260+J260</x:f>
        <x:v>0.5</x:v>
      </x:c>
      <x:c r="N260" s="45" t="n">
        <x:f>H260+K260</x:f>
        <x:v>0</x:v>
      </x:c>
      <x:c r="O260" s="45" t="n">
        <x:f>SUM(F260:H260)</x:f>
        <x:v>1</x:v>
      </x:c>
      <x:c r="P260" s="42" t="n">
        <x:f>IF(AND(F260&lt;=F308,F260&lt;=F292,F260&lt;=F276,G260&lt;=G272,G260&lt;=G268,G260&lt;=G264,H260&lt;=H261,H260&lt;=H258,H260&lt;=H259),1,0)</x:f>
        <x:v>0</x:v>
      </x:c>
      <x:c r="Q260" s="42" t="n">
        <x:f>IF(AND(L260&lt;=L308,L260&lt;=L292,L260&lt;=L276,M260&lt;=M272,M260&lt;=M268,M260&lt;=M264,N260&lt;=N261,N260&lt;=N258,N260&lt;=N259),1,0)</x:f>
        <x:v>0</x:v>
      </x:c>
      <x:c r="R260" s="42" t="n">
        <x:v>0</x:v>
      </x:c>
      <x:c r="S260" s="42" t="n">
        <x:v>0</x:v>
      </x:c>
    </x:row>
    <x:row r="261">
      <x:c r="A261" t="n">
        <x:v>5</x:v>
      </x:c>
      <x:c r="B261" t="n">
        <x:v>1</x:v>
      </x:c>
      <x:c r="C261" t="n">
        <x:v>0</x:v>
      </x:c>
      <x:c r="D261" t="n">
        <x:v>0</x:v>
      </x:c>
      <x:c r="E261" t="str">
        <x:v>eev</x:v>
      </x:c>
      <x:c r="F261" s="45" t="n">
        <x:f>(1/2)*$B261+(1/2)*$C261</x:f>
        <x:v>0.5</x:v>
      </x:c>
      <x:c r="G261" s="45" t="n">
        <x:f>(1/2)*$B261+(1/2)*$C261</x:f>
        <x:v>0.5</x:v>
      </x:c>
      <x:c r="H261" s="45" t="n">
        <x:f>2*$B261</x:f>
        <x:v>2</x:v>
      </x:c>
      <x:c r="I261" s="45" t="n">
        <x:f>MAX((1/2)*($C261-$B261),0)</x:f>
        <x:v>0</x:v>
      </x:c>
      <x:c r="J261" s="45" t="n">
        <x:f>MAX((1/2)*($C261-$B261),0)</x:f>
        <x:v>0</x:v>
      </x:c>
      <x:c r="K261" s="45" t="n">
        <x:f>0</x:f>
        <x:v>0</x:v>
      </x:c>
      <x:c r="L261" s="45" t="n">
        <x:f>F261+I261</x:f>
        <x:v>0.5</x:v>
      </x:c>
      <x:c r="M261" s="45" t="n">
        <x:f>G261+J261</x:f>
        <x:v>0.5</x:v>
      </x:c>
      <x:c r="N261" s="45" t="n">
        <x:f>H261+K261</x:f>
        <x:v>2</x:v>
      </x:c>
      <x:c r="O261" s="45" t="n">
        <x:f>SUM(F261:H261)</x:f>
        <x:v>3</x:v>
      </x:c>
      <x:c r="P261" s="42" t="n">
        <x:f>IF(AND(F261&lt;=F309,F261&lt;=F293,F261&lt;=F277,G261&lt;=G273,G261&lt;=G269,G261&lt;=G265,H261&lt;=H258,H261&lt;=H260,H261&lt;=H259),1,0)</x:f>
        <x:v>0</x:v>
      </x:c>
      <x:c r="Q261" s="42" t="n">
        <x:f>IF(AND(L261&lt;=L309,L261&lt;=L293,L261&lt;=L277,M261&lt;=M273,M261&lt;=M269,M261&lt;=M265,N261&lt;=N258,N261&lt;=N260,N261&lt;=N259),1,0)</x:f>
        <x:v>0</x:v>
      </x:c>
      <x:c r="R261" s="42" t="n">
        <x:v>0</x:v>
      </x:c>
      <x:c r="S261" s="42" t="n">
        <x:v>0</x:v>
      </x:c>
    </x:row>
    <x:row r="262">
      <x:c r="A262" t="n">
        <x:v>5</x:v>
      </x:c>
      <x:c r="B262" t="n">
        <x:v>1</x:v>
      </x:c>
      <x:c r="C262" t="n">
        <x:v>0</x:v>
      </x:c>
      <x:c r="D262" t="n">
        <x:v>0</x:v>
      </x:c>
      <x:c r="E262" t="str">
        <x:v>ele</x:v>
      </x:c>
      <x:c r="F262" s="45" t="n">
        <x:f>(1/2)*$B262+(1/2)*$C262</x:f>
        <x:v>0.5</x:v>
      </x:c>
      <x:c r="G262" s="45" t="n">
        <x:f>1*$D262</x:f>
        <x:v>0</x:v>
      </x:c>
      <x:c r="H262" s="45" t="n">
        <x:f>(1/2)*$B262+(1/2)*$C262</x:f>
        <x:v>0.5</x:v>
      </x:c>
      <x:c r="I262" s="45" t="n">
        <x:f>MAX((1/2)*($C262-$B262),0)</x:f>
        <x:v>0</x:v>
      </x:c>
      <x:c r="J262" s="45" t="n">
        <x:f>0</x:f>
        <x:v>0</x:v>
      </x:c>
      <x:c r="K262" s="45" t="n">
        <x:f>MAX((1/2)*($C262-$B262),0)</x:f>
        <x:v>0</x:v>
      </x:c>
      <x:c r="L262" s="45" t="n">
        <x:f>F262+I262</x:f>
        <x:v>0.5</x:v>
      </x:c>
      <x:c r="M262" s="45" t="n">
        <x:f>G262+J262</x:f>
        <x:v>0</x:v>
      </x:c>
      <x:c r="N262" s="45" t="n">
        <x:f>H262+K262</x:f>
        <x:v>0.5</x:v>
      </x:c>
      <x:c r="O262" s="45" t="n">
        <x:f>SUM(F262:H262)</x:f>
        <x:v>1</x:v>
      </x:c>
      <x:c r="P262" s="42" t="n">
        <x:f>IF(AND(F262&lt;=F310,F262&lt;=F294,F262&lt;=F278,G262&lt;=G270,G262&lt;=G258,G262&lt;=G266,H262&lt;=H265,H262&lt;=H264,H262&lt;=H263),1,0)</x:f>
        <x:v>0</x:v>
      </x:c>
      <x:c r="Q262" s="42" t="n">
        <x:f>IF(AND(L262&lt;=L310,L262&lt;=L294,L262&lt;=L278,M262&lt;=M270,M262&lt;=M258,M262&lt;=M266,N262&lt;=N265,N262&lt;=N264,N262&lt;=N263),1,0)</x:f>
        <x:v>0</x:v>
      </x:c>
      <x:c r="R262" s="42" t="n">
        <x:v>0</x:v>
      </x:c>
      <x:c r="S262" s="42" t="n">
        <x:v>0</x:v>
      </x:c>
    </x:row>
    <x:row r="263">
      <x:c r="A263" t="n">
        <x:v>5</x:v>
      </x:c>
      <x:c r="B263" t="n">
        <x:v>1</x:v>
      </x:c>
      <x:c r="C263" t="n">
        <x:v>0</x:v>
      </x:c>
      <x:c r="D263" t="n">
        <x:v>0</x:v>
      </x:c>
      <x:c r="E263" t="str">
        <x:v>ell</x:v>
      </x:c>
      <x:c r="F263" s="45" t="n">
        <x:f>1*$B263</x:f>
        <x:v>1</x:v>
      </x:c>
      <x:c r="G263" s="45" t="n">
        <x:f>(1/2)*$C263+(3/2)*$D263</x:f>
        <x:v>0</x:v>
      </x:c>
      <x:c r="H263" s="45" t="n">
        <x:f>(1/2)*$C263+(3/2)*$D263</x:f>
        <x:v>0</x:v>
      </x:c>
      <x:c r="I263" s="45" t="n">
        <x:f>0</x:f>
        <x:v>0</x:v>
      </x:c>
      <x:c r="J263" s="45" t="n">
        <x:f>(1/2)*($C263+$D263)</x:f>
        <x:v>0</x:v>
      </x:c>
      <x:c r="K263" s="45" t="n">
        <x:f>(1/2)*($C263+$D263)</x:f>
        <x:v>0</x:v>
      </x:c>
      <x:c r="L263" s="45" t="n">
        <x:f>F263+I263</x:f>
        <x:v>1</x:v>
      </x:c>
      <x:c r="M263" s="45" t="n">
        <x:f>G263+J263</x:f>
        <x:v>0</x:v>
      </x:c>
      <x:c r="N263" s="45" t="n">
        <x:f>H263+K263</x:f>
        <x:v>0</x:v>
      </x:c>
      <x:c r="O263" s="45" t="n">
        <x:f>SUM(F263:H263)</x:f>
        <x:v>1</x:v>
      </x:c>
      <x:c r="P263" s="42" t="n">
        <x:f>IF(AND(F263&lt;=F311,F263&lt;=F295,F263&lt;=F279,G263&lt;=G271,G263&lt;=G259,G263&lt;=G267,H263&lt;=H265,H263&lt;=H262,H263&lt;=H264),1,0)</x:f>
        <x:v>0</x:v>
      </x:c>
      <x:c r="Q263" s="42" t="n">
        <x:f>IF(AND(L263&lt;=L311,L263&lt;=L295,L263&lt;=L279,M263&lt;=M271,M263&lt;=M259,M263&lt;=M267,N263&lt;=N265,N263&lt;=N262,N263&lt;=N264),1,0)</x:f>
        <x:v>0</x:v>
      </x:c>
      <x:c r="R263" s="42" t="n">
        <x:v>0</x:v>
      </x:c>
      <x:c r="S263" s="42" t="n">
        <x:v>0</x:v>
      </x:c>
    </x:row>
    <x:row r="264">
      <x:c r="A264" t="n">
        <x:v>5</x:v>
      </x:c>
      <x:c r="B264" t="n">
        <x:v>1</x:v>
      </x:c>
      <x:c r="C264" t="n">
        <x:v>0</x:v>
      </x:c>
      <x:c r="D264" t="n">
        <x:v>0</x:v>
      </x:c>
      <x:c r="E264" t="str">
        <x:v>elo</x:v>
      </x:c>
      <x:c r="F264" s="45" t="n">
        <x:f>1*$B264</x:f>
        <x:v>1</x:v>
      </x:c>
      <x:c r="G264" s="45" t="n">
        <x:f>1*$D264</x:f>
        <x:v>0</x:v>
      </x:c>
      <x:c r="H264" s="45" t="n">
        <x:f>0</x:f>
        <x:v>0</x:v>
      </x:c>
      <x:c r="I264" s="45" t="n">
        <x:f>0</x:f>
        <x:v>0</x:v>
      </x:c>
      <x:c r="J264" s="45" t="n">
        <x:f>0</x:f>
        <x:v>0</x:v>
      </x:c>
      <x:c r="K264" s="45" t="n">
        <x:f>0</x:f>
        <x:v>0</x:v>
      </x:c>
      <x:c r="L264" s="45" t="n">
        <x:f>F264+I264</x:f>
        <x:v>1</x:v>
      </x:c>
      <x:c r="M264" s="45" t="n">
        <x:f>G264+J264</x:f>
        <x:v>0</x:v>
      </x:c>
      <x:c r="N264" s="45" t="n">
        <x:f>H264+K264</x:f>
        <x:v>0</x:v>
      </x:c>
      <x:c r="O264" s="45" t="n">
        <x:f>SUM(F264:H264)</x:f>
        <x:v>1</x:v>
      </x:c>
      <x:c r="P264" s="42" t="n">
        <x:f>IF(AND(F264&lt;=F312,F264&lt;=F296,F264&lt;=F280,G264&lt;=G272,G264&lt;=G260,G264&lt;=G268,H264&lt;=H265,H264&lt;=H262,H264&lt;=H263),1,0)</x:f>
        <x:v>0</x:v>
      </x:c>
      <x:c r="Q264" s="42" t="n">
        <x:f>IF(AND(L264&lt;=L312,L264&lt;=L296,L264&lt;=L280,M264&lt;=M272,M264&lt;=M260,M264&lt;=M268,N264&lt;=N265,N264&lt;=N262,N264&lt;=N263),1,0)</x:f>
        <x:v>0</x:v>
      </x:c>
      <x:c r="R264" s="42" t="n">
        <x:v>0</x:v>
      </x:c>
      <x:c r="S264" s="42" t="n">
        <x:v>0</x:v>
      </x:c>
    </x:row>
    <x:row r="265">
      <x:c r="A265" t="n">
        <x:v>5</x:v>
      </x:c>
      <x:c r="B265" t="n">
        <x:v>1</x:v>
      </x:c>
      <x:c r="C265" t="n">
        <x:v>0</x:v>
      </x:c>
      <x:c r="D265" t="n">
        <x:v>0</x:v>
      </x:c>
      <x:c r="E265" t="str">
        <x:v>elv</x:v>
      </x:c>
      <x:c r="F265" s="45" t="n">
        <x:f>1*$B265</x:f>
        <x:v>1</x:v>
      </x:c>
      <x:c r="G265" s="45" t="n">
        <x:f>1*$D265</x:f>
        <x:v>0</x:v>
      </x:c>
      <x:c r="H265" s="45" t="n">
        <x:f>2*$B265</x:f>
        <x:v>2</x:v>
      </x:c>
      <x:c r="I265" s="45" t="n">
        <x:f>0</x:f>
        <x:v>0</x:v>
      </x:c>
      <x:c r="J265" s="45" t="n">
        <x:f>0</x:f>
        <x:v>0</x:v>
      </x:c>
      <x:c r="K265" s="45" t="n">
        <x:f>0</x:f>
        <x:v>0</x:v>
      </x:c>
      <x:c r="L265" s="45" t="n">
        <x:f>F265+I265</x:f>
        <x:v>1</x:v>
      </x:c>
      <x:c r="M265" s="45" t="n">
        <x:f>G265+J265</x:f>
        <x:v>0</x:v>
      </x:c>
      <x:c r="N265" s="45" t="n">
        <x:f>H265+K265</x:f>
        <x:v>2</x:v>
      </x:c>
      <x:c r="O265" s="45" t="n">
        <x:f>SUM(F265:H265)</x:f>
        <x:v>3</x:v>
      </x:c>
      <x:c r="P265" s="42" t="n">
        <x:f>IF(AND(F265&lt;=F313,F265&lt;=F297,F265&lt;=F281,G265&lt;=G273,G265&lt;=G261,G265&lt;=G269,H265&lt;=H262,H265&lt;=H264,H265&lt;=H263),1,0)</x:f>
        <x:v>0</x:v>
      </x:c>
      <x:c r="Q265" s="42" t="n">
        <x:f>IF(AND(L265&lt;=L313,L265&lt;=L297,L265&lt;=L281,M265&lt;=M273,M265&lt;=M261,M265&lt;=M269,N265&lt;=N262,N265&lt;=N264,N265&lt;=N263),1,0)</x:f>
        <x:v>0</x:v>
      </x:c>
      <x:c r="R265" s="42" t="n">
        <x:v>0</x:v>
      </x:c>
      <x:c r="S265" s="42" t="n">
        <x:v>0</x:v>
      </x:c>
    </x:row>
    <x:row r="266">
      <x:c r="A266" t="n">
        <x:v>5</x:v>
      </x:c>
      <x:c r="B266" t="n">
        <x:v>1</x:v>
      </x:c>
      <x:c r="C266" t="n">
        <x:v>0</x:v>
      </x:c>
      <x:c r="D266" t="n">
        <x:v>0</x:v>
      </x:c>
      <x:c r="E266" t="str">
        <x:v>eoe</x:v>
      </x:c>
      <x:c r="F266" s="45" t="n">
        <x:f>(1/2)*$B266+(1/2)*$C266</x:f>
        <x:v>0.5</x:v>
      </x:c>
      <x:c r="G266" s="45" t="n">
        <x:f>1*$C266+1*$D266</x:f>
        <x:v>0</x:v>
      </x:c>
      <x:c r="H266" s="45" t="n">
        <x:f>(1/2)*$B266+(1/2)*$C266</x:f>
        <x:v>0.5</x:v>
      </x:c>
      <x:c r="I266" s="45" t="n">
        <x:f>MAX((3/2)*$C266+$D266-(1/2)*$B266,0)</x:f>
        <x:v>0</x:v>
      </x:c>
      <x:c r="J266" s="45" t="n">
        <x:f>0</x:f>
        <x:v>0</x:v>
      </x:c>
      <x:c r="K266" s="45" t="n">
        <x:f>MAX((3/2)*$C266+$D266-(1/2)*$B266,0)</x:f>
        <x:v>0</x:v>
      </x:c>
      <x:c r="L266" s="45" t="n">
        <x:f>F266+I266</x:f>
        <x:v>0.5</x:v>
      </x:c>
      <x:c r="M266" s="45" t="n">
        <x:f>G266+J266</x:f>
        <x:v>0</x:v>
      </x:c>
      <x:c r="N266" s="45" t="n">
        <x:f>H266+K266</x:f>
        <x:v>0.5</x:v>
      </x:c>
      <x:c r="O266" s="45" t="n">
        <x:f>SUM(F266:H266)</x:f>
        <x:v>1</x:v>
      </x:c>
      <x:c r="P266" s="42" t="n">
        <x:f>IF(AND(F266&lt;=F314,F266&lt;=F298,F266&lt;=F282,G266&lt;=G270,G266&lt;=G258,G266&lt;=G262,H266&lt;=H269,H266&lt;=H268,H266&lt;=H267),1,0)</x:f>
        <x:v>0</x:v>
      </x:c>
      <x:c r="Q266" s="42" t="n">
        <x:f>IF(AND(L266&lt;=L314,L266&lt;=L298,L266&lt;=L282,M266&lt;=M270,M266&lt;=M258,M266&lt;=M262,N266&lt;=N269,N266&lt;=N268,N266&lt;=N267),1,0)</x:f>
        <x:v>0</x:v>
      </x:c>
      <x:c r="R266" s="42" t="n">
        <x:v>0</x:v>
      </x:c>
      <x:c r="S266" s="42" t="n">
        <x:v>0</x:v>
      </x:c>
    </x:row>
    <x:row r="267">
      <x:c r="A267" t="n">
        <x:v>5</x:v>
      </x:c>
      <x:c r="B267" t="n">
        <x:v>1</x:v>
      </x:c>
      <x:c r="C267" t="n">
        <x:v>0</x:v>
      </x:c>
      <x:c r="D267" t="n">
        <x:v>0</x:v>
      </x:c>
      <x:c r="E267" t="str">
        <x:v>eol</x:v>
      </x:c>
      <x:c r="F267" s="45" t="n">
        <x:f>1*$B267</x:f>
        <x:v>1</x:v>
      </x:c>
      <x:c r="G267" s="45" t="n">
        <x:f>0</x:f>
        <x:v>0</x:v>
      </x:c>
      <x:c r="H267" s="45" t="n">
        <x:f>1*$D267</x:f>
        <x:v>0</x:v>
      </x:c>
      <x:c r="I267" s="45" t="n">
        <x:f>0</x:f>
        <x:v>0</x:v>
      </x:c>
      <x:c r="J267" s="45" t="n">
        <x:f>0</x:f>
        <x:v>0</x:v>
      </x:c>
      <x:c r="K267" s="45" t="n">
        <x:f>0</x:f>
        <x:v>0</x:v>
      </x:c>
      <x:c r="L267" s="45" t="n">
        <x:f>F267+I267</x:f>
        <x:v>1</x:v>
      </x:c>
      <x:c r="M267" s="45" t="n">
        <x:f>G267+J267</x:f>
        <x:v>0</x:v>
      </x:c>
      <x:c r="N267" s="45" t="n">
        <x:f>H267+K267</x:f>
        <x:v>0</x:v>
      </x:c>
      <x:c r="O267" s="45" t="n">
        <x:f>SUM(F267:H267)</x:f>
        <x:v>1</x:v>
      </x:c>
      <x:c r="P267" s="42" t="n">
        <x:f>IF(AND(F267&lt;=F315,F267&lt;=F299,F267&lt;=F283,G267&lt;=G271,G267&lt;=G259,G267&lt;=G263,H267&lt;=H269,H267&lt;=H266,H267&lt;=H268),1,0)</x:f>
        <x:v>0</x:v>
      </x:c>
      <x:c r="Q267" s="42" t="n">
        <x:f>IF(AND(L267&lt;=L315,L267&lt;=L299,L267&lt;=L283,M267&lt;=M271,M267&lt;=M259,M267&lt;=M263,N267&lt;=N269,N267&lt;=N266,N267&lt;=N268),1,0)</x:f>
        <x:v>0</x:v>
      </x:c>
      <x:c r="R267" s="42" t="n">
        <x:v>0</x:v>
      </x:c>
      <x:c r="S267" s="42" t="n">
        <x:v>0</x:v>
      </x:c>
    </x:row>
    <x:row r="268">
      <x:c r="A268" t="n">
        <x:v>5</x:v>
      </x:c>
      <x:c r="B268" t="n">
        <x:v>1</x:v>
      </x:c>
      <x:c r="C268" t="n">
        <x:v>0</x:v>
      </x:c>
      <x:c r="D268" t="n">
        <x:v>0</x:v>
      </x:c>
      <x:c r="E268" t="str">
        <x:v>eoo</x:v>
      </x:c>
      <x:c r="F268" s="45" t="n">
        <x:f>1*$B268</x:f>
        <x:v>1</x:v>
      </x:c>
      <x:c r="G268" s="45" t="n">
        <x:f>(1/2)*$C268+(1/2)*$D268</x:f>
        <x:v>0</x:v>
      </x:c>
      <x:c r="H268" s="45" t="n">
        <x:f>(1/2)*$C268+(1/2)*$D268</x:f>
        <x:v>0</x:v>
      </x:c>
      <x:c r="I268" s="45" t="n">
        <x:f>0</x:f>
        <x:v>0</x:v>
      </x:c>
      <x:c r="J268" s="45" t="n">
        <x:f>(1/2)*($C268+$D268)</x:f>
        <x:v>0</x:v>
      </x:c>
      <x:c r="K268" s="45" t="n">
        <x:f>(1/2)*($C268+$D268)</x:f>
        <x:v>0</x:v>
      </x:c>
      <x:c r="L268" s="45" t="n">
        <x:f>F268+I268</x:f>
        <x:v>1</x:v>
      </x:c>
      <x:c r="M268" s="45" t="n">
        <x:f>G268+J268</x:f>
        <x:v>0</x:v>
      </x:c>
      <x:c r="N268" s="45" t="n">
        <x:f>H268+K268</x:f>
        <x:v>0</x:v>
      </x:c>
      <x:c r="O268" s="45" t="n">
        <x:f>SUM(F268:H268)</x:f>
        <x:v>1</x:v>
      </x:c>
      <x:c r="P268" s="42" t="n">
        <x:f>IF(AND(F268&lt;=F316,F268&lt;=F300,F268&lt;=F284,G268&lt;=G272,G268&lt;=G260,G268&lt;=G264,H268&lt;=H269,H268&lt;=H266,H268&lt;=H267),1,0)</x:f>
        <x:v>0</x:v>
      </x:c>
      <x:c r="Q268" s="42" t="n">
        <x:f>IF(AND(L268&lt;=L316,L268&lt;=L300,L268&lt;=L284,M268&lt;=M272,M268&lt;=M260,M268&lt;=M264,N268&lt;=N269,N268&lt;=N266,N268&lt;=N267),1,0)</x:f>
        <x:v>0</x:v>
      </x:c>
      <x:c r="R268" s="42" t="n">
        <x:v>0</x:v>
      </x:c>
      <x:c r="S268" s="42" t="n">
        <x:v>0</x:v>
      </x:c>
    </x:row>
    <x:row r="269">
      <x:c r="A269" t="n">
        <x:v>5</x:v>
      </x:c>
      <x:c r="B269" t="n">
        <x:v>1</x:v>
      </x:c>
      <x:c r="C269" t="n">
        <x:v>0</x:v>
      </x:c>
      <x:c r="D269" t="n">
        <x:v>0</x:v>
      </x:c>
      <x:c r="E269" t="str">
        <x:v>eov</x:v>
      </x:c>
      <x:c r="F269" s="45" t="n">
        <x:f>1*$B269</x:f>
        <x:v>1</x:v>
      </x:c>
      <x:c r="G269" s="45" t="n">
        <x:f>0</x:f>
        <x:v>0</x:v>
      </x:c>
      <x:c r="H269" s="45" t="n">
        <x:f>2*$B269</x:f>
        <x:v>2</x:v>
      </x:c>
      <x:c r="I269" s="45" t="n">
        <x:f>0</x:f>
        <x:v>0</x:v>
      </x:c>
      <x:c r="J269" s="45" t="n">
        <x:f>0</x:f>
        <x:v>0</x:v>
      </x:c>
      <x:c r="K269" s="45" t="n">
        <x:f>0</x:f>
        <x:v>0</x:v>
      </x:c>
      <x:c r="L269" s="45" t="n">
        <x:f>F269+I269</x:f>
        <x:v>1</x:v>
      </x:c>
      <x:c r="M269" s="45" t="n">
        <x:f>G269+J269</x:f>
        <x:v>0</x:v>
      </x:c>
      <x:c r="N269" s="45" t="n">
        <x:f>H269+K269</x:f>
        <x:v>2</x:v>
      </x:c>
      <x:c r="O269" s="45" t="n">
        <x:f>SUM(F269:H269)</x:f>
        <x:v>3</x:v>
      </x:c>
      <x:c r="P269" s="42" t="n">
        <x:f>IF(AND(F269&lt;=F317,F269&lt;=F301,F269&lt;=F285,G269&lt;=G273,G269&lt;=G261,G269&lt;=G265,H269&lt;=H266,H269&lt;=H268,H269&lt;=H267),1,0)</x:f>
        <x:v>0</x:v>
      </x:c>
      <x:c r="Q269" s="42" t="n">
        <x:f>IF(AND(L269&lt;=L317,L269&lt;=L301,L269&lt;=L285,M269&lt;=M273,M269&lt;=M261,M269&lt;=M265,N269&lt;=N266,N269&lt;=N268,N269&lt;=N267),1,0)</x:f>
        <x:v>0</x:v>
      </x:c>
      <x:c r="R269" s="42" t="n">
        <x:v>0</x:v>
      </x:c>
      <x:c r="S269" s="42" t="n">
        <x:v>0</x:v>
      </x:c>
    </x:row>
    <x:row r="270">
      <x:c r="A270" t="n">
        <x:v>5</x:v>
      </x:c>
      <x:c r="B270" t="n">
        <x:v>1</x:v>
      </x:c>
      <x:c r="C270" t="n">
        <x:v>0</x:v>
      </x:c>
      <x:c r="D270" t="n">
        <x:v>0</x:v>
      </x:c>
      <x:c r="E270" t="str">
        <x:v>eve</x:v>
      </x:c>
      <x:c r="F270" s="45" t="n">
        <x:f>(1/2)*$B270+(1/2)*$C270</x:f>
        <x:v>0.5</x:v>
      </x:c>
      <x:c r="G270" s="45" t="n">
        <x:f>2*$B270</x:f>
        <x:v>2</x:v>
      </x:c>
      <x:c r="H270" s="45" t="n">
        <x:f>(1/2)*$B270+(1/2)*$C270</x:f>
        <x:v>0.5</x:v>
      </x:c>
      <x:c r="I270" s="45" t="n">
        <x:f>MAX((1/2)*($C270-$B270),0)</x:f>
        <x:v>0</x:v>
      </x:c>
      <x:c r="J270" s="45" t="n">
        <x:f>0</x:f>
        <x:v>0</x:v>
      </x:c>
      <x:c r="K270" s="45" t="n">
        <x:f>MAX((1/2)*($C270-$B270),0)</x:f>
        <x:v>0</x:v>
      </x:c>
      <x:c r="L270" s="45" t="n">
        <x:f>F270+I270</x:f>
        <x:v>0.5</x:v>
      </x:c>
      <x:c r="M270" s="45" t="n">
        <x:f>G270+J270</x:f>
        <x:v>2</x:v>
      </x:c>
      <x:c r="N270" s="45" t="n">
        <x:f>H270+K270</x:f>
        <x:v>0.5</x:v>
      </x:c>
      <x:c r="O270" s="45" t="n">
        <x:f>SUM(F270:H270)</x:f>
        <x:v>3</x:v>
      </x:c>
      <x:c r="P270" s="42" t="n">
        <x:f>IF(AND(F270&lt;=F318,F270&lt;=F302,F270&lt;=F286,G270&lt;=G258,G270&lt;=G266,G270&lt;=G262,H270&lt;=H273,H270&lt;=H272,H270&lt;=H271),1,0)</x:f>
        <x:v>0</x:v>
      </x:c>
      <x:c r="Q270" s="42" t="n">
        <x:f>IF(AND(L270&lt;=L318,L270&lt;=L302,L270&lt;=L286,M270&lt;=M258,M270&lt;=M266,M270&lt;=M262,N270&lt;=N273,N270&lt;=N272,N270&lt;=N271),1,0)</x:f>
        <x:v>0</x:v>
      </x:c>
      <x:c r="R270" s="42" t="n">
        <x:v>0</x:v>
      </x:c>
      <x:c r="S270" s="42" t="n">
        <x:v>0</x:v>
      </x:c>
    </x:row>
    <x:row r="271">
      <x:c r="A271" t="n">
        <x:v>5</x:v>
      </x:c>
      <x:c r="B271" t="n">
        <x:v>1</x:v>
      </x:c>
      <x:c r="C271" t="n">
        <x:v>0</x:v>
      </x:c>
      <x:c r="D271" t="n">
        <x:v>0</x:v>
      </x:c>
      <x:c r="E271" t="str">
        <x:v>evl</x:v>
      </x:c>
      <x:c r="F271" s="45" t="n">
        <x:f>1*$B271</x:f>
        <x:v>1</x:v>
      </x:c>
      <x:c r="G271" s="45" t="n">
        <x:f>2*$B271</x:f>
        <x:v>2</x:v>
      </x:c>
      <x:c r="H271" s="45" t="n">
        <x:f>1*$D271</x:f>
        <x:v>0</x:v>
      </x:c>
      <x:c r="I271" s="45" t="n">
        <x:f>0</x:f>
        <x:v>0</x:v>
      </x:c>
      <x:c r="J271" s="45" t="n">
        <x:f>0</x:f>
        <x:v>0</x:v>
      </x:c>
      <x:c r="K271" s="45" t="n">
        <x:f>0</x:f>
        <x:v>0</x:v>
      </x:c>
      <x:c r="L271" s="45" t="n">
        <x:f>F271+I271</x:f>
        <x:v>1</x:v>
      </x:c>
      <x:c r="M271" s="45" t="n">
        <x:f>G271+J271</x:f>
        <x:v>2</x:v>
      </x:c>
      <x:c r="N271" s="45" t="n">
        <x:f>H271+K271</x:f>
        <x:v>0</x:v>
      </x:c>
      <x:c r="O271" s="45" t="n">
        <x:f>SUM(F271:H271)</x:f>
        <x:v>3</x:v>
      </x:c>
      <x:c r="P271" s="42" t="n">
        <x:f>IF(AND(F271&lt;=F319,F271&lt;=F303,F271&lt;=F287,G271&lt;=G259,G271&lt;=G267,G271&lt;=G263,H271&lt;=H273,H271&lt;=H270,H271&lt;=H272),1,0)</x:f>
        <x:v>0</x:v>
      </x:c>
      <x:c r="Q271" s="42" t="n">
        <x:f>IF(AND(L271&lt;=L319,L271&lt;=L303,L271&lt;=L287,M271&lt;=M259,M271&lt;=M267,M271&lt;=M263,N271&lt;=N273,N271&lt;=N270,N271&lt;=N272),1,0)</x:f>
        <x:v>0</x:v>
      </x:c>
      <x:c r="R271" s="42" t="n">
        <x:v>0</x:v>
      </x:c>
      <x:c r="S271" s="42" t="n">
        <x:v>0</x:v>
      </x:c>
    </x:row>
    <x:row r="272">
      <x:c r="A272" t="n">
        <x:v>5</x:v>
      </x:c>
      <x:c r="B272" t="n">
        <x:v>1</x:v>
      </x:c>
      <x:c r="C272" t="n">
        <x:v>0</x:v>
      </x:c>
      <x:c r="D272" t="n">
        <x:v>0</x:v>
      </x:c>
      <x:c r="E272" t="str">
        <x:v>evo</x:v>
      </x:c>
      <x:c r="F272" s="45" t="n">
        <x:f>1*$B272</x:f>
        <x:v>1</x:v>
      </x:c>
      <x:c r="G272" s="45" t="n">
        <x:f>2*$B272</x:f>
        <x:v>2</x:v>
      </x:c>
      <x:c r="H272" s="45" t="n">
        <x:f>0</x:f>
        <x:v>0</x:v>
      </x:c>
      <x:c r="I272" s="45" t="n">
        <x:f>0</x:f>
        <x:v>0</x:v>
      </x:c>
      <x:c r="J272" s="45" t="n">
        <x:f>0</x:f>
        <x:v>0</x:v>
      </x:c>
      <x:c r="K272" s="45" t="n">
        <x:f>0</x:f>
        <x:v>0</x:v>
      </x:c>
      <x:c r="L272" s="45" t="n">
        <x:f>F272+I272</x:f>
        <x:v>1</x:v>
      </x:c>
      <x:c r="M272" s="45" t="n">
        <x:f>G272+J272</x:f>
        <x:v>2</x:v>
      </x:c>
      <x:c r="N272" s="45" t="n">
        <x:f>H272+K272</x:f>
        <x:v>0</x:v>
      </x:c>
      <x:c r="O272" s="45" t="n">
        <x:f>SUM(F272:H272)</x:f>
        <x:v>3</x:v>
      </x:c>
      <x:c r="P272" s="42" t="n">
        <x:f>IF(AND(F272&lt;=F320,F272&lt;=F304,F272&lt;=F288,G272&lt;=G260,G272&lt;=G268,G272&lt;=G264,H272&lt;=H273,H272&lt;=H270,H272&lt;=H271),1,0)</x:f>
        <x:v>0</x:v>
      </x:c>
      <x:c r="Q272" s="42" t="n">
        <x:f>IF(AND(L272&lt;=L320,L272&lt;=L304,L272&lt;=L288,M272&lt;=M260,M272&lt;=M268,M272&lt;=M264,N272&lt;=N273,N272&lt;=N270,N272&lt;=N271),1,0)</x:f>
        <x:v>0</x:v>
      </x:c>
      <x:c r="R272" s="42" t="n">
        <x:v>0</x:v>
      </x:c>
      <x:c r="S272" s="42" t="n">
        <x:v>0</x:v>
      </x:c>
    </x:row>
    <x:row r="273">
      <x:c r="A273" t="n">
        <x:v>5</x:v>
      </x:c>
      <x:c r="B273" t="n">
        <x:v>1</x:v>
      </x:c>
      <x:c r="C273" t="n">
        <x:v>0</x:v>
      </x:c>
      <x:c r="D273" t="n">
        <x:v>0</x:v>
      </x:c>
      <x:c r="E273" t="str">
        <x:v>evv</x:v>
      </x:c>
      <x:c r="F273" s="45" t="n">
        <x:f>1*$C273</x:f>
        <x:v>0</x:v>
      </x:c>
      <x:c r="G273" s="45" t="n">
        <x:f>(3/2)*$B273+(1/2)*$C273</x:f>
        <x:v>1.5</x:v>
      </x:c>
      <x:c r="H273" s="45" t="n">
        <x:f>(3/2)*$B273+(1/2)*$C273</x:f>
        <x:v>1.5</x:v>
      </x:c>
      <x:c r="I273" s="45" t="n">
        <x:f>0</x:f>
        <x:v>0</x:v>
      </x:c>
      <x:c r="J273" s="45" t="n">
        <x:f>MAX((3/2)*($C273-$B273),0)</x:f>
        <x:v>0</x:v>
      </x:c>
      <x:c r="K273" s="45" t="n">
        <x:f>MAX((3/2)*($C273-$B273),0)</x:f>
        <x:v>0</x:v>
      </x:c>
      <x:c r="L273" s="45" t="n">
        <x:f>F273+I273</x:f>
        <x:v>0</x:v>
      </x:c>
      <x:c r="M273" s="45" t="n">
        <x:f>G273+J273</x:f>
        <x:v>1.5</x:v>
      </x:c>
      <x:c r="N273" s="45" t="n">
        <x:f>H273+K273</x:f>
        <x:v>1.5</x:v>
      </x:c>
      <x:c r="O273" s="45" t="n">
        <x:f>SUM(F273:H273)</x:f>
        <x:v>3</x:v>
      </x:c>
      <x:c r="P273" s="42" t="n">
        <x:f>IF(AND(F273&lt;=F321,F273&lt;=F305,F273&lt;=F289,G273&lt;=G261,G273&lt;=G269,G273&lt;=G265,H273&lt;=H270,H273&lt;=H272,H273&lt;=H271),1,0)</x:f>
        <x:v>0</x:v>
      </x:c>
      <x:c r="Q273" s="42" t="n">
        <x:f>IF(AND(L273&lt;=L321,L273&lt;=L305,L273&lt;=L289,M273&lt;=M261,M273&lt;=M269,M273&lt;=M265,N273&lt;=N270,N273&lt;=N272,N273&lt;=N271),1,0)</x:f>
        <x:v>0</x:v>
      </x:c>
      <x:c r="R273" s="42" t="n">
        <x:v>0</x:v>
      </x:c>
      <x:c r="S273" s="42" t="n">
        <x:v>0</x:v>
      </x:c>
    </x:row>
    <x:row r="274">
      <x:c r="A274" t="n">
        <x:v>5</x:v>
      </x:c>
      <x:c r="B274" t="n">
        <x:v>1</x:v>
      </x:c>
      <x:c r="C274" t="n">
        <x:v>0</x:v>
      </x:c>
      <x:c r="D274" t="n">
        <x:v>0</x:v>
      </x:c>
      <x:c r="E274" t="str">
        <x:v>lee</x:v>
      </x:c>
      <x:c r="F274" s="45" t="n">
        <x:f>1*$D274</x:f>
        <x:v>0</x:v>
      </x:c>
      <x:c r="G274" s="45" t="n">
        <x:f>(1/2)*$B274+(1/2)*$C274</x:f>
        <x:v>0.5</x:v>
      </x:c>
      <x:c r="H274" s="45" t="n">
        <x:f>(1/2)*$B274+(1/2)*$C274</x:f>
        <x:v>0.5</x:v>
      </x:c>
      <x:c r="I274" s="45" t="n">
        <x:f>0</x:f>
        <x:v>0</x:v>
      </x:c>
      <x:c r="J274" s="45" t="n">
        <x:f>MAX((1/2)*($C274-$B274),0)</x:f>
        <x:v>0</x:v>
      </x:c>
      <x:c r="K274" s="45" t="n">
        <x:f>MAX((1/2)*($C274-$B274),0)</x:f>
        <x:v>0</x:v>
      </x:c>
      <x:c r="L274" s="45" t="n">
        <x:f>F274+I274</x:f>
        <x:v>0</x:v>
      </x:c>
      <x:c r="M274" s="45" t="n">
        <x:f>G274+J274</x:f>
        <x:v>0.5</x:v>
      </x:c>
      <x:c r="N274" s="45" t="n">
        <x:f>H274+K274</x:f>
        <x:v>0.5</x:v>
      </x:c>
      <x:c r="O274" s="45" t="n">
        <x:f>SUM(F274:H274)</x:f>
        <x:v>1</x:v>
      </x:c>
      <x:c r="P274" s="42" t="n">
        <x:f>IF(AND(F274&lt;=F306,F274&lt;=F258,F274&lt;=F290,G274&lt;=G286,G274&lt;=G282,G274&lt;=G278,H274&lt;=H277,H274&lt;=H276,H274&lt;=H275),1,0)</x:f>
        <x:v>0</x:v>
      </x:c>
      <x:c r="Q274" s="42" t="n">
        <x:f>IF(AND(L274&lt;=L306,L274&lt;=L258,L274&lt;=L290,M274&lt;=M286,M274&lt;=M282,M274&lt;=M278,N274&lt;=N277,N274&lt;=N276,N274&lt;=N275),1,0)</x:f>
        <x:v>0</x:v>
      </x:c>
      <x:c r="R274" s="42" t="n">
        <x:v>0</x:v>
      </x:c>
      <x:c r="S274" s="42" t="n">
        <x:v>0</x:v>
      </x:c>
    </x:row>
    <x:row r="275">
      <x:c r="A275" t="n">
        <x:v>5</x:v>
      </x:c>
      <x:c r="B275" t="n">
        <x:v>1</x:v>
      </x:c>
      <x:c r="C275" t="n">
        <x:v>0</x:v>
      </x:c>
      <x:c r="D275" t="n">
        <x:v>0</x:v>
      </x:c>
      <x:c r="E275" t="str">
        <x:v>lel</x:v>
      </x:c>
      <x:c r="F275" s="45" t="n">
        <x:f>(1/2)*$C275+(3/2)*$D275</x:f>
        <x:v>0</x:v>
      </x:c>
      <x:c r="G275" s="45" t="n">
        <x:f>1*$B275</x:f>
        <x:v>1</x:v>
      </x:c>
      <x:c r="H275" s="45" t="n">
        <x:f>(1/2)*$C275+(3/2)*$D275</x:f>
        <x:v>0</x:v>
      </x:c>
      <x:c r="I275" s="45" t="n">
        <x:f>(1/2)*($C275+$D275)</x:f>
        <x:v>0</x:v>
      </x:c>
      <x:c r="J275" s="45" t="n">
        <x:f>0</x:f>
        <x:v>0</x:v>
      </x:c>
      <x:c r="K275" s="45" t="n">
        <x:f>(1/2)*($C275+$D275)</x:f>
        <x:v>0</x:v>
      </x:c>
      <x:c r="L275" s="45" t="n">
        <x:f>F275+I275</x:f>
        <x:v>0</x:v>
      </x:c>
      <x:c r="M275" s="45" t="n">
        <x:f>G275+J275</x:f>
        <x:v>1</x:v>
      </x:c>
      <x:c r="N275" s="45" t="n">
        <x:f>H275+K275</x:f>
        <x:v>0</x:v>
      </x:c>
      <x:c r="O275" s="45" t="n">
        <x:f>SUM(F275:H275)</x:f>
        <x:v>1</x:v>
      </x:c>
      <x:c r="P275" s="42" t="n">
        <x:f>IF(AND(F275&lt;=F307,F275&lt;=F259,F275&lt;=F291,G275&lt;=G287,G275&lt;=G283,G275&lt;=G279,H275&lt;=H277,H275&lt;=H274,H275&lt;=H276),1,0)</x:f>
        <x:v>0</x:v>
      </x:c>
      <x:c r="Q275" s="42" t="n">
        <x:f>IF(AND(L275&lt;=L307,L275&lt;=L259,L275&lt;=L291,M275&lt;=M287,M275&lt;=M283,M275&lt;=M279,N275&lt;=N277,N275&lt;=N274,N275&lt;=N276),1,0)</x:f>
        <x:v>0</x:v>
      </x:c>
      <x:c r="R275" s="42" t="n">
        <x:v>0</x:v>
      </x:c>
      <x:c r="S275" s="42" t="n">
        <x:v>0</x:v>
      </x:c>
    </x:row>
    <x:row r="276">
      <x:c r="A276" t="n">
        <x:v>5</x:v>
      </x:c>
      <x:c r="B276" t="n">
        <x:v>1</x:v>
      </x:c>
      <x:c r="C276" t="n">
        <x:v>0</x:v>
      </x:c>
      <x:c r="D276" t="n">
        <x:v>0</x:v>
      </x:c>
      <x:c r="E276" t="str">
        <x:v>leo</x:v>
      </x:c>
      <x:c r="F276" s="45" t="n">
        <x:f>1*$D276</x:f>
        <x:v>0</x:v>
      </x:c>
      <x:c r="G276" s="45" t="n">
        <x:f>1*$B276</x:f>
        <x:v>1</x:v>
      </x:c>
      <x:c r="H276" s="45" t="n">
        <x:f>0</x:f>
        <x:v>0</x:v>
      </x:c>
      <x:c r="I276" s="45" t="n">
        <x:f>0</x:f>
        <x:v>0</x:v>
      </x:c>
      <x:c r="J276" s="45" t="n">
        <x:f>0</x:f>
        <x:v>0</x:v>
      </x:c>
      <x:c r="K276" s="45" t="n">
        <x:f>0</x:f>
        <x:v>0</x:v>
      </x:c>
      <x:c r="L276" s="45" t="n">
        <x:f>F276+I276</x:f>
        <x:v>0</x:v>
      </x:c>
      <x:c r="M276" s="45" t="n">
        <x:f>G276+J276</x:f>
        <x:v>1</x:v>
      </x:c>
      <x:c r="N276" s="45" t="n">
        <x:f>H276+K276</x:f>
        <x:v>0</x:v>
      </x:c>
      <x:c r="O276" s="45" t="n">
        <x:f>SUM(F276:H276)</x:f>
        <x:v>1</x:v>
      </x:c>
      <x:c r="P276" s="42" t="n">
        <x:f>IF(AND(F276&lt;=F308,F276&lt;=F260,F276&lt;=F292,G276&lt;=G288,G276&lt;=G284,G276&lt;=G280,H276&lt;=H277,H276&lt;=H274,H276&lt;=H275),1,0)</x:f>
        <x:v>0</x:v>
      </x:c>
      <x:c r="Q276" s="42" t="n">
        <x:f>IF(AND(L276&lt;=L308,L276&lt;=L260,L276&lt;=L292,M276&lt;=M288,M276&lt;=M284,M276&lt;=M280,N276&lt;=N277,N276&lt;=N274,N276&lt;=N275),1,0)</x:f>
        <x:v>0</x:v>
      </x:c>
      <x:c r="R276" s="42" t="n">
        <x:v>0</x:v>
      </x:c>
      <x:c r="S276" s="42" t="n">
        <x:v>0</x:v>
      </x:c>
    </x:row>
    <x:row r="277">
      <x:c r="A277" t="n">
        <x:v>5</x:v>
      </x:c>
      <x:c r="B277" t="n">
        <x:v>1</x:v>
      </x:c>
      <x:c r="C277" t="n">
        <x:v>0</x:v>
      </x:c>
      <x:c r="D277" t="n">
        <x:v>0</x:v>
      </x:c>
      <x:c r="E277" t="str">
        <x:v>lev</x:v>
      </x:c>
      <x:c r="F277" s="45" t="n">
        <x:f>1*$D277</x:f>
        <x:v>0</x:v>
      </x:c>
      <x:c r="G277" s="45" t="n">
        <x:f>1*$B277</x:f>
        <x:v>1</x:v>
      </x:c>
      <x:c r="H277" s="45" t="n">
        <x:f>2*$B277</x:f>
        <x:v>2</x:v>
      </x:c>
      <x:c r="I277" s="45" t="n">
        <x:f>0</x:f>
        <x:v>0</x:v>
      </x:c>
      <x:c r="J277" s="45" t="n">
        <x:f>0</x:f>
        <x:v>0</x:v>
      </x:c>
      <x:c r="K277" s="45" t="n">
        <x:f>0</x:f>
        <x:v>0</x:v>
      </x:c>
      <x:c r="L277" s="45" t="n">
        <x:f>F277+I277</x:f>
        <x:v>0</x:v>
      </x:c>
      <x:c r="M277" s="45" t="n">
        <x:f>G277+J277</x:f>
        <x:v>1</x:v>
      </x:c>
      <x:c r="N277" s="45" t="n">
        <x:f>H277+K277</x:f>
        <x:v>2</x:v>
      </x:c>
      <x:c r="O277" s="45" t="n">
        <x:f>SUM(F277:H277)</x:f>
        <x:v>3</x:v>
      </x:c>
      <x:c r="P277" s="42" t="n">
        <x:f>IF(AND(F277&lt;=F309,F277&lt;=F261,F277&lt;=F293,G277&lt;=G289,G277&lt;=G285,G277&lt;=G281,H277&lt;=H274,H277&lt;=H276,H277&lt;=H275),1,0)</x:f>
        <x:v>0</x:v>
      </x:c>
      <x:c r="Q277" s="42" t="n">
        <x:f>IF(AND(L277&lt;=L309,L277&lt;=L261,L277&lt;=L293,M277&lt;=M289,M277&lt;=M285,M277&lt;=M281,N277&lt;=N274,N277&lt;=N276,N277&lt;=N275),1,0)</x:f>
        <x:v>0</x:v>
      </x:c>
      <x:c r="R277" s="42" t="n">
        <x:v>0</x:v>
      </x:c>
      <x:c r="S277" s="42" t="n">
        <x:v>0</x:v>
      </x:c>
    </x:row>
    <x:row r="278">
      <x:c r="A278" t="n">
        <x:v>5</x:v>
      </x:c>
      <x:c r="B278" t="n">
        <x:v>1</x:v>
      </x:c>
      <x:c r="C278" t="n">
        <x:v>0</x:v>
      </x:c>
      <x:c r="D278" t="n">
        <x:v>0</x:v>
      </x:c>
      <x:c r="E278" t="str">
        <x:v>lle</x:v>
      </x:c>
      <x:c r="F278" s="45" t="n">
        <x:f>(1/2)*$C278+(3/2)*$D278</x:f>
        <x:v>0</x:v>
      </x:c>
      <x:c r="G278" s="45" t="n">
        <x:f>(1/2)*$C278+(3/2)*$D278</x:f>
        <x:v>0</x:v>
      </x:c>
      <x:c r="H278" s="45" t="n">
        <x:f>1*$B278</x:f>
        <x:v>1</x:v>
      </x:c>
      <x:c r="I278" s="45" t="n">
        <x:f>(1/2)*($C278+$D278)</x:f>
        <x:v>0</x:v>
      </x:c>
      <x:c r="J278" s="45" t="n">
        <x:f>(1/2)*($C278+$D278)</x:f>
        <x:v>0</x:v>
      </x:c>
      <x:c r="K278" s="45" t="n">
        <x:f>0</x:f>
        <x:v>0</x:v>
      </x:c>
      <x:c r="L278" s="45" t="n">
        <x:f>F278+I278</x:f>
        <x:v>0</x:v>
      </x:c>
      <x:c r="M278" s="45" t="n">
        <x:f>G278+J278</x:f>
        <x:v>0</x:v>
      </x:c>
      <x:c r="N278" s="45" t="n">
        <x:f>H278+K278</x:f>
        <x:v>1</x:v>
      </x:c>
      <x:c r="O278" s="45" t="n">
        <x:f>SUM(F278:H278)</x:f>
        <x:v>1</x:v>
      </x:c>
      <x:c r="P278" s="42" t="n">
        <x:f>IF(AND(F278&lt;=F310,F278&lt;=F262,F278&lt;=F294,G278&lt;=G286,G278&lt;=G274,G278&lt;=G282,H278&lt;=H281,H278&lt;=H280,H278&lt;=H279),1,0)</x:f>
        <x:v>0</x:v>
      </x:c>
      <x:c r="Q278" s="42" t="n">
        <x:f>IF(AND(L278&lt;=L310,L278&lt;=L262,L278&lt;=L294,M278&lt;=M286,M278&lt;=M274,M278&lt;=M282,N278&lt;=N281,N278&lt;=N280,N278&lt;=N279),1,0)</x:f>
        <x:v>0</x:v>
      </x:c>
      <x:c r="R278" s="42" t="n">
        <x:v>0</x:v>
      </x:c>
      <x:c r="S278" s="42" t="n">
        <x:v>0</x:v>
      </x:c>
    </x:row>
    <x:row r="279">
      <x:c r="A279" t="n">
        <x:v>5</x:v>
      </x:c>
      <x:c r="B279" t="n">
        <x:v>1</x:v>
      </x:c>
      <x:c r="C279" t="n">
        <x:v>0</x:v>
      </x:c>
      <x:c r="D279" t="n">
        <x:v>0</x:v>
      </x:c>
      <x:c r="E279" t="str">
        <x:v>lll</x:v>
      </x:c>
      <x:c r="F279" s="45" t="n">
        <x:f>1*$C279+2*$D279</x:f>
        <x:v>0</x:v>
      </x:c>
      <x:c r="G279" s="45" t="n">
        <x:f>1*$C279+2*$D279</x:f>
        <x:v>0</x:v>
      </x:c>
      <x:c r="H279" s="45" t="n">
        <x:f>1*$C279+2*$D279</x:f>
        <x:v>0</x:v>
      </x:c>
      <x:c r="I279" s="45" t="n">
        <x:f>$C279+$D279</x:f>
        <x:v>0</x:v>
      </x:c>
      <x:c r="J279" s="45" t="n">
        <x:f>$C279+$D279</x:f>
        <x:v>0</x:v>
      </x:c>
      <x:c r="K279" s="45" t="n">
        <x:f>$C279+$D279</x:f>
        <x:v>0</x:v>
      </x:c>
      <x:c r="L279" s="45" t="n">
        <x:f>F279+I279</x:f>
        <x:v>0</x:v>
      </x:c>
      <x:c r="M279" s="45" t="n">
        <x:f>G279+J279</x:f>
        <x:v>0</x:v>
      </x:c>
      <x:c r="N279" s="45" t="n">
        <x:f>H279+K279</x:f>
        <x:v>0</x:v>
      </x:c>
      <x:c r="O279" s="45" t="n">
        <x:f>SUM(F279:H279)</x:f>
        <x:v>0</x:v>
      </x:c>
      <x:c r="P279" s="42" t="n">
        <x:f>IF(AND(F279&lt;=F311,F279&lt;=F263,F279&lt;=F295,G279&lt;=G287,G279&lt;=G275,G279&lt;=G283,H279&lt;=H281,H279&lt;=H278,H279&lt;=H280),1,0)</x:f>
        <x:v>1</x:v>
      </x:c>
      <x:c r="Q279" s="42" t="n">
        <x:f>IF(AND(L279&lt;=L311,L279&lt;=L263,L279&lt;=L295,M279&lt;=M287,M279&lt;=M275,M279&lt;=M283,N279&lt;=N281,N279&lt;=N278,N279&lt;=N280),1,0)</x:f>
        <x:v>1</x:v>
      </x:c>
      <x:c r="R279" s="42" t="n">
        <x:v>1</x:v>
      </x:c>
      <x:c r="S279" s="42" t="n">
        <x:v>1</x:v>
      </x:c>
    </x:row>
    <x:row r="280">
      <x:c r="A280" t="n">
        <x:v>5</x:v>
      </x:c>
      <x:c r="B280" t="n">
        <x:v>1</x:v>
      </x:c>
      <x:c r="C280" t="n">
        <x:v>0</x:v>
      </x:c>
      <x:c r="D280" t="n">
        <x:v>0</x:v>
      </x:c>
      <x:c r="E280" t="str">
        <x:v>llo</x:v>
      </x:c>
      <x:c r="F280" s="45" t="n">
        <x:f>(1/2)*$C280+(3/2)*$D280</x:f>
        <x:v>0</x:v>
      </x:c>
      <x:c r="G280" s="45" t="n">
        <x:f>(1/2)*$C280+(3/2)*$D280</x:f>
        <x:v>0</x:v>
      </x:c>
      <x:c r="H280" s="45" t="n">
        <x:f>0</x:f>
        <x:v>0</x:v>
      </x:c>
      <x:c r="I280" s="45" t="n">
        <x:f>(1/2)*($C280+$D280)</x:f>
        <x:v>0</x:v>
      </x:c>
      <x:c r="J280" s="45" t="n">
        <x:f>(1/2)*($C280+$D280)</x:f>
        <x:v>0</x:v>
      </x:c>
      <x:c r="K280" s="45" t="n">
        <x:f>0</x:f>
        <x:v>0</x:v>
      </x:c>
      <x:c r="L280" s="45" t="n">
        <x:f>F280+I280</x:f>
        <x:v>0</x:v>
      </x:c>
      <x:c r="M280" s="45" t="n">
        <x:f>G280+J280</x:f>
        <x:v>0</x:v>
      </x:c>
      <x:c r="N280" s="45" t="n">
        <x:f>H280+K280</x:f>
        <x:v>0</x:v>
      </x:c>
      <x:c r="O280" s="45" t="n">
        <x:f>SUM(F280:H280)</x:f>
        <x:v>0</x:v>
      </x:c>
      <x:c r="P280" s="42" t="n">
        <x:f>IF(AND(F280&lt;=F312,F280&lt;=F264,F280&lt;=F296,G280&lt;=G288,G280&lt;=G276,G280&lt;=G284,H280&lt;=H281,H280&lt;=H278,H280&lt;=H279),1,0)</x:f>
        <x:v>1</x:v>
      </x:c>
      <x:c r="Q280" s="42" t="n">
        <x:f>IF(AND(L280&lt;=L312,L280&lt;=L264,L280&lt;=L296,M280&lt;=M288,M280&lt;=M276,M280&lt;=M284,N280&lt;=N281,N280&lt;=N278,N280&lt;=N279),1,0)</x:f>
        <x:v>1</x:v>
      </x:c>
      <x:c r="R280" s="42" t="n">
        <x:v>1</x:v>
      </x:c>
      <x:c r="S280" s="42" t="n">
        <x:v>1</x:v>
      </x:c>
    </x:row>
    <x:row r="281">
      <x:c r="A281" t="n">
        <x:v>5</x:v>
      </x:c>
      <x:c r="B281" t="n">
        <x:v>1</x:v>
      </x:c>
      <x:c r="C281" t="n">
        <x:v>0</x:v>
      </x:c>
      <x:c r="D281" t="n">
        <x:v>0</x:v>
      </x:c>
      <x:c r="E281" t="str">
        <x:v>llv</x:v>
      </x:c>
      <x:c r="F281" s="45" t="n">
        <x:f>(1/2)*$C281+(3/2)*$D281</x:f>
        <x:v>0</x:v>
      </x:c>
      <x:c r="G281" s="45" t="n">
        <x:f>(1/2)*$C281+(3/2)*$D281</x:f>
        <x:v>0</x:v>
      </x:c>
      <x:c r="H281" s="45" t="n">
        <x:f>2*$B281</x:f>
        <x:v>2</x:v>
      </x:c>
      <x:c r="I281" s="45" t="n">
        <x:f>(1/2)*($C281+$D281)</x:f>
        <x:v>0</x:v>
      </x:c>
      <x:c r="J281" s="45" t="n">
        <x:f>(1/2)*($C281+$D281)</x:f>
        <x:v>0</x:v>
      </x:c>
      <x:c r="K281" s="45" t="n">
        <x:f>0</x:f>
        <x:v>0</x:v>
      </x:c>
      <x:c r="L281" s="45" t="n">
        <x:f>F281+I281</x:f>
        <x:v>0</x:v>
      </x:c>
      <x:c r="M281" s="45" t="n">
        <x:f>G281+J281</x:f>
        <x:v>0</x:v>
      </x:c>
      <x:c r="N281" s="45" t="n">
        <x:f>H281+K281</x:f>
        <x:v>2</x:v>
      </x:c>
      <x:c r="O281" s="45" t="n">
        <x:f>SUM(F281:H281)</x:f>
        <x:v>2</x:v>
      </x:c>
      <x:c r="P281" s="42" t="n">
        <x:f>IF(AND(F281&lt;=F313,F281&lt;=F265,F281&lt;=F297,G281&lt;=G289,G281&lt;=G277,G281&lt;=G285,H281&lt;=H278,H281&lt;=H280,H281&lt;=H279),1,0)</x:f>
        <x:v>0</x:v>
      </x:c>
      <x:c r="Q281" s="42" t="n">
        <x:f>IF(AND(L281&lt;=L313,L281&lt;=L265,L281&lt;=L297,M281&lt;=M289,M281&lt;=M277,M281&lt;=M285,N281&lt;=N278,N281&lt;=N280,N281&lt;=N279),1,0)</x:f>
        <x:v>0</x:v>
      </x:c>
      <x:c r="R281" s="42" t="n">
        <x:v>0</x:v>
      </x:c>
      <x:c r="S281" s="42" t="n">
        <x:v>0</x:v>
      </x:c>
    </x:row>
    <x:row r="282">
      <x:c r="A282" t="n">
        <x:v>5</x:v>
      </x:c>
      <x:c r="B282" t="n">
        <x:v>1</x:v>
      </x:c>
      <x:c r="C282" t="n">
        <x:v>0</x:v>
      </x:c>
      <x:c r="D282" t="n">
        <x:v>0</x:v>
      </x:c>
      <x:c r="E282" t="str">
        <x:v>loe</x:v>
      </x:c>
      <x:c r="F282" s="45" t="n">
        <x:f>1*$D282</x:f>
        <x:v>0</x:v>
      </x:c>
      <x:c r="G282" s="45" t="n">
        <x:f>0</x:f>
        <x:v>0</x:v>
      </x:c>
      <x:c r="H282" s="45" t="n">
        <x:f>1*$B282</x:f>
        <x:v>1</x:v>
      </x:c>
      <x:c r="I282" s="45" t="n">
        <x:f>0</x:f>
        <x:v>0</x:v>
      </x:c>
      <x:c r="J282" s="45" t="n">
        <x:f>0</x:f>
        <x:v>0</x:v>
      </x:c>
      <x:c r="K282" s="45" t="n">
        <x:f>0</x:f>
        <x:v>0</x:v>
      </x:c>
      <x:c r="L282" s="45" t="n">
        <x:f>F282+I282</x:f>
        <x:v>0</x:v>
      </x:c>
      <x:c r="M282" s="45" t="n">
        <x:f>G282+J282</x:f>
        <x:v>0</x:v>
      </x:c>
      <x:c r="N282" s="45" t="n">
        <x:f>H282+K282</x:f>
        <x:v>1</x:v>
      </x:c>
      <x:c r="O282" s="45" t="n">
        <x:f>SUM(F282:H282)</x:f>
        <x:v>1</x:v>
      </x:c>
      <x:c r="P282" s="42" t="n">
        <x:f>IF(AND(F282&lt;=F314,F282&lt;=F266,F282&lt;=F298,G282&lt;=G286,G282&lt;=G274,G282&lt;=G278,H282&lt;=H285,H282&lt;=H284,H282&lt;=H283),1,0)</x:f>
        <x:v>0</x:v>
      </x:c>
      <x:c r="Q282" s="42" t="n">
        <x:f>IF(AND(L282&lt;=L314,L282&lt;=L266,L282&lt;=L298,M282&lt;=M286,M282&lt;=M274,M282&lt;=M278,N282&lt;=N285,N282&lt;=N284,N282&lt;=N283),1,0)</x:f>
        <x:v>0</x:v>
      </x:c>
      <x:c r="R282" s="42" t="n">
        <x:v>0</x:v>
      </x:c>
      <x:c r="S282" s="42" t="n">
        <x:v>0</x:v>
      </x:c>
    </x:row>
    <x:row r="283">
      <x:c r="A283" t="n">
        <x:v>5</x:v>
      </x:c>
      <x:c r="B283" t="n">
        <x:v>1</x:v>
      </x:c>
      <x:c r="C283" t="n">
        <x:v>0</x:v>
      </x:c>
      <x:c r="D283" t="n">
        <x:v>0</x:v>
      </x:c>
      <x:c r="E283" t="str">
        <x:v>lol</x:v>
      </x:c>
      <x:c r="F283" s="45" t="n">
        <x:f>(1/2)*$C283+(3/2)*$D283</x:f>
        <x:v>0</x:v>
      </x:c>
      <x:c r="G283" s="45" t="n">
        <x:f>0</x:f>
        <x:v>0</x:v>
      </x:c>
      <x:c r="H283" s="45" t="n">
        <x:f>(1/2)*$C283+(3/2)*$D283</x:f>
        <x:v>0</x:v>
      </x:c>
      <x:c r="I283" s="45" t="n">
        <x:f>(1/2)*($C283+$D283)</x:f>
        <x:v>0</x:v>
      </x:c>
      <x:c r="J283" s="45" t="n">
        <x:f>0</x:f>
        <x:v>0</x:v>
      </x:c>
      <x:c r="K283" s="45" t="n">
        <x:f>(1/2)*($C283+$D283)</x:f>
        <x:v>0</x:v>
      </x:c>
      <x:c r="L283" s="45" t="n">
        <x:f>F283+I283</x:f>
        <x:v>0</x:v>
      </x:c>
      <x:c r="M283" s="45" t="n">
        <x:f>G283+J283</x:f>
        <x:v>0</x:v>
      </x:c>
      <x:c r="N283" s="45" t="n">
        <x:f>H283+K283</x:f>
        <x:v>0</x:v>
      </x:c>
      <x:c r="O283" s="45" t="n">
        <x:f>SUM(F283:H283)</x:f>
        <x:v>0</x:v>
      </x:c>
      <x:c r="P283" s="42" t="n">
        <x:f>IF(AND(F283&lt;=F315,F283&lt;=F267,F283&lt;=F299,G283&lt;=G287,G283&lt;=G275,G283&lt;=G279,H283&lt;=H285,H283&lt;=H282,H283&lt;=H284),1,0)</x:f>
        <x:v>1</x:v>
      </x:c>
      <x:c r="Q283" s="42" t="n">
        <x:f>IF(AND(L283&lt;=L315,L283&lt;=L267,L283&lt;=L299,M283&lt;=M287,M283&lt;=M275,M283&lt;=M279,N283&lt;=N285,N283&lt;=N282,N283&lt;=N284),1,0)</x:f>
        <x:v>1</x:v>
      </x:c>
      <x:c r="R283" s="42" t="n">
        <x:v>1</x:v>
      </x:c>
      <x:c r="S283" s="42" t="n">
        <x:v>1</x:v>
      </x:c>
    </x:row>
    <x:row r="284">
      <x:c r="A284" t="n">
        <x:v>5</x:v>
      </x:c>
      <x:c r="B284" t="n">
        <x:v>1</x:v>
      </x:c>
      <x:c r="C284" t="n">
        <x:v>0</x:v>
      </x:c>
      <x:c r="D284" t="n">
        <x:v>0</x:v>
      </x:c>
      <x:c r="E284" t="str">
        <x:v>loo</x:v>
      </x:c>
      <x:c r="F284" s="45" t="n">
        <x:f>1*$C284+2*$D284</x:f>
        <x:v>0</x:v>
      </x:c>
      <x:c r="G284" s="45" t="n">
        <x:f>(1/2)*$C284+(1/2)*$D284</x:f>
        <x:v>0</x:v>
      </x:c>
      <x:c r="H284" s="45" t="n">
        <x:f>(1/2)*$C284+(1/2)*$D284</x:f>
        <x:v>0</x:v>
      </x:c>
      <x:c r="I284" s="45" t="n">
        <x:f>0</x:f>
        <x:v>0</x:v>
      </x:c>
      <x:c r="J284" s="45" t="n">
        <x:f>(3/2)*($C284+$D284)</x:f>
        <x:v>0</x:v>
      </x:c>
      <x:c r="K284" s="45" t="n">
        <x:f>(3/2)*($C284+$D284)</x:f>
        <x:v>0</x:v>
      </x:c>
      <x:c r="L284" s="45" t="n">
        <x:f>F284+I284</x:f>
        <x:v>0</x:v>
      </x:c>
      <x:c r="M284" s="45" t="n">
        <x:f>G284+J284</x:f>
        <x:v>0</x:v>
      </x:c>
      <x:c r="N284" s="45" t="n">
        <x:f>H284+K284</x:f>
        <x:v>0</x:v>
      </x:c>
      <x:c r="O284" s="45" t="n">
        <x:f>SUM(F284:H284)</x:f>
        <x:v>0</x:v>
      </x:c>
      <x:c r="P284" s="42" t="n">
        <x:f>IF(AND(F284&lt;=F316,F284&lt;=F268,F284&lt;=F300,G284&lt;=G288,G284&lt;=G276,G284&lt;=G280,H284&lt;=H285,H284&lt;=H282,H284&lt;=H283),1,0)</x:f>
        <x:v>1</x:v>
      </x:c>
      <x:c r="Q284" s="42" t="n">
        <x:f>IF(AND(L284&lt;=L316,L284&lt;=L268,L284&lt;=L300,M284&lt;=M288,M284&lt;=M276,M284&lt;=M280,N284&lt;=N285,N284&lt;=N282,N284&lt;=N283),1,0)</x:f>
        <x:v>1</x:v>
      </x:c>
      <x:c r="R284" s="42" t="n">
        <x:v>1</x:v>
      </x:c>
      <x:c r="S284" s="42" t="n">
        <x:v>1</x:v>
      </x:c>
    </x:row>
    <x:row r="285">
      <x:c r="A285" t="n">
        <x:v>5</x:v>
      </x:c>
      <x:c r="B285" t="n">
        <x:v>1</x:v>
      </x:c>
      <x:c r="C285" t="n">
        <x:v>0</x:v>
      </x:c>
      <x:c r="D285" t="n">
        <x:v>0</x:v>
      </x:c>
      <x:c r="E285" t="str">
        <x:v>lov</x:v>
      </x:c>
      <x:c r="F285" s="45" t="n">
        <x:f>1*$D285</x:f>
        <x:v>0</x:v>
      </x:c>
      <x:c r="G285" s="45" t="n">
        <x:f>0</x:f>
        <x:v>0</x:v>
      </x:c>
      <x:c r="H285" s="45" t="n">
        <x:f>2*$B285</x:f>
        <x:v>2</x:v>
      </x:c>
      <x:c r="I285" s="45" t="n">
        <x:f>0</x:f>
        <x:v>0</x:v>
      </x:c>
      <x:c r="J285" s="45" t="n">
        <x:f>0</x:f>
        <x:v>0</x:v>
      </x:c>
      <x:c r="K285" s="45" t="n">
        <x:f>0</x:f>
        <x:v>0</x:v>
      </x:c>
      <x:c r="L285" s="45" t="n">
        <x:f>F285+I285</x:f>
        <x:v>0</x:v>
      </x:c>
      <x:c r="M285" s="45" t="n">
        <x:f>G285+J285</x:f>
        <x:v>0</x:v>
      </x:c>
      <x:c r="N285" s="45" t="n">
        <x:f>H285+K285</x:f>
        <x:v>2</x:v>
      </x:c>
      <x:c r="O285" s="45" t="n">
        <x:f>SUM(F285:H285)</x:f>
        <x:v>2</x:v>
      </x:c>
      <x:c r="P285" s="42" t="n">
        <x:f>IF(AND(F285&lt;=F317,F285&lt;=F269,F285&lt;=F301,G285&lt;=G289,G285&lt;=G277,G285&lt;=G281,H285&lt;=H282,H285&lt;=H284,H285&lt;=H283),1,0)</x:f>
        <x:v>0</x:v>
      </x:c>
      <x:c r="Q285" s="42" t="n">
        <x:f>IF(AND(L285&lt;=L317,L285&lt;=L269,L285&lt;=L301,M285&lt;=M289,M285&lt;=M277,M285&lt;=M281,N285&lt;=N282,N285&lt;=N284,N285&lt;=N283),1,0)</x:f>
        <x:v>0</x:v>
      </x:c>
      <x:c r="R285" s="42" t="n">
        <x:v>0</x:v>
      </x:c>
      <x:c r="S285" s="42" t="n">
        <x:v>0</x:v>
      </x:c>
    </x:row>
    <x:row r="286">
      <x:c r="A286" t="n">
        <x:v>5</x:v>
      </x:c>
      <x:c r="B286" t="n">
        <x:v>1</x:v>
      </x:c>
      <x:c r="C286" t="n">
        <x:v>0</x:v>
      </x:c>
      <x:c r="D286" t="n">
        <x:v>0</x:v>
      </x:c>
      <x:c r="E286" t="str">
        <x:v>lve</x:v>
      </x:c>
      <x:c r="F286" s="45" t="n">
        <x:f>1*$D286</x:f>
        <x:v>0</x:v>
      </x:c>
      <x:c r="G286" s="45" t="n">
        <x:f>2*$B286</x:f>
        <x:v>2</x:v>
      </x:c>
      <x:c r="H286" s="45" t="n">
        <x:f>1*$B286</x:f>
        <x:v>1</x:v>
      </x:c>
      <x:c r="I286" s="45" t="n">
        <x:f>0</x:f>
        <x:v>0</x:v>
      </x:c>
      <x:c r="J286" s="45" t="n">
        <x:f>0</x:f>
        <x:v>0</x:v>
      </x:c>
      <x:c r="K286" s="45" t="n">
        <x:f>0</x:f>
        <x:v>0</x:v>
      </x:c>
      <x:c r="L286" s="45" t="n">
        <x:f>F286+I286</x:f>
        <x:v>0</x:v>
      </x:c>
      <x:c r="M286" s="45" t="n">
        <x:f>G286+J286</x:f>
        <x:v>2</x:v>
      </x:c>
      <x:c r="N286" s="45" t="n">
        <x:f>H286+K286</x:f>
        <x:v>1</x:v>
      </x:c>
      <x:c r="O286" s="45" t="n">
        <x:f>SUM(F286:H286)</x:f>
        <x:v>3</x:v>
      </x:c>
      <x:c r="P286" s="42" t="n">
        <x:f>IF(AND(F286&lt;=F318,F286&lt;=F270,F286&lt;=F302,G286&lt;=G274,G286&lt;=G282,G286&lt;=G278,H286&lt;=H289,H286&lt;=H288,H286&lt;=H287),1,0)</x:f>
        <x:v>0</x:v>
      </x:c>
      <x:c r="Q286" s="42" t="n">
        <x:f>IF(AND(L286&lt;=L318,L286&lt;=L270,L286&lt;=L302,M286&lt;=M274,M286&lt;=M282,M286&lt;=M278,N286&lt;=N289,N286&lt;=N288,N286&lt;=N287),1,0)</x:f>
        <x:v>0</x:v>
      </x:c>
      <x:c r="R286" s="42" t="n">
        <x:v>0</x:v>
      </x:c>
      <x:c r="S286" s="42" t="n">
        <x:v>0</x:v>
      </x:c>
    </x:row>
    <x:row r="287">
      <x:c r="A287" t="n">
        <x:v>5</x:v>
      </x:c>
      <x:c r="B287" t="n">
        <x:v>1</x:v>
      </x:c>
      <x:c r="C287" t="n">
        <x:v>0</x:v>
      </x:c>
      <x:c r="D287" t="n">
        <x:v>0</x:v>
      </x:c>
      <x:c r="E287" t="str">
        <x:v>lvl</x:v>
      </x:c>
      <x:c r="F287" s="45" t="n">
        <x:f>(1/2)*$C287+(3/2)*$D287</x:f>
        <x:v>0</x:v>
      </x:c>
      <x:c r="G287" s="45" t="n">
        <x:f>2*$B287</x:f>
        <x:v>2</x:v>
      </x:c>
      <x:c r="H287" s="45" t="n">
        <x:f>(1/2)*$C287+(3/2)*$D287</x:f>
        <x:v>0</x:v>
      </x:c>
      <x:c r="I287" s="45" t="n">
        <x:f>(1/2)*($C287+$D287)</x:f>
        <x:v>0</x:v>
      </x:c>
      <x:c r="J287" s="45" t="n">
        <x:f>0</x:f>
        <x:v>0</x:v>
      </x:c>
      <x:c r="K287" s="45" t="n">
        <x:f>(1/2)*($C287+$D287)</x:f>
        <x:v>0</x:v>
      </x:c>
      <x:c r="L287" s="45" t="n">
        <x:f>F287+I287</x:f>
        <x:v>0</x:v>
      </x:c>
      <x:c r="M287" s="45" t="n">
        <x:f>G287+J287</x:f>
        <x:v>2</x:v>
      </x:c>
      <x:c r="N287" s="45" t="n">
        <x:f>H287+K287</x:f>
        <x:v>0</x:v>
      </x:c>
      <x:c r="O287" s="45" t="n">
        <x:f>SUM(F287:H287)</x:f>
        <x:v>2</x:v>
      </x:c>
      <x:c r="P287" s="42" t="n">
        <x:f>IF(AND(F287&lt;=F319,F287&lt;=F271,F287&lt;=F303,G287&lt;=G275,G287&lt;=G283,G287&lt;=G279,H287&lt;=H289,H287&lt;=H286,H287&lt;=H288),1,0)</x:f>
        <x:v>0</x:v>
      </x:c>
      <x:c r="Q287" s="42" t="n">
        <x:f>IF(AND(L287&lt;=L319,L287&lt;=L271,L287&lt;=L303,M287&lt;=M275,M287&lt;=M283,M287&lt;=M279,N287&lt;=N289,N287&lt;=N286,N287&lt;=N288),1,0)</x:f>
        <x:v>0</x:v>
      </x:c>
      <x:c r="R287" s="42" t="n">
        <x:v>0</x:v>
      </x:c>
      <x:c r="S287" s="42" t="n">
        <x:v>0</x:v>
      </x:c>
    </x:row>
    <x:row r="288">
      <x:c r="A288" t="n">
        <x:v>5</x:v>
      </x:c>
      <x:c r="B288" t="n">
        <x:v>1</x:v>
      </x:c>
      <x:c r="C288" t="n">
        <x:v>0</x:v>
      </x:c>
      <x:c r="D288" t="n">
        <x:v>0</x:v>
      </x:c>
      <x:c r="E288" t="str">
        <x:v>lvo</x:v>
      </x:c>
      <x:c r="F288" s="45" t="n">
        <x:f>1*$D288</x:f>
        <x:v>0</x:v>
      </x:c>
      <x:c r="G288" s="45" t="n">
        <x:f>2*$B288</x:f>
        <x:v>2</x:v>
      </x:c>
      <x:c r="H288" s="45" t="n">
        <x:f>0</x:f>
        <x:v>0</x:v>
      </x:c>
      <x:c r="I288" s="45" t="n">
        <x:f>0</x:f>
        <x:v>0</x:v>
      </x:c>
      <x:c r="J288" s="45" t="n">
        <x:f>0</x:f>
        <x:v>0</x:v>
      </x:c>
      <x:c r="K288" s="45" t="n">
        <x:f>0</x:f>
        <x:v>0</x:v>
      </x:c>
      <x:c r="L288" s="45" t="n">
        <x:f>F288+I288</x:f>
        <x:v>0</x:v>
      </x:c>
      <x:c r="M288" s="45" t="n">
        <x:f>G288+J288</x:f>
        <x:v>2</x:v>
      </x:c>
      <x:c r="N288" s="45" t="n">
        <x:f>H288+K288</x:f>
        <x:v>0</x:v>
      </x:c>
      <x:c r="O288" s="45" t="n">
        <x:f>SUM(F288:H288)</x:f>
        <x:v>2</x:v>
      </x:c>
      <x:c r="P288" s="42" t="n">
        <x:f>IF(AND(F288&lt;=F320,F288&lt;=F272,F288&lt;=F304,G288&lt;=G276,G288&lt;=G284,G288&lt;=G280,H288&lt;=H289,H288&lt;=H286,H288&lt;=H287),1,0)</x:f>
        <x:v>0</x:v>
      </x:c>
      <x:c r="Q288" s="42" t="n">
        <x:f>IF(AND(L288&lt;=L320,L288&lt;=L272,L288&lt;=L304,M288&lt;=M276,M288&lt;=M284,M288&lt;=M280,N288&lt;=N289,N288&lt;=N286,N288&lt;=N287),1,0)</x:f>
        <x:v>0</x:v>
      </x:c>
      <x:c r="R288" s="42" t="n">
        <x:v>0</x:v>
      </x:c>
      <x:c r="S288" s="42" t="n">
        <x:v>0</x:v>
      </x:c>
    </x:row>
    <x:row r="289">
      <x:c r="A289" t="n">
        <x:v>5</x:v>
      </x:c>
      <x:c r="B289" t="n">
        <x:v>1</x:v>
      </x:c>
      <x:c r="C289" t="n">
        <x:v>0</x:v>
      </x:c>
      <x:c r="D289" t="n">
        <x:v>0</x:v>
      </x:c>
      <x:c r="E289" t="str">
        <x:v>lvv</x:v>
      </x:c>
      <x:c r="F289" s="45" t="n">
        <x:f>1*$D289</x:f>
        <x:v>0</x:v>
      </x:c>
      <x:c r="G289" s="45" t="n">
        <x:f>(3/2)*$B289+(1/2)*$C289</x:f>
        <x:v>1.5</x:v>
      </x:c>
      <x:c r="H289" s="45" t="n">
        <x:f>(3/2)*$B289+(1/2)*$C289</x:f>
        <x:v>1.5</x:v>
      </x:c>
      <x:c r="I289" s="45" t="n">
        <x:f>0</x:f>
        <x:v>0</x:v>
      </x:c>
      <x:c r="J289" s="45" t="n">
        <x:f>MAX((1/2)*($C289-$B289),0)</x:f>
        <x:v>0</x:v>
      </x:c>
      <x:c r="K289" s="45" t="n">
        <x:f>MAX((1/2)*($C289-$B289),0)</x:f>
        <x:v>0</x:v>
      </x:c>
      <x:c r="L289" s="45" t="n">
        <x:f>F289+I289</x:f>
        <x:v>0</x:v>
      </x:c>
      <x:c r="M289" s="45" t="n">
        <x:f>G289+J289</x:f>
        <x:v>1.5</x:v>
      </x:c>
      <x:c r="N289" s="45" t="n">
        <x:f>H289+K289</x:f>
        <x:v>1.5</x:v>
      </x:c>
      <x:c r="O289" s="45" t="n">
        <x:f>SUM(F289:H289)</x:f>
        <x:v>3</x:v>
      </x:c>
      <x:c r="P289" s="42" t="n">
        <x:f>IF(AND(F289&lt;=F321,F289&lt;=F273,F289&lt;=F305,G289&lt;=G277,G289&lt;=G285,G289&lt;=G281,H289&lt;=H286,H289&lt;=H288,H289&lt;=H287),1,0)</x:f>
        <x:v>0</x:v>
      </x:c>
      <x:c r="Q289" s="42" t="n">
        <x:f>IF(AND(L289&lt;=L321,L289&lt;=L273,L289&lt;=L305,M289&lt;=M277,M289&lt;=M285,M289&lt;=M281,N289&lt;=N286,N289&lt;=N288,N289&lt;=N287),1,0)</x:f>
        <x:v>0</x:v>
      </x:c>
      <x:c r="R289" s="42" t="n">
        <x:v>0</x:v>
      </x:c>
      <x:c r="S289" s="42" t="n">
        <x:v>0</x:v>
      </x:c>
    </x:row>
    <x:row r="290">
      <x:c r="A290" t="n">
        <x:v>5</x:v>
      </x:c>
      <x:c r="B290" t="n">
        <x:v>1</x:v>
      </x:c>
      <x:c r="C290" t="n">
        <x:v>0</x:v>
      </x:c>
      <x:c r="D290" t="n">
        <x:v>0</x:v>
      </x:c>
      <x:c r="E290" t="str">
        <x:v>oee</x:v>
      </x:c>
      <x:c r="F290" s="45" t="n">
        <x:f>1*$C290+1*$D290</x:f>
        <x:v>0</x:v>
      </x:c>
      <x:c r="G290" s="45" t="n">
        <x:f>(1/2)*$B290+(1/2)*$C290</x:f>
        <x:v>0.5</x:v>
      </x:c>
      <x:c r="H290" s="45" t="n">
        <x:f>(1/2)*$B290+(1/2)*$C290</x:f>
        <x:v>0.5</x:v>
      </x:c>
      <x:c r="I290" s="45" t="n">
        <x:f>0</x:f>
        <x:v>0</x:v>
      </x:c>
      <x:c r="J290" s="45" t="n">
        <x:f>MAX((3/2)*$C290+$D290-(1/2)*$B290,0)</x:f>
        <x:v>0</x:v>
      </x:c>
      <x:c r="K290" s="45" t="n">
        <x:f>MAX((3/2)*$C290+$D290-(1/2)*$B290,0)</x:f>
        <x:v>0</x:v>
      </x:c>
      <x:c r="L290" s="45" t="n">
        <x:f>F290+I290</x:f>
        <x:v>0</x:v>
      </x:c>
      <x:c r="M290" s="45" t="n">
        <x:f>G290+J290</x:f>
        <x:v>0.5</x:v>
      </x:c>
      <x:c r="N290" s="45" t="n">
        <x:f>H290+K290</x:f>
        <x:v>0.5</x:v>
      </x:c>
      <x:c r="O290" s="45" t="n">
        <x:f>SUM(F290:H290)</x:f>
        <x:v>1</x:v>
      </x:c>
      <x:c r="P290" s="42" t="n">
        <x:f>IF(AND(F290&lt;=F306,F290&lt;=F258,F290&lt;=F274,G290&lt;=G302,G290&lt;=G298,G290&lt;=G294,H290&lt;=H293,H290&lt;=H292,H290&lt;=H291),1,0)</x:f>
        <x:v>0</x:v>
      </x:c>
      <x:c r="Q290" s="42" t="n">
        <x:f>IF(AND(L290&lt;=L306,L290&lt;=L258,L290&lt;=L274,M290&lt;=M302,M290&lt;=M298,M290&lt;=M294,N290&lt;=N293,N290&lt;=N292,N290&lt;=N291),1,0)</x:f>
        <x:v>0</x:v>
      </x:c>
      <x:c r="R290" s="42" t="n">
        <x:v>0</x:v>
      </x:c>
      <x:c r="S290" s="42" t="n">
        <x:v>0</x:v>
      </x:c>
    </x:row>
    <x:row r="291">
      <x:c r="A291" t="n">
        <x:v>5</x:v>
      </x:c>
      <x:c r="B291" t="n">
        <x:v>1</x:v>
      </x:c>
      <x:c r="C291" t="n">
        <x:v>0</x:v>
      </x:c>
      <x:c r="D291" t="n">
        <x:v>0</x:v>
      </x:c>
      <x:c r="E291" t="str">
        <x:v>oel</x:v>
      </x:c>
      <x:c r="F291" s="45" t="n">
        <x:f>0</x:f>
        <x:v>0</x:v>
      </x:c>
      <x:c r="G291" s="45" t="n">
        <x:f>1*$B291</x:f>
        <x:v>1</x:v>
      </x:c>
      <x:c r="H291" s="45" t="n">
        <x:f>1*$D291</x:f>
        <x:v>0</x:v>
      </x:c>
      <x:c r="I291" s="45" t="n">
        <x:f>0</x:f>
        <x:v>0</x:v>
      </x:c>
      <x:c r="J291" s="45" t="n">
        <x:f>0</x:f>
        <x:v>0</x:v>
      </x:c>
      <x:c r="K291" s="45" t="n">
        <x:f>0</x:f>
        <x:v>0</x:v>
      </x:c>
      <x:c r="L291" s="45" t="n">
        <x:f>F291+I291</x:f>
        <x:v>0</x:v>
      </x:c>
      <x:c r="M291" s="45" t="n">
        <x:f>G291+J291</x:f>
        <x:v>1</x:v>
      </x:c>
      <x:c r="N291" s="45" t="n">
        <x:f>H291+K291</x:f>
        <x:v>0</x:v>
      </x:c>
      <x:c r="O291" s="45" t="n">
        <x:f>SUM(F291:H291)</x:f>
        <x:v>1</x:v>
      </x:c>
      <x:c r="P291" s="42" t="n">
        <x:f>IF(AND(F291&lt;=F307,F291&lt;=F259,F291&lt;=F275,G291&lt;=G303,G291&lt;=G299,G291&lt;=G295,H291&lt;=H293,H291&lt;=H290,H291&lt;=H292),1,0)</x:f>
        <x:v>0</x:v>
      </x:c>
      <x:c r="Q291" s="42" t="n">
        <x:f>IF(AND(L291&lt;=L307,L291&lt;=L259,L291&lt;=L275,M291&lt;=M303,M291&lt;=M299,M291&lt;=M295,N291&lt;=N293,N291&lt;=N290,N291&lt;=N292),1,0)</x:f>
        <x:v>0</x:v>
      </x:c>
      <x:c r="R291" s="42" t="n">
        <x:v>0</x:v>
      </x:c>
      <x:c r="S291" s="42" t="n">
        <x:v>0</x:v>
      </x:c>
    </x:row>
    <x:row r="292">
      <x:c r="A292" t="n">
        <x:v>5</x:v>
      </x:c>
      <x:c r="B292" t="n">
        <x:v>1</x:v>
      </x:c>
      <x:c r="C292" t="n">
        <x:v>0</x:v>
      </x:c>
      <x:c r="D292" t="n">
        <x:v>0</x:v>
      </x:c>
      <x:c r="E292" t="str">
        <x:v>oeo</x:v>
      </x:c>
      <x:c r="F292" s="45" t="n">
        <x:f>(1/2)*$C292+(1/2)*$D292</x:f>
        <x:v>0</x:v>
      </x:c>
      <x:c r="G292" s="45" t="n">
        <x:f>1*$B292</x:f>
        <x:v>1</x:v>
      </x:c>
      <x:c r="H292" s="45" t="n">
        <x:f>(1/2)*$C292+(1/2)*$D292</x:f>
        <x:v>0</x:v>
      </x:c>
      <x:c r="I292" s="45" t="n">
        <x:f>(1/2)*($C292+$D292)</x:f>
        <x:v>0</x:v>
      </x:c>
      <x:c r="J292" s="45" t="n">
        <x:f>0</x:f>
        <x:v>0</x:v>
      </x:c>
      <x:c r="K292" s="45" t="n">
        <x:f>(1/2)*($C292+$D292)</x:f>
        <x:v>0</x:v>
      </x:c>
      <x:c r="L292" s="45" t="n">
        <x:f>F292+I292</x:f>
        <x:v>0</x:v>
      </x:c>
      <x:c r="M292" s="45" t="n">
        <x:f>G292+J292</x:f>
        <x:v>1</x:v>
      </x:c>
      <x:c r="N292" s="45" t="n">
        <x:f>H292+K292</x:f>
        <x:v>0</x:v>
      </x:c>
      <x:c r="O292" s="45" t="n">
        <x:f>SUM(F292:H292)</x:f>
        <x:v>1</x:v>
      </x:c>
      <x:c r="P292" s="42" t="n">
        <x:f>IF(AND(F292&lt;=F308,F292&lt;=F260,F292&lt;=F276,G292&lt;=G304,G292&lt;=G300,G292&lt;=G296,H292&lt;=H293,H292&lt;=H290,H292&lt;=H291),1,0)</x:f>
        <x:v>0</x:v>
      </x:c>
      <x:c r="Q292" s="42" t="n">
        <x:f>IF(AND(L292&lt;=L308,L292&lt;=L260,L292&lt;=L276,M292&lt;=M304,M292&lt;=M300,M292&lt;=M296,N292&lt;=N293,N292&lt;=N290,N292&lt;=N291),1,0)</x:f>
        <x:v>0</x:v>
      </x:c>
      <x:c r="R292" s="42" t="n">
        <x:v>0</x:v>
      </x:c>
      <x:c r="S292" s="42" t="n">
        <x:v>0</x:v>
      </x:c>
    </x:row>
    <x:row r="293">
      <x:c r="A293" t="n">
        <x:v>5</x:v>
      </x:c>
      <x:c r="B293" t="n">
        <x:v>1</x:v>
      </x:c>
      <x:c r="C293" t="n">
        <x:v>0</x:v>
      </x:c>
      <x:c r="D293" t="n">
        <x:v>0</x:v>
      </x:c>
      <x:c r="E293" t="str">
        <x:v>oev</x:v>
      </x:c>
      <x:c r="F293" s="45" t="n">
        <x:f>0</x:f>
        <x:v>0</x:v>
      </x:c>
      <x:c r="G293" s="45" t="n">
        <x:f>1*$B293</x:f>
        <x:v>1</x:v>
      </x:c>
      <x:c r="H293" s="45" t="n">
        <x:f>2*$B293</x:f>
        <x:v>2</x:v>
      </x:c>
      <x:c r="I293" s="45" t="n">
        <x:f>0</x:f>
        <x:v>0</x:v>
      </x:c>
      <x:c r="J293" s="45" t="n">
        <x:f>0</x:f>
        <x:v>0</x:v>
      </x:c>
      <x:c r="K293" s="45" t="n">
        <x:f>0</x:f>
        <x:v>0</x:v>
      </x:c>
      <x:c r="L293" s="45" t="n">
        <x:f>F293+I293</x:f>
        <x:v>0</x:v>
      </x:c>
      <x:c r="M293" s="45" t="n">
        <x:f>G293+J293</x:f>
        <x:v>1</x:v>
      </x:c>
      <x:c r="N293" s="45" t="n">
        <x:f>H293+K293</x:f>
        <x:v>2</x:v>
      </x:c>
      <x:c r="O293" s="45" t="n">
        <x:f>SUM(F293:H293)</x:f>
        <x:v>3</x:v>
      </x:c>
      <x:c r="P293" s="42" t="n">
        <x:f>IF(AND(F293&lt;=F309,F293&lt;=F261,F293&lt;=F277,G293&lt;=G305,G293&lt;=G301,G293&lt;=G297,H293&lt;=H290,H293&lt;=H292,H293&lt;=H291),1,0)</x:f>
        <x:v>0</x:v>
      </x:c>
      <x:c r="Q293" s="42" t="n">
        <x:f>IF(AND(L293&lt;=L309,L293&lt;=L261,L293&lt;=L277,M293&lt;=M305,M293&lt;=M301,M293&lt;=M297,N293&lt;=N290,N293&lt;=N292,N293&lt;=N291),1,0)</x:f>
        <x:v>0</x:v>
      </x:c>
      <x:c r="R293" s="42" t="n">
        <x:v>0</x:v>
      </x:c>
      <x:c r="S293" s="42" t="n">
        <x:v>0</x:v>
      </x:c>
    </x:row>
    <x:row r="294">
      <x:c r="A294" t="n">
        <x:v>5</x:v>
      </x:c>
      <x:c r="B294" t="n">
        <x:v>1</x:v>
      </x:c>
      <x:c r="C294" t="n">
        <x:v>0</x:v>
      </x:c>
      <x:c r="D294" t="n">
        <x:v>0</x:v>
      </x:c>
      <x:c r="E294" t="str">
        <x:v>ole</x:v>
      </x:c>
      <x:c r="F294" s="45" t="n">
        <x:f>0</x:f>
        <x:v>0</x:v>
      </x:c>
      <x:c r="G294" s="45" t="n">
        <x:f>1*$D294</x:f>
        <x:v>0</x:v>
      </x:c>
      <x:c r="H294" s="45" t="n">
        <x:f>1*$B294</x:f>
        <x:v>1</x:v>
      </x:c>
      <x:c r="I294" s="45" t="n">
        <x:f>0</x:f>
        <x:v>0</x:v>
      </x:c>
      <x:c r="J294" s="45" t="n">
        <x:f>0</x:f>
        <x:v>0</x:v>
      </x:c>
      <x:c r="K294" s="45" t="n">
        <x:f>0</x:f>
        <x:v>0</x:v>
      </x:c>
      <x:c r="L294" s="45" t="n">
        <x:f>F294+I294</x:f>
        <x:v>0</x:v>
      </x:c>
      <x:c r="M294" s="45" t="n">
        <x:f>G294+J294</x:f>
        <x:v>0</x:v>
      </x:c>
      <x:c r="N294" s="45" t="n">
        <x:f>H294+K294</x:f>
        <x:v>1</x:v>
      </x:c>
      <x:c r="O294" s="45" t="n">
        <x:f>SUM(F294:H294)</x:f>
        <x:v>1</x:v>
      </x:c>
      <x:c r="P294" s="42" t="n">
        <x:f>IF(AND(F294&lt;=F310,F294&lt;=F262,F294&lt;=F278,G294&lt;=G302,G294&lt;=G290,G294&lt;=G298,H294&lt;=H297,H294&lt;=H296,H294&lt;=H295),1,0)</x:f>
        <x:v>0</x:v>
      </x:c>
      <x:c r="Q294" s="42" t="n">
        <x:f>IF(AND(L294&lt;=L310,L294&lt;=L262,L294&lt;=L278,M294&lt;=M302,M294&lt;=M290,M294&lt;=M298,N294&lt;=N297,N294&lt;=N296,N294&lt;=N295),1,0)</x:f>
        <x:v>0</x:v>
      </x:c>
      <x:c r="R294" s="42" t="n">
        <x:v>0</x:v>
      </x:c>
      <x:c r="S294" s="42" t="n">
        <x:v>0</x:v>
      </x:c>
    </x:row>
    <x:row r="295">
      <x:c r="A295" t="n">
        <x:v>5</x:v>
      </x:c>
      <x:c r="B295" t="n">
        <x:v>1</x:v>
      </x:c>
      <x:c r="C295" t="n">
        <x:v>0</x:v>
      </x:c>
      <x:c r="D295" t="n">
        <x:v>0</x:v>
      </x:c>
      <x:c r="E295" t="str">
        <x:v>oll</x:v>
      </x:c>
      <x:c r="F295" s="45" t="n">
        <x:f>0</x:f>
        <x:v>0</x:v>
      </x:c>
      <x:c r="G295" s="45" t="n">
        <x:f>(1/2)*$C295+(3/2)*$D295</x:f>
        <x:v>0</x:v>
      </x:c>
      <x:c r="H295" s="45" t="n">
        <x:f>(1/2)*$C295+(3/2)*$D295</x:f>
        <x:v>0</x:v>
      </x:c>
      <x:c r="I295" s="45" t="n">
        <x:f>0</x:f>
        <x:v>0</x:v>
      </x:c>
      <x:c r="J295" s="45" t="n">
        <x:f>(1/2)*($C295+$D295)</x:f>
        <x:v>0</x:v>
      </x:c>
      <x:c r="K295" s="45" t="n">
        <x:f>(1/2)*($C295+$D295)</x:f>
        <x:v>0</x:v>
      </x:c>
      <x:c r="L295" s="45" t="n">
        <x:f>F295+I295</x:f>
        <x:v>0</x:v>
      </x:c>
      <x:c r="M295" s="45" t="n">
        <x:f>G295+J295</x:f>
        <x:v>0</x:v>
      </x:c>
      <x:c r="N295" s="45" t="n">
        <x:f>H295+K295</x:f>
        <x:v>0</x:v>
      </x:c>
      <x:c r="O295" s="45" t="n">
        <x:f>SUM(F295:H295)</x:f>
        <x:v>0</x:v>
      </x:c>
      <x:c r="P295" s="42" t="n">
        <x:f>IF(AND(F295&lt;=F311,F295&lt;=F263,F295&lt;=F279,G295&lt;=G303,G295&lt;=G291,G295&lt;=G299,H295&lt;=H297,H295&lt;=H294,H295&lt;=H296),1,0)</x:f>
        <x:v>1</x:v>
      </x:c>
      <x:c r="Q295" s="42" t="n">
        <x:f>IF(AND(L295&lt;=L311,L295&lt;=L263,L295&lt;=L279,M295&lt;=M303,M295&lt;=M291,M295&lt;=M299,N295&lt;=N297,N295&lt;=N294,N295&lt;=N296),1,0)</x:f>
        <x:v>1</x:v>
      </x:c>
      <x:c r="R295" s="42" t="n">
        <x:v>1</x:v>
      </x:c>
      <x:c r="S295" s="42" t="n">
        <x:v>1</x:v>
      </x:c>
    </x:row>
    <x:row r="296">
      <x:c r="A296" t="n">
        <x:v>5</x:v>
      </x:c>
      <x:c r="B296" t="n">
        <x:v>1</x:v>
      </x:c>
      <x:c r="C296" t="n">
        <x:v>0</x:v>
      </x:c>
      <x:c r="D296" t="n">
        <x:v>0</x:v>
      </x:c>
      <x:c r="E296" t="str">
        <x:v>olo</x:v>
      </x:c>
      <x:c r="F296" s="45" t="n">
        <x:f>(1/2)*$C296+(1/2)*$D296</x:f>
        <x:v>0</x:v>
      </x:c>
      <x:c r="G296" s="45" t="n">
        <x:f>1*$C296+2*$D296</x:f>
        <x:v>0</x:v>
      </x:c>
      <x:c r="H296" s="45" t="n">
        <x:f>(1/2)*$C296+(1/2)*$D296</x:f>
        <x:v>0</x:v>
      </x:c>
      <x:c r="I296" s="45" t="n">
        <x:f>(3/2)*($C296+$D296)</x:f>
        <x:v>0</x:v>
      </x:c>
      <x:c r="J296" s="45" t="n">
        <x:f>0</x:f>
        <x:v>0</x:v>
      </x:c>
      <x:c r="K296" s="45" t="n">
        <x:f>(3/2)*($C296+$D296)</x:f>
        <x:v>0</x:v>
      </x:c>
      <x:c r="L296" s="45" t="n">
        <x:f>F296+I296</x:f>
        <x:v>0</x:v>
      </x:c>
      <x:c r="M296" s="45" t="n">
        <x:f>G296+J296</x:f>
        <x:v>0</x:v>
      </x:c>
      <x:c r="N296" s="45" t="n">
        <x:f>H296+K296</x:f>
        <x:v>0</x:v>
      </x:c>
      <x:c r="O296" s="45" t="n">
        <x:f>SUM(F296:H296)</x:f>
        <x:v>0</x:v>
      </x:c>
      <x:c r="P296" s="42" t="n">
        <x:f>IF(AND(F296&lt;=F312,F296&lt;=F264,F296&lt;=F280,G296&lt;=G304,G296&lt;=G292,G296&lt;=G300,H296&lt;=H297,H296&lt;=H294,H296&lt;=H295),1,0)</x:f>
        <x:v>1</x:v>
      </x:c>
      <x:c r="Q296" s="42" t="n">
        <x:f>IF(AND(L296&lt;=L312,L296&lt;=L264,L296&lt;=L280,M296&lt;=M304,M296&lt;=M292,M296&lt;=M300,N296&lt;=N297,N296&lt;=N294,N296&lt;=N295),1,0)</x:f>
        <x:v>1</x:v>
      </x:c>
      <x:c r="R296" s="42" t="n">
        <x:v>1</x:v>
      </x:c>
      <x:c r="S296" s="42" t="n">
        <x:v>1</x:v>
      </x:c>
    </x:row>
    <x:row r="297">
      <x:c r="A297" t="n">
        <x:v>5</x:v>
      </x:c>
      <x:c r="B297" t="n">
        <x:v>1</x:v>
      </x:c>
      <x:c r="C297" t="n">
        <x:v>0</x:v>
      </x:c>
      <x:c r="D297" t="n">
        <x:v>0</x:v>
      </x:c>
      <x:c r="E297" t="str">
        <x:v>olv</x:v>
      </x:c>
      <x:c r="F297" s="45" t="n">
        <x:f>0</x:f>
        <x:v>0</x:v>
      </x:c>
      <x:c r="G297" s="45" t="n">
        <x:f>1*$D297</x:f>
        <x:v>0</x:v>
      </x:c>
      <x:c r="H297" s="45" t="n">
        <x:f>2*$B297</x:f>
        <x:v>2</x:v>
      </x:c>
      <x:c r="I297" s="45" t="n">
        <x:f>0</x:f>
        <x:v>0</x:v>
      </x:c>
      <x:c r="J297" s="45" t="n">
        <x:f>0</x:f>
        <x:v>0</x:v>
      </x:c>
      <x:c r="K297" s="45" t="n">
        <x:f>0</x:f>
        <x:v>0</x:v>
      </x:c>
      <x:c r="L297" s="45" t="n">
        <x:f>F297+I297</x:f>
        <x:v>0</x:v>
      </x:c>
      <x:c r="M297" s="45" t="n">
        <x:f>G297+J297</x:f>
        <x:v>0</x:v>
      </x:c>
      <x:c r="N297" s="45" t="n">
        <x:f>H297+K297</x:f>
        <x:v>2</x:v>
      </x:c>
      <x:c r="O297" s="45" t="n">
        <x:f>SUM(F297:H297)</x:f>
        <x:v>2</x:v>
      </x:c>
      <x:c r="P297" s="42" t="n">
        <x:f>IF(AND(F297&lt;=F313,F297&lt;=F265,F297&lt;=F281,G297&lt;=G305,G297&lt;=G293,G297&lt;=G301,H297&lt;=H294,H297&lt;=H296,H297&lt;=H295),1,0)</x:f>
        <x:v>0</x:v>
      </x:c>
      <x:c r="Q297" s="42" t="n">
        <x:f>IF(AND(L297&lt;=L313,L297&lt;=L265,L297&lt;=L281,M297&lt;=M305,M297&lt;=M293,M297&lt;=M301,N297&lt;=N294,N297&lt;=N296,N297&lt;=N295),1,0)</x:f>
        <x:v>0</x:v>
      </x:c>
      <x:c r="R297" s="42" t="n">
        <x:v>0</x:v>
      </x:c>
      <x:c r="S297" s="42" t="n">
        <x:v>0</x:v>
      </x:c>
    </x:row>
    <x:row r="298">
      <x:c r="A298" t="n">
        <x:v>5</x:v>
      </x:c>
      <x:c r="B298" t="n">
        <x:v>1</x:v>
      </x:c>
      <x:c r="C298" t="n">
        <x:v>0</x:v>
      </x:c>
      <x:c r="D298" t="n">
        <x:v>0</x:v>
      </x:c>
      <x:c r="E298" t="str">
        <x:v>ooe</x:v>
      </x:c>
      <x:c r="F298" s="45" t="n">
        <x:f>(1/2)*$C298+(1/2)*$D298</x:f>
        <x:v>0</x:v>
      </x:c>
      <x:c r="G298" s="45" t="n">
        <x:f>(1/2)*$C298+(1/2)*$D298</x:f>
        <x:v>0</x:v>
      </x:c>
      <x:c r="H298" s="45" t="n">
        <x:f>1*$B298</x:f>
        <x:v>1</x:v>
      </x:c>
      <x:c r="I298" s="45" t="n">
        <x:f>(1/2)*($C298+$D298)</x:f>
        <x:v>0</x:v>
      </x:c>
      <x:c r="J298" s="45" t="n">
        <x:f>(1/2)*($C298+$D298)</x:f>
        <x:v>0</x:v>
      </x:c>
      <x:c r="K298" s="45" t="n">
        <x:f>0</x:f>
        <x:v>0</x:v>
      </x:c>
      <x:c r="L298" s="45" t="n">
        <x:f>F298+I298</x:f>
        <x:v>0</x:v>
      </x:c>
      <x:c r="M298" s="45" t="n">
        <x:f>G298+J298</x:f>
        <x:v>0</x:v>
      </x:c>
      <x:c r="N298" s="45" t="n">
        <x:f>H298+K298</x:f>
        <x:v>1</x:v>
      </x:c>
      <x:c r="O298" s="45" t="n">
        <x:f>SUM(F298:H298)</x:f>
        <x:v>1</x:v>
      </x:c>
      <x:c r="P298" s="42" t="n">
        <x:f>IF(AND(F298&lt;=F314,F298&lt;=F266,F298&lt;=F282,G298&lt;=G302,G298&lt;=G290,G298&lt;=G294,H298&lt;=H301,H298&lt;=H300,H298&lt;=H299),1,0)</x:f>
        <x:v>0</x:v>
      </x:c>
      <x:c r="Q298" s="42" t="n">
        <x:f>IF(AND(L298&lt;=L314,L298&lt;=L266,L298&lt;=L282,M298&lt;=M302,M298&lt;=M290,M298&lt;=M294,N298&lt;=N301,N298&lt;=N300,N298&lt;=N299),1,0)</x:f>
        <x:v>0</x:v>
      </x:c>
      <x:c r="R298" s="42" t="n">
        <x:v>0</x:v>
      </x:c>
      <x:c r="S298" s="42" t="n">
        <x:v>0</x:v>
      </x:c>
    </x:row>
    <x:row r="299">
      <x:c r="A299" t="n">
        <x:v>5</x:v>
      </x:c>
      <x:c r="B299" t="n">
        <x:v>1</x:v>
      </x:c>
      <x:c r="C299" t="n">
        <x:v>0</x:v>
      </x:c>
      <x:c r="D299" t="n">
        <x:v>0</x:v>
      </x:c>
      <x:c r="E299" t="str">
        <x:v>ool</x:v>
      </x:c>
      <x:c r="F299" s="45" t="n">
        <x:f>(1/2)*$C299+(1/2)*$D299</x:f>
        <x:v>0</x:v>
      </x:c>
      <x:c r="G299" s="45" t="n">
        <x:f>(1/2)*$C299+(1/2)*$D299</x:f>
        <x:v>0</x:v>
      </x:c>
      <x:c r="H299" s="45" t="n">
        <x:f>1*$C299+2*$D299</x:f>
        <x:v>0</x:v>
      </x:c>
      <x:c r="I299" s="45" t="n">
        <x:f>(3/2)*($C299+$D299)</x:f>
        <x:v>0</x:v>
      </x:c>
      <x:c r="J299" s="45" t="n">
        <x:f>(3/2)*($C299+$D299)</x:f>
        <x:v>0</x:v>
      </x:c>
      <x:c r="K299" s="45" t="n">
        <x:f>0</x:f>
        <x:v>0</x:v>
      </x:c>
      <x:c r="L299" s="45" t="n">
        <x:f>F299+I299</x:f>
        <x:v>0</x:v>
      </x:c>
      <x:c r="M299" s="45" t="n">
        <x:f>G299+J299</x:f>
        <x:v>0</x:v>
      </x:c>
      <x:c r="N299" s="45" t="n">
        <x:f>H299+K299</x:f>
        <x:v>0</x:v>
      </x:c>
      <x:c r="O299" s="45" t="n">
        <x:f>SUM(F299:H299)</x:f>
        <x:v>0</x:v>
      </x:c>
      <x:c r="P299" s="42" t="n">
        <x:f>IF(AND(F299&lt;=F315,F299&lt;=F267,F299&lt;=F283,G299&lt;=G303,G299&lt;=G291,G299&lt;=G295,H299&lt;=H301,H299&lt;=H298,H299&lt;=H300),1,0)</x:f>
        <x:v>1</x:v>
      </x:c>
      <x:c r="Q299" s="42" t="n">
        <x:f>IF(AND(L299&lt;=L315,L299&lt;=L267,L299&lt;=L283,M299&lt;=M303,M299&lt;=M291,M299&lt;=M295,N299&lt;=N301,N299&lt;=N298,N299&lt;=N300),1,0)</x:f>
        <x:v>1</x:v>
      </x:c>
      <x:c r="R299" s="42" t="n">
        <x:v>1</x:v>
      </x:c>
      <x:c r="S299" s="42" t="n">
        <x:v>1</x:v>
      </x:c>
    </x:row>
    <x:row r="300">
      <x:c r="A300" t="n">
        <x:v>5</x:v>
      </x:c>
      <x:c r="B300" t="n">
        <x:v>1</x:v>
      </x:c>
      <x:c r="C300" t="n">
        <x:v>0</x:v>
      </x:c>
      <x:c r="D300" t="n">
        <x:v>0</x:v>
      </x:c>
      <x:c r="E300" t="str">
        <x:v>ooo</x:v>
      </x:c>
      <x:c r="F300" s="45" t="n">
        <x:f>1*$C300+1*$D300</x:f>
        <x:v>0</x:v>
      </x:c>
      <x:c r="G300" s="45" t="n">
        <x:f>1*$C300+1*$D300</x:f>
        <x:v>0</x:v>
      </x:c>
      <x:c r="H300" s="45" t="n">
        <x:f>1*$C300+1*$D300</x:f>
        <x:v>0</x:v>
      </x:c>
      <x:c r="I300" s="45" t="n">
        <x:f>$C300+$D300</x:f>
        <x:v>0</x:v>
      </x:c>
      <x:c r="J300" s="45" t="n">
        <x:f>$C300+$D300</x:f>
        <x:v>0</x:v>
      </x:c>
      <x:c r="K300" s="45" t="n">
        <x:f>$C300+$D300</x:f>
        <x:v>0</x:v>
      </x:c>
      <x:c r="L300" s="45" t="n">
        <x:f>F300+I300</x:f>
        <x:v>0</x:v>
      </x:c>
      <x:c r="M300" s="45" t="n">
        <x:f>G300+J300</x:f>
        <x:v>0</x:v>
      </x:c>
      <x:c r="N300" s="45" t="n">
        <x:f>H300+K300</x:f>
        <x:v>0</x:v>
      </x:c>
      <x:c r="O300" s="45" t="n">
        <x:f>SUM(F300:H300)</x:f>
        <x:v>0</x:v>
      </x:c>
      <x:c r="P300" s="42" t="n">
        <x:f>IF(AND(F300&lt;=F316,F300&lt;=F268,F300&lt;=F284,G300&lt;=G304,G300&lt;=G292,G300&lt;=G296,H300&lt;=H301,H300&lt;=H298,H300&lt;=H299),1,0)</x:f>
        <x:v>1</x:v>
      </x:c>
      <x:c r="Q300" s="42" t="n">
        <x:f>IF(AND(L300&lt;=L316,L300&lt;=L268,L300&lt;=L284,M300&lt;=M304,M300&lt;=M292,M300&lt;=M296,N300&lt;=N301,N300&lt;=N298,N300&lt;=N299),1,0)</x:f>
        <x:v>1</x:v>
      </x:c>
      <x:c r="R300" s="42" t="n">
        <x:v>1</x:v>
      </x:c>
      <x:c r="S300" s="42" t="n">
        <x:v>1</x:v>
      </x:c>
    </x:row>
    <x:row r="301">
      <x:c r="A301" t="n">
        <x:v>5</x:v>
      </x:c>
      <x:c r="B301" t="n">
        <x:v>1</x:v>
      </x:c>
      <x:c r="C301" t="n">
        <x:v>0</x:v>
      </x:c>
      <x:c r="D301" t="n">
        <x:v>0</x:v>
      </x:c>
      <x:c r="E301" t="str">
        <x:v>oov</x:v>
      </x:c>
      <x:c r="F301" s="45" t="n">
        <x:f>(1/2)*$C301+(1/2)*$D301</x:f>
        <x:v>0</x:v>
      </x:c>
      <x:c r="G301" s="45" t="n">
        <x:f>(1/2)*$C301+(1/2)*$D301</x:f>
        <x:v>0</x:v>
      </x:c>
      <x:c r="H301" s="45" t="n">
        <x:f>2*$B301</x:f>
        <x:v>2</x:v>
      </x:c>
      <x:c r="I301" s="45" t="n">
        <x:f>(1/2)*($C301+$D301)</x:f>
        <x:v>0</x:v>
      </x:c>
      <x:c r="J301" s="45" t="n">
        <x:f>(1/2)*($C301+$D301)</x:f>
        <x:v>0</x:v>
      </x:c>
      <x:c r="K301" s="45" t="n">
        <x:f>0</x:f>
        <x:v>0</x:v>
      </x:c>
      <x:c r="L301" s="45" t="n">
        <x:f>F301+I301</x:f>
        <x:v>0</x:v>
      </x:c>
      <x:c r="M301" s="45" t="n">
        <x:f>G301+J301</x:f>
        <x:v>0</x:v>
      </x:c>
      <x:c r="N301" s="45" t="n">
        <x:f>H301+K301</x:f>
        <x:v>2</x:v>
      </x:c>
      <x:c r="O301" s="45" t="n">
        <x:f>SUM(F301:H301)</x:f>
        <x:v>2</x:v>
      </x:c>
      <x:c r="P301" s="42" t="n">
        <x:f>IF(AND(F301&lt;=F317,F301&lt;=F269,F301&lt;=F285,G301&lt;=G305,G301&lt;=G293,G301&lt;=G297,H301&lt;=H298,H301&lt;=H300,H301&lt;=H299),1,0)</x:f>
        <x:v>0</x:v>
      </x:c>
      <x:c r="Q301" s="42" t="n">
        <x:f>IF(AND(L301&lt;=L317,L301&lt;=L269,L301&lt;=L285,M301&lt;=M305,M301&lt;=M293,M301&lt;=M297,N301&lt;=N298,N301&lt;=N300,N301&lt;=N299),1,0)</x:f>
        <x:v>0</x:v>
      </x:c>
      <x:c r="R301" s="42" t="n">
        <x:v>0</x:v>
      </x:c>
      <x:c r="S301" s="42" t="n">
        <x:v>0</x:v>
      </x:c>
    </x:row>
    <x:row r="302">
      <x:c r="A302" t="n">
        <x:v>5</x:v>
      </x:c>
      <x:c r="B302" t="n">
        <x:v>1</x:v>
      </x:c>
      <x:c r="C302" t="n">
        <x:v>0</x:v>
      </x:c>
      <x:c r="D302" t="n">
        <x:v>0</x:v>
      </x:c>
      <x:c r="E302" t="str">
        <x:v>ove</x:v>
      </x:c>
      <x:c r="F302" s="45" t="n">
        <x:f>0</x:f>
        <x:v>0</x:v>
      </x:c>
      <x:c r="G302" s="45" t="n">
        <x:f>2*$B302</x:f>
        <x:v>2</x:v>
      </x:c>
      <x:c r="H302" s="45" t="n">
        <x:f>1*$B302</x:f>
        <x:v>1</x:v>
      </x:c>
      <x:c r="I302" s="45" t="n">
        <x:f>0</x:f>
        <x:v>0</x:v>
      </x:c>
      <x:c r="J302" s="45" t="n">
        <x:f>0</x:f>
        <x:v>0</x:v>
      </x:c>
      <x:c r="K302" s="45" t="n">
        <x:f>0</x:f>
        <x:v>0</x:v>
      </x:c>
      <x:c r="L302" s="45" t="n">
        <x:f>F302+I302</x:f>
        <x:v>0</x:v>
      </x:c>
      <x:c r="M302" s="45" t="n">
        <x:f>G302+J302</x:f>
        <x:v>2</x:v>
      </x:c>
      <x:c r="N302" s="45" t="n">
        <x:f>H302+K302</x:f>
        <x:v>1</x:v>
      </x:c>
      <x:c r="O302" s="45" t="n">
        <x:f>SUM(F302:H302)</x:f>
        <x:v>3</x:v>
      </x:c>
      <x:c r="P302" s="42" t="n">
        <x:f>IF(AND(F302&lt;=F318,F302&lt;=F270,F302&lt;=F286,G302&lt;=G290,G302&lt;=G298,G302&lt;=G294,H302&lt;=H305,H302&lt;=H304,H302&lt;=H303),1,0)</x:f>
        <x:v>0</x:v>
      </x:c>
      <x:c r="Q302" s="42" t="n">
        <x:f>IF(AND(L302&lt;=L318,L302&lt;=L270,L302&lt;=L286,M302&lt;=M290,M302&lt;=M298,M302&lt;=M294,N302&lt;=N305,N302&lt;=N304,N302&lt;=N303),1,0)</x:f>
        <x:v>0</x:v>
      </x:c>
      <x:c r="R302" s="42" t="n">
        <x:v>0</x:v>
      </x:c>
      <x:c r="S302" s="42" t="n">
        <x:v>0</x:v>
      </x:c>
    </x:row>
    <x:row r="303">
      <x:c r="A303" t="n">
        <x:v>5</x:v>
      </x:c>
      <x:c r="B303" t="n">
        <x:v>1</x:v>
      </x:c>
      <x:c r="C303" t="n">
        <x:v>0</x:v>
      </x:c>
      <x:c r="D303" t="n">
        <x:v>0</x:v>
      </x:c>
      <x:c r="E303" t="str">
        <x:v>ovl</x:v>
      </x:c>
      <x:c r="F303" s="45" t="n">
        <x:f>0</x:f>
        <x:v>0</x:v>
      </x:c>
      <x:c r="G303" s="45" t="n">
        <x:f>2*$B303</x:f>
        <x:v>2</x:v>
      </x:c>
      <x:c r="H303" s="45" t="n">
        <x:f>1*$D303</x:f>
        <x:v>0</x:v>
      </x:c>
      <x:c r="I303" s="45" t="n">
        <x:f>0</x:f>
        <x:v>0</x:v>
      </x:c>
      <x:c r="J303" s="45" t="n">
        <x:f>0</x:f>
        <x:v>0</x:v>
      </x:c>
      <x:c r="K303" s="45" t="n">
        <x:f>0</x:f>
        <x:v>0</x:v>
      </x:c>
      <x:c r="L303" s="45" t="n">
        <x:f>F303+I303</x:f>
        <x:v>0</x:v>
      </x:c>
      <x:c r="M303" s="45" t="n">
        <x:f>G303+J303</x:f>
        <x:v>2</x:v>
      </x:c>
      <x:c r="N303" s="45" t="n">
        <x:f>H303+K303</x:f>
        <x:v>0</x:v>
      </x:c>
      <x:c r="O303" s="45" t="n">
        <x:f>SUM(F303:H303)</x:f>
        <x:v>2</x:v>
      </x:c>
      <x:c r="P303" s="42" t="n">
        <x:f>IF(AND(F303&lt;=F319,F303&lt;=F271,F303&lt;=F287,G303&lt;=G291,G303&lt;=G299,G303&lt;=G295,H303&lt;=H305,H303&lt;=H302,H303&lt;=H304),1,0)</x:f>
        <x:v>0</x:v>
      </x:c>
      <x:c r="Q303" s="42" t="n">
        <x:f>IF(AND(L303&lt;=L319,L303&lt;=L271,L303&lt;=L287,M303&lt;=M291,M303&lt;=M299,M303&lt;=M295,N303&lt;=N305,N303&lt;=N302,N303&lt;=N304),1,0)</x:f>
        <x:v>0</x:v>
      </x:c>
      <x:c r="R303" s="42" t="n">
        <x:v>0</x:v>
      </x:c>
      <x:c r="S303" s="42" t="n">
        <x:v>0</x:v>
      </x:c>
    </x:row>
    <x:row r="304">
      <x:c r="A304" t="n">
        <x:v>5</x:v>
      </x:c>
      <x:c r="B304" t="n">
        <x:v>1</x:v>
      </x:c>
      <x:c r="C304" t="n">
        <x:v>0</x:v>
      </x:c>
      <x:c r="D304" t="n">
        <x:v>0</x:v>
      </x:c>
      <x:c r="E304" t="str">
        <x:v>ovo</x:v>
      </x:c>
      <x:c r="F304" s="45" t="n">
        <x:f>(1/2)*$C304+(1/2)*$D304</x:f>
        <x:v>0</x:v>
      </x:c>
      <x:c r="G304" s="45" t="n">
        <x:f>2*$B304</x:f>
        <x:v>2</x:v>
      </x:c>
      <x:c r="H304" s="45" t="n">
        <x:f>(1/2)*$C304+(1/2)*$D304</x:f>
        <x:v>0</x:v>
      </x:c>
      <x:c r="I304" s="45" t="n">
        <x:f>(1/2)*($C304+$D304)</x:f>
        <x:v>0</x:v>
      </x:c>
      <x:c r="J304" s="45" t="n">
        <x:f>0</x:f>
        <x:v>0</x:v>
      </x:c>
      <x:c r="K304" s="45" t="n">
        <x:f>(1/2)*($C304+$D304)</x:f>
        <x:v>0</x:v>
      </x:c>
      <x:c r="L304" s="45" t="n">
        <x:f>F304+I304</x:f>
        <x:v>0</x:v>
      </x:c>
      <x:c r="M304" s="45" t="n">
        <x:f>G304+J304</x:f>
        <x:v>2</x:v>
      </x:c>
      <x:c r="N304" s="45" t="n">
        <x:f>H304+K304</x:f>
        <x:v>0</x:v>
      </x:c>
      <x:c r="O304" s="45" t="n">
        <x:f>SUM(F304:H304)</x:f>
        <x:v>2</x:v>
      </x:c>
      <x:c r="P304" s="42" t="n">
        <x:f>IF(AND(F304&lt;=F320,F304&lt;=F272,F304&lt;=F288,G304&lt;=G292,G304&lt;=G300,G304&lt;=G296,H304&lt;=H305,H304&lt;=H302,H304&lt;=H303),1,0)</x:f>
        <x:v>0</x:v>
      </x:c>
      <x:c r="Q304" s="42" t="n">
        <x:f>IF(AND(L304&lt;=L320,L304&lt;=L272,L304&lt;=L288,M304&lt;=M292,M304&lt;=M300,M304&lt;=M296,N304&lt;=N305,N304&lt;=N302,N304&lt;=N303),1,0)</x:f>
        <x:v>0</x:v>
      </x:c>
      <x:c r="R304" s="42" t="n">
        <x:v>0</x:v>
      </x:c>
      <x:c r="S304" s="42" t="n">
        <x:v>0</x:v>
      </x:c>
    </x:row>
    <x:row r="305">
      <x:c r="A305" t="n">
        <x:v>5</x:v>
      </x:c>
      <x:c r="B305" t="n">
        <x:v>1</x:v>
      </x:c>
      <x:c r="C305" t="n">
        <x:v>0</x:v>
      </x:c>
      <x:c r="D305" t="n">
        <x:v>0</x:v>
      </x:c>
      <x:c r="E305" t="str">
        <x:v>ovv</x:v>
      </x:c>
      <x:c r="F305" s="45" t="n">
        <x:f>0</x:f>
        <x:v>0</x:v>
      </x:c>
      <x:c r="G305" s="45" t="n">
        <x:f>(3/2)*$B305+(1/2)*$C305</x:f>
        <x:v>1.5</x:v>
      </x:c>
      <x:c r="H305" s="45" t="n">
        <x:f>(3/2)*$B305+(1/2)*$C305</x:f>
        <x:v>1.5</x:v>
      </x:c>
      <x:c r="I305" s="45" t="n">
        <x:f>0</x:f>
        <x:v>0</x:v>
      </x:c>
      <x:c r="J305" s="45" t="n">
        <x:f>MAX((1/2)*($C305-$B305),0)</x:f>
        <x:v>0</x:v>
      </x:c>
      <x:c r="K305" s="45" t="n">
        <x:f>MAX((1/2)*($C305-$B305),0)</x:f>
        <x:v>0</x:v>
      </x:c>
      <x:c r="L305" s="45" t="n">
        <x:f>F305+I305</x:f>
        <x:v>0</x:v>
      </x:c>
      <x:c r="M305" s="45" t="n">
        <x:f>G305+J305</x:f>
        <x:v>1.5</x:v>
      </x:c>
      <x:c r="N305" s="45" t="n">
        <x:f>H305+K305</x:f>
        <x:v>1.5</x:v>
      </x:c>
      <x:c r="O305" s="45" t="n">
        <x:f>SUM(F305:H305)</x:f>
        <x:v>3</x:v>
      </x:c>
      <x:c r="P305" s="42" t="n">
        <x:f>IF(AND(F305&lt;=F321,F305&lt;=F273,F305&lt;=F289,G305&lt;=G293,G305&lt;=G301,G305&lt;=G297,H305&lt;=H302,H305&lt;=H304,H305&lt;=H303),1,0)</x:f>
        <x:v>0</x:v>
      </x:c>
      <x:c r="Q305" s="42" t="n">
        <x:f>IF(AND(L305&lt;=L321,L305&lt;=L273,L305&lt;=L289,M305&lt;=M293,M305&lt;=M301,M305&lt;=M297,N305&lt;=N302,N305&lt;=N304,N305&lt;=N303),1,0)</x:f>
        <x:v>0</x:v>
      </x:c>
      <x:c r="R305" s="42" t="n">
        <x:v>0</x:v>
      </x:c>
      <x:c r="S305" s="42" t="n">
        <x:v>0</x:v>
      </x:c>
    </x:row>
    <x:row r="306">
      <x:c r="A306" t="n">
        <x:v>5</x:v>
      </x:c>
      <x:c r="B306" t="n">
        <x:v>1</x:v>
      </x:c>
      <x:c r="C306" t="n">
        <x:v>0</x:v>
      </x:c>
      <x:c r="D306" t="n">
        <x:v>0</x:v>
      </x:c>
      <x:c r="E306" t="str">
        <x:v>vee</x:v>
      </x:c>
      <x:c r="F306" s="45" t="n">
        <x:f>2*$B306</x:f>
        <x:v>2</x:v>
      </x:c>
      <x:c r="G306" s="45" t="n">
        <x:f>(1/2)*$B306+(1/2)*$C306</x:f>
        <x:v>0.5</x:v>
      </x:c>
      <x:c r="H306" s="45" t="n">
        <x:f>(1/2)*$B306+(1/2)*$C306</x:f>
        <x:v>0.5</x:v>
      </x:c>
      <x:c r="I306" s="45" t="n">
        <x:f>0</x:f>
        <x:v>0</x:v>
      </x:c>
      <x:c r="J306" s="45" t="n">
        <x:f>MAX((1/2)*($C306-$B306),0)</x:f>
        <x:v>0</x:v>
      </x:c>
      <x:c r="K306" s="45" t="n">
        <x:f>MAX((1/2)*($C306-$B306),0)</x:f>
        <x:v>0</x:v>
      </x:c>
      <x:c r="L306" s="45" t="n">
        <x:f>F306+I306</x:f>
        <x:v>2</x:v>
      </x:c>
      <x:c r="M306" s="45" t="n">
        <x:f>G306+J306</x:f>
        <x:v>0.5</x:v>
      </x:c>
      <x:c r="N306" s="45" t="n">
        <x:f>H306+K306</x:f>
        <x:v>0.5</x:v>
      </x:c>
      <x:c r="O306" s="45" t="n">
        <x:f>SUM(F306:H306)</x:f>
        <x:v>3</x:v>
      </x:c>
      <x:c r="P306" s="42" t="n">
        <x:f>IF(AND(F306&lt;=F258,F306&lt;=F290,F306&lt;=F274,G306&lt;=G318,G306&lt;=G314,G306&lt;=G310,H306&lt;=H309,H306&lt;=H308,H306&lt;=H307),1,0)</x:f>
        <x:v>0</x:v>
      </x:c>
      <x:c r="Q306" s="42" t="n">
        <x:f>IF(AND(L306&lt;=L258,L306&lt;=L290,L306&lt;=L274,M306&lt;=M318,M306&lt;=M314,M306&lt;=M310,N306&lt;=N309,N306&lt;=N308,N306&lt;=N307),1,0)</x:f>
        <x:v>0</x:v>
      </x:c>
      <x:c r="R306" s="42" t="n">
        <x:v>0</x:v>
      </x:c>
      <x:c r="S306" s="42" t="n">
        <x:v>0</x:v>
      </x:c>
    </x:row>
    <x:row r="307">
      <x:c r="A307" t="n">
        <x:v>5</x:v>
      </x:c>
      <x:c r="B307" t="n">
        <x:v>1</x:v>
      </x:c>
      <x:c r="C307" t="n">
        <x:v>0</x:v>
      </x:c>
      <x:c r="D307" t="n">
        <x:v>0</x:v>
      </x:c>
      <x:c r="E307" t="str">
        <x:v>vel</x:v>
      </x:c>
      <x:c r="F307" s="45" t="n">
        <x:f>2*$B307</x:f>
        <x:v>2</x:v>
      </x:c>
      <x:c r="G307" s="45" t="n">
        <x:f>1*$B307</x:f>
        <x:v>1</x:v>
      </x:c>
      <x:c r="H307" s="45" t="n">
        <x:f>1*$D307</x:f>
        <x:v>0</x:v>
      </x:c>
      <x:c r="I307" s="45" t="n">
        <x:f>0</x:f>
        <x:v>0</x:v>
      </x:c>
      <x:c r="J307" s="45" t="n">
        <x:f>0</x:f>
        <x:v>0</x:v>
      </x:c>
      <x:c r="K307" s="45" t="n">
        <x:f>0</x:f>
        <x:v>0</x:v>
      </x:c>
      <x:c r="L307" s="45" t="n">
        <x:f>F307+I307</x:f>
        <x:v>2</x:v>
      </x:c>
      <x:c r="M307" s="45" t="n">
        <x:f>G307+J307</x:f>
        <x:v>1</x:v>
      </x:c>
      <x:c r="N307" s="45" t="n">
        <x:f>H307+K307</x:f>
        <x:v>0</x:v>
      </x:c>
      <x:c r="O307" s="45" t="n">
        <x:f>SUM(F307:H307)</x:f>
        <x:v>3</x:v>
      </x:c>
      <x:c r="P307" s="42" t="n">
        <x:f>IF(AND(F307&lt;=F259,F307&lt;=F291,F307&lt;=F275,G307&lt;=G319,G307&lt;=G315,G307&lt;=G311,H307&lt;=H309,H307&lt;=H306,H307&lt;=H308),1,0)</x:f>
        <x:v>0</x:v>
      </x:c>
      <x:c r="Q307" s="42" t="n">
        <x:f>IF(AND(L307&lt;=L259,L307&lt;=L291,L307&lt;=L275,M307&lt;=M319,M307&lt;=M315,M307&lt;=M311,N307&lt;=N309,N307&lt;=N306,N307&lt;=N308),1,0)</x:f>
        <x:v>0</x:v>
      </x:c>
      <x:c r="R307" s="42" t="n">
        <x:v>0</x:v>
      </x:c>
      <x:c r="S307" s="42" t="n">
        <x:v>0</x:v>
      </x:c>
    </x:row>
    <x:row r="308">
      <x:c r="A308" t="n">
        <x:v>5</x:v>
      </x:c>
      <x:c r="B308" t="n">
        <x:v>1</x:v>
      </x:c>
      <x:c r="C308" t="n">
        <x:v>0</x:v>
      </x:c>
      <x:c r="D308" t="n">
        <x:v>0</x:v>
      </x:c>
      <x:c r="E308" t="str">
        <x:v>veo</x:v>
      </x:c>
      <x:c r="F308" s="45" t="n">
        <x:f>2*$B308</x:f>
        <x:v>2</x:v>
      </x:c>
      <x:c r="G308" s="45" t="n">
        <x:f>1*$B308</x:f>
        <x:v>1</x:v>
      </x:c>
      <x:c r="H308" s="45" t="n">
        <x:f>0</x:f>
        <x:v>0</x:v>
      </x:c>
      <x:c r="I308" s="45" t="n">
        <x:f>0</x:f>
        <x:v>0</x:v>
      </x:c>
      <x:c r="J308" s="45" t="n">
        <x:f>0</x:f>
        <x:v>0</x:v>
      </x:c>
      <x:c r="K308" s="45" t="n">
        <x:f>0</x:f>
        <x:v>0</x:v>
      </x:c>
      <x:c r="L308" s="45" t="n">
        <x:f>F308+I308</x:f>
        <x:v>2</x:v>
      </x:c>
      <x:c r="M308" s="45" t="n">
        <x:f>G308+J308</x:f>
        <x:v>1</x:v>
      </x:c>
      <x:c r="N308" s="45" t="n">
        <x:f>H308+K308</x:f>
        <x:v>0</x:v>
      </x:c>
      <x:c r="O308" s="45" t="n">
        <x:f>SUM(F308:H308)</x:f>
        <x:v>3</x:v>
      </x:c>
      <x:c r="P308" s="42" t="n">
        <x:f>IF(AND(F308&lt;=F260,F308&lt;=F292,F308&lt;=F276,G308&lt;=G320,G308&lt;=G316,G308&lt;=G312,H308&lt;=H309,H308&lt;=H306,H308&lt;=H307),1,0)</x:f>
        <x:v>0</x:v>
      </x:c>
      <x:c r="Q308" s="42" t="n">
        <x:f>IF(AND(L308&lt;=L260,L308&lt;=L292,L308&lt;=L276,M308&lt;=M320,M308&lt;=M316,M308&lt;=M312,N308&lt;=N309,N308&lt;=N306,N308&lt;=N307),1,0)</x:f>
        <x:v>0</x:v>
      </x:c>
      <x:c r="R308" s="42" t="n">
        <x:v>0</x:v>
      </x:c>
      <x:c r="S308" s="42" t="n">
        <x:v>0</x:v>
      </x:c>
    </x:row>
    <x:row r="309">
      <x:c r="A309" t="n">
        <x:v>5</x:v>
      </x:c>
      <x:c r="B309" t="n">
        <x:v>1</x:v>
      </x:c>
      <x:c r="C309" t="n">
        <x:v>0</x:v>
      </x:c>
      <x:c r="D309" t="n">
        <x:v>0</x:v>
      </x:c>
      <x:c r="E309" t="str">
        <x:v>vev</x:v>
      </x:c>
      <x:c r="F309" s="45" t="n">
        <x:f>(3/2)*$B309+(1/2)*$C309</x:f>
        <x:v>1.5</x:v>
      </x:c>
      <x:c r="G309" s="45" t="n">
        <x:f>1*$C309</x:f>
        <x:v>0</x:v>
      </x:c>
      <x:c r="H309" s="45" t="n">
        <x:f>(3/2)*$B309+(1/2)*$C309</x:f>
        <x:v>1.5</x:v>
      </x:c>
      <x:c r="I309" s="45" t="n">
        <x:f>MAX((3/2)*($C309-$B309),0)</x:f>
        <x:v>0</x:v>
      </x:c>
      <x:c r="J309" s="45" t="n">
        <x:f>0</x:f>
        <x:v>0</x:v>
      </x:c>
      <x:c r="K309" s="45" t="n">
        <x:f>MAX((3/2)*($C309-$B309),0)</x:f>
        <x:v>0</x:v>
      </x:c>
      <x:c r="L309" s="45" t="n">
        <x:f>F309+I309</x:f>
        <x:v>1.5</x:v>
      </x:c>
      <x:c r="M309" s="45" t="n">
        <x:f>G309+J309</x:f>
        <x:v>0</x:v>
      </x:c>
      <x:c r="N309" s="45" t="n">
        <x:f>H309+K309</x:f>
        <x:v>1.5</x:v>
      </x:c>
      <x:c r="O309" s="45" t="n">
        <x:f>SUM(F309:H309)</x:f>
        <x:v>3</x:v>
      </x:c>
      <x:c r="P309" s="42" t="n">
        <x:f>IF(AND(F309&lt;=F261,F309&lt;=F293,F309&lt;=F277,G309&lt;=G321,G309&lt;=G317,G309&lt;=G313,H309&lt;=H306,H309&lt;=H308,H309&lt;=H307),1,0)</x:f>
        <x:v>0</x:v>
      </x:c>
      <x:c r="Q309" s="42" t="n">
        <x:f>IF(AND(L309&lt;=L261,L309&lt;=L293,L309&lt;=L277,M309&lt;=M321,M309&lt;=M317,M309&lt;=M313,N309&lt;=N306,N309&lt;=N308,N309&lt;=N307),1,0)</x:f>
        <x:v>0</x:v>
      </x:c>
      <x:c r="R309" s="42" t="n">
        <x:v>0</x:v>
      </x:c>
      <x:c r="S309" s="42" t="n">
        <x:v>0</x:v>
      </x:c>
    </x:row>
    <x:row r="310">
      <x:c r="A310" t="n">
        <x:v>5</x:v>
      </x:c>
      <x:c r="B310" t="n">
        <x:v>1</x:v>
      </x:c>
      <x:c r="C310" t="n">
        <x:v>0</x:v>
      </x:c>
      <x:c r="D310" t="n">
        <x:v>0</x:v>
      </x:c>
      <x:c r="E310" t="str">
        <x:v>vle</x:v>
      </x:c>
      <x:c r="F310" s="45" t="n">
        <x:f>2*$B310</x:f>
        <x:v>2</x:v>
      </x:c>
      <x:c r="G310" s="45" t="n">
        <x:f>1*$D310</x:f>
        <x:v>0</x:v>
      </x:c>
      <x:c r="H310" s="45" t="n">
        <x:f>1*$B310</x:f>
        <x:v>1</x:v>
      </x:c>
      <x:c r="I310" s="45" t="n">
        <x:f>0</x:f>
        <x:v>0</x:v>
      </x:c>
      <x:c r="J310" s="45" t="n">
        <x:f>0</x:f>
        <x:v>0</x:v>
      </x:c>
      <x:c r="K310" s="45" t="n">
        <x:f>0</x:f>
        <x:v>0</x:v>
      </x:c>
      <x:c r="L310" s="45" t="n">
        <x:f>F310+I310</x:f>
        <x:v>2</x:v>
      </x:c>
      <x:c r="M310" s="45" t="n">
        <x:f>G310+J310</x:f>
        <x:v>0</x:v>
      </x:c>
      <x:c r="N310" s="45" t="n">
        <x:f>H310+K310</x:f>
        <x:v>1</x:v>
      </x:c>
      <x:c r="O310" s="45" t="n">
        <x:f>SUM(F310:H310)</x:f>
        <x:v>3</x:v>
      </x:c>
      <x:c r="P310" s="42" t="n">
        <x:f>IF(AND(F310&lt;=F262,F310&lt;=F294,F310&lt;=F278,G310&lt;=G318,G310&lt;=G306,G310&lt;=G314,H310&lt;=H313,H310&lt;=H312,H310&lt;=H311),1,0)</x:f>
        <x:v>0</x:v>
      </x:c>
      <x:c r="Q310" s="42" t="n">
        <x:f>IF(AND(L310&lt;=L262,L310&lt;=L294,L310&lt;=L278,M310&lt;=M318,M310&lt;=M306,M310&lt;=M314,N310&lt;=N313,N310&lt;=N312,N310&lt;=N311),1,0)</x:f>
        <x:v>0</x:v>
      </x:c>
      <x:c r="R310" s="42" t="n">
        <x:v>0</x:v>
      </x:c>
      <x:c r="S310" s="42" t="n">
        <x:v>0</x:v>
      </x:c>
    </x:row>
    <x:row r="311">
      <x:c r="A311" t="n">
        <x:v>5</x:v>
      </x:c>
      <x:c r="B311" t="n">
        <x:v>1</x:v>
      </x:c>
      <x:c r="C311" t="n">
        <x:v>0</x:v>
      </x:c>
      <x:c r="D311" t="n">
        <x:v>0</x:v>
      </x:c>
      <x:c r="E311" t="str">
        <x:v>vll</x:v>
      </x:c>
      <x:c r="F311" s="45" t="n">
        <x:f>2*$B311</x:f>
        <x:v>2</x:v>
      </x:c>
      <x:c r="G311" s="45" t="n">
        <x:f>(1/2)*$C311+(3/2)*$D311</x:f>
        <x:v>0</x:v>
      </x:c>
      <x:c r="H311" s="45" t="n">
        <x:f>(1/2)*$C311+(3/2)*$D311</x:f>
        <x:v>0</x:v>
      </x:c>
      <x:c r="I311" s="45" t="n">
        <x:f>0</x:f>
        <x:v>0</x:v>
      </x:c>
      <x:c r="J311" s="45" t="n">
        <x:f>(1/2)*($C311+$D311)</x:f>
        <x:v>0</x:v>
      </x:c>
      <x:c r="K311" s="45" t="n">
        <x:f>(1/2)*($C311+$D311)</x:f>
        <x:v>0</x:v>
      </x:c>
      <x:c r="L311" s="45" t="n">
        <x:f>F311+I311</x:f>
        <x:v>2</x:v>
      </x:c>
      <x:c r="M311" s="45" t="n">
        <x:f>G311+J311</x:f>
        <x:v>0</x:v>
      </x:c>
      <x:c r="N311" s="45" t="n">
        <x:f>H311+K311</x:f>
        <x:v>0</x:v>
      </x:c>
      <x:c r="O311" s="45" t="n">
        <x:f>SUM(F311:H311)</x:f>
        <x:v>2</x:v>
      </x:c>
      <x:c r="P311" s="42" t="n">
        <x:f>IF(AND(F311&lt;=F263,F311&lt;=F295,F311&lt;=F279,G311&lt;=G319,G311&lt;=G307,G311&lt;=G315,H311&lt;=H313,H311&lt;=H310,H311&lt;=H312),1,0)</x:f>
        <x:v>0</x:v>
      </x:c>
      <x:c r="Q311" s="42" t="n">
        <x:f>IF(AND(L311&lt;=L263,L311&lt;=L295,L311&lt;=L279,M311&lt;=M319,M311&lt;=M307,M311&lt;=M315,N311&lt;=N313,N311&lt;=N310,N311&lt;=N312),1,0)</x:f>
        <x:v>0</x:v>
      </x:c>
      <x:c r="R311" s="42" t="n">
        <x:v>0</x:v>
      </x:c>
      <x:c r="S311" s="42" t="n">
        <x:v>0</x:v>
      </x:c>
    </x:row>
    <x:row r="312">
      <x:c r="A312" t="n">
        <x:v>5</x:v>
      </x:c>
      <x:c r="B312" t="n">
        <x:v>1</x:v>
      </x:c>
      <x:c r="C312" t="n">
        <x:v>0</x:v>
      </x:c>
      <x:c r="D312" t="n">
        <x:v>0</x:v>
      </x:c>
      <x:c r="E312" t="str">
        <x:v>vlo</x:v>
      </x:c>
      <x:c r="F312" s="45" t="n">
        <x:f>2*$B312</x:f>
        <x:v>2</x:v>
      </x:c>
      <x:c r="G312" s="45" t="n">
        <x:f>1*$D312</x:f>
        <x:v>0</x:v>
      </x:c>
      <x:c r="H312" s="45" t="n">
        <x:f>0</x:f>
        <x:v>0</x:v>
      </x:c>
      <x:c r="I312" s="45" t="n">
        <x:f>0</x:f>
        <x:v>0</x:v>
      </x:c>
      <x:c r="J312" s="45" t="n">
        <x:f>0</x:f>
        <x:v>0</x:v>
      </x:c>
      <x:c r="K312" s="45" t="n">
        <x:f>0</x:f>
        <x:v>0</x:v>
      </x:c>
      <x:c r="L312" s="45" t="n">
        <x:f>F312+I312</x:f>
        <x:v>2</x:v>
      </x:c>
      <x:c r="M312" s="45" t="n">
        <x:f>G312+J312</x:f>
        <x:v>0</x:v>
      </x:c>
      <x:c r="N312" s="45" t="n">
        <x:f>H312+K312</x:f>
        <x:v>0</x:v>
      </x:c>
      <x:c r="O312" s="45" t="n">
        <x:f>SUM(F312:H312)</x:f>
        <x:v>2</x:v>
      </x:c>
      <x:c r="P312" s="42" t="n">
        <x:f>IF(AND(F312&lt;=F264,F312&lt;=F296,F312&lt;=F280,G312&lt;=G320,G312&lt;=G308,G312&lt;=G316,H312&lt;=H313,H312&lt;=H310,H312&lt;=H311),1,0)</x:f>
        <x:v>0</x:v>
      </x:c>
      <x:c r="Q312" s="42" t="n">
        <x:f>IF(AND(L312&lt;=L264,L312&lt;=L296,L312&lt;=L280,M312&lt;=M320,M312&lt;=M308,M312&lt;=M316,N312&lt;=N313,N312&lt;=N310,N312&lt;=N311),1,0)</x:f>
        <x:v>0</x:v>
      </x:c>
      <x:c r="R312" s="42" t="n">
        <x:v>0</x:v>
      </x:c>
      <x:c r="S312" s="42" t="n">
        <x:v>0</x:v>
      </x:c>
    </x:row>
    <x:row r="313">
      <x:c r="A313" t="n">
        <x:v>5</x:v>
      </x:c>
      <x:c r="B313" t="n">
        <x:v>1</x:v>
      </x:c>
      <x:c r="C313" t="n">
        <x:v>0</x:v>
      </x:c>
      <x:c r="D313" t="n">
        <x:v>0</x:v>
      </x:c>
      <x:c r="E313" t="str">
        <x:v>vlv</x:v>
      </x:c>
      <x:c r="F313" s="45" t="n">
        <x:f>(3/2)*$B313+(1/2)*$C313</x:f>
        <x:v>1.5</x:v>
      </x:c>
      <x:c r="G313" s="45" t="n">
        <x:f>1*$D313</x:f>
        <x:v>0</x:v>
      </x:c>
      <x:c r="H313" s="45" t="n">
        <x:f>(3/2)*$B313+(1/2)*$C313</x:f>
        <x:v>1.5</x:v>
      </x:c>
      <x:c r="I313" s="45" t="n">
        <x:f>MAX((1/2)*($C313-$B313),0)</x:f>
        <x:v>0</x:v>
      </x:c>
      <x:c r="J313" s="45" t="n">
        <x:f>0</x:f>
        <x:v>0</x:v>
      </x:c>
      <x:c r="K313" s="45" t="n">
        <x:f>MAX((1/2)*($C313-$B313),0)</x:f>
        <x:v>0</x:v>
      </x:c>
      <x:c r="L313" s="45" t="n">
        <x:f>F313+I313</x:f>
        <x:v>1.5</x:v>
      </x:c>
      <x:c r="M313" s="45" t="n">
        <x:f>G313+J313</x:f>
        <x:v>0</x:v>
      </x:c>
      <x:c r="N313" s="45" t="n">
        <x:f>H313+K313</x:f>
        <x:v>1.5</x:v>
      </x:c>
      <x:c r="O313" s="45" t="n">
        <x:f>SUM(F313:H313)</x:f>
        <x:v>3</x:v>
      </x:c>
      <x:c r="P313" s="42" t="n">
        <x:f>IF(AND(F313&lt;=F265,F313&lt;=F297,F313&lt;=F281,G313&lt;=G321,G313&lt;=G309,G313&lt;=G317,H313&lt;=H310,H313&lt;=H312,H313&lt;=H311),1,0)</x:f>
        <x:v>0</x:v>
      </x:c>
      <x:c r="Q313" s="42" t="n">
        <x:f>IF(AND(L313&lt;=L265,L313&lt;=L297,L313&lt;=L281,M313&lt;=M321,M313&lt;=M309,M313&lt;=M317,N313&lt;=N310,N313&lt;=N312,N313&lt;=N311),1,0)</x:f>
        <x:v>0</x:v>
      </x:c>
      <x:c r="R313" s="42" t="n">
        <x:v>0</x:v>
      </x:c>
      <x:c r="S313" s="42" t="n">
        <x:v>0</x:v>
      </x:c>
    </x:row>
    <x:row r="314">
      <x:c r="A314" t="n">
        <x:v>5</x:v>
      </x:c>
      <x:c r="B314" t="n">
        <x:v>1</x:v>
      </x:c>
      <x:c r="C314" t="n">
        <x:v>0</x:v>
      </x:c>
      <x:c r="D314" t="n">
        <x:v>0</x:v>
      </x:c>
      <x:c r="E314" t="str">
        <x:v>voe</x:v>
      </x:c>
      <x:c r="F314" s="45" t="n">
        <x:f>2*$B314</x:f>
        <x:v>2</x:v>
      </x:c>
      <x:c r="G314" s="45" t="n">
        <x:f>0</x:f>
        <x:v>0</x:v>
      </x:c>
      <x:c r="H314" s="45" t="n">
        <x:f>1*$B314</x:f>
        <x:v>1</x:v>
      </x:c>
      <x:c r="I314" s="45" t="n">
        <x:f>0</x:f>
        <x:v>0</x:v>
      </x:c>
      <x:c r="J314" s="45" t="n">
        <x:f>0</x:f>
        <x:v>0</x:v>
      </x:c>
      <x:c r="K314" s="45" t="n">
        <x:f>0</x:f>
        <x:v>0</x:v>
      </x:c>
      <x:c r="L314" s="45" t="n">
        <x:f>F314+I314</x:f>
        <x:v>2</x:v>
      </x:c>
      <x:c r="M314" s="45" t="n">
        <x:f>G314+J314</x:f>
        <x:v>0</x:v>
      </x:c>
      <x:c r="N314" s="45" t="n">
        <x:f>H314+K314</x:f>
        <x:v>1</x:v>
      </x:c>
      <x:c r="O314" s="45" t="n">
        <x:f>SUM(F314:H314)</x:f>
        <x:v>3</x:v>
      </x:c>
      <x:c r="P314" s="42" t="n">
        <x:f>IF(AND(F314&lt;=F266,F314&lt;=F298,F314&lt;=F282,G314&lt;=G318,G314&lt;=G306,G314&lt;=G310,H314&lt;=H317,H314&lt;=H316,H314&lt;=H315),1,0)</x:f>
        <x:v>0</x:v>
      </x:c>
      <x:c r="Q314" s="42" t="n">
        <x:f>IF(AND(L314&lt;=L266,L314&lt;=L298,L314&lt;=L282,M314&lt;=M318,M314&lt;=M306,M314&lt;=M310,N314&lt;=N317,N314&lt;=N316,N314&lt;=N315),1,0)</x:f>
        <x:v>0</x:v>
      </x:c>
      <x:c r="R314" s="42" t="n">
        <x:v>0</x:v>
      </x:c>
      <x:c r="S314" s="42" t="n">
        <x:v>0</x:v>
      </x:c>
    </x:row>
    <x:row r="315">
      <x:c r="A315" t="n">
        <x:v>5</x:v>
      </x:c>
      <x:c r="B315" t="n">
        <x:v>1</x:v>
      </x:c>
      <x:c r="C315" t="n">
        <x:v>0</x:v>
      </x:c>
      <x:c r="D315" t="n">
        <x:v>0</x:v>
      </x:c>
      <x:c r="E315" t="str">
        <x:v>vol</x:v>
      </x:c>
      <x:c r="F315" s="45" t="n">
        <x:f>2*$B315</x:f>
        <x:v>2</x:v>
      </x:c>
      <x:c r="G315" s="45" t="n">
        <x:f>0</x:f>
        <x:v>0</x:v>
      </x:c>
      <x:c r="H315" s="45" t="n">
        <x:f>1*$D315</x:f>
        <x:v>0</x:v>
      </x:c>
      <x:c r="I315" s="45" t="n">
        <x:f>0</x:f>
        <x:v>0</x:v>
      </x:c>
      <x:c r="J315" s="45" t="n">
        <x:f>0</x:f>
        <x:v>0</x:v>
      </x:c>
      <x:c r="K315" s="45" t="n">
        <x:f>0</x:f>
        <x:v>0</x:v>
      </x:c>
      <x:c r="L315" s="45" t="n">
        <x:f>F315+I315</x:f>
        <x:v>2</x:v>
      </x:c>
      <x:c r="M315" s="45" t="n">
        <x:f>G315+J315</x:f>
        <x:v>0</x:v>
      </x:c>
      <x:c r="N315" s="45" t="n">
        <x:f>H315+K315</x:f>
        <x:v>0</x:v>
      </x:c>
      <x:c r="O315" s="45" t="n">
        <x:f>SUM(F315:H315)</x:f>
        <x:v>2</x:v>
      </x:c>
      <x:c r="P315" s="42" t="n">
        <x:f>IF(AND(F315&lt;=F267,F315&lt;=F299,F315&lt;=F283,G315&lt;=G319,G315&lt;=G307,G315&lt;=G311,H315&lt;=H317,H315&lt;=H314,H315&lt;=H316),1,0)</x:f>
        <x:v>0</x:v>
      </x:c>
      <x:c r="Q315" s="42" t="n">
        <x:f>IF(AND(L315&lt;=L267,L315&lt;=L299,L315&lt;=L283,M315&lt;=M319,M315&lt;=M307,M315&lt;=M311,N315&lt;=N317,N315&lt;=N314,N315&lt;=N316),1,0)</x:f>
        <x:v>0</x:v>
      </x:c>
      <x:c r="R315" s="42" t="n">
        <x:v>0</x:v>
      </x:c>
      <x:c r="S315" s="42" t="n">
        <x:v>0</x:v>
      </x:c>
    </x:row>
    <x:row r="316">
      <x:c r="A316" t="n">
        <x:v>5</x:v>
      </x:c>
      <x:c r="B316" t="n">
        <x:v>1</x:v>
      </x:c>
      <x:c r="C316" t="n">
        <x:v>0</x:v>
      </x:c>
      <x:c r="D316" t="n">
        <x:v>0</x:v>
      </x:c>
      <x:c r="E316" t="str">
        <x:v>voo</x:v>
      </x:c>
      <x:c r="F316" s="45" t="n">
        <x:f>2*$B316</x:f>
        <x:v>2</x:v>
      </x:c>
      <x:c r="G316" s="45" t="n">
        <x:f>(1/2)*$C316+(1/2)*$D316</x:f>
        <x:v>0</x:v>
      </x:c>
      <x:c r="H316" s="45" t="n">
        <x:f>(1/2)*$C316+(1/2)*$D316</x:f>
        <x:v>0</x:v>
      </x:c>
      <x:c r="I316" s="45" t="n">
        <x:f>0</x:f>
        <x:v>0</x:v>
      </x:c>
      <x:c r="J316" s="45" t="n">
        <x:f>(1/2)*($C316+$D316)</x:f>
        <x:v>0</x:v>
      </x:c>
      <x:c r="K316" s="45" t="n">
        <x:f>(1/2)*($C316+$D316)</x:f>
        <x:v>0</x:v>
      </x:c>
      <x:c r="L316" s="45" t="n">
        <x:f>F316+I316</x:f>
        <x:v>2</x:v>
      </x:c>
      <x:c r="M316" s="45" t="n">
        <x:f>G316+J316</x:f>
        <x:v>0</x:v>
      </x:c>
      <x:c r="N316" s="45" t="n">
        <x:f>H316+K316</x:f>
        <x:v>0</x:v>
      </x:c>
      <x:c r="O316" s="45" t="n">
        <x:f>SUM(F316:H316)</x:f>
        <x:v>2</x:v>
      </x:c>
      <x:c r="P316" s="42" t="n">
        <x:f>IF(AND(F316&lt;=F268,F316&lt;=F300,F316&lt;=F284,G316&lt;=G320,G316&lt;=G308,G316&lt;=G312,H316&lt;=H317,H316&lt;=H314,H316&lt;=H315),1,0)</x:f>
        <x:v>0</x:v>
      </x:c>
      <x:c r="Q316" s="42" t="n">
        <x:f>IF(AND(L316&lt;=L268,L316&lt;=L300,L316&lt;=L284,M316&lt;=M320,M316&lt;=M308,M316&lt;=M312,N316&lt;=N317,N316&lt;=N314,N316&lt;=N315),1,0)</x:f>
        <x:v>0</x:v>
      </x:c>
      <x:c r="R316" s="42" t="n">
        <x:v>0</x:v>
      </x:c>
      <x:c r="S316" s="42" t="n">
        <x:v>0</x:v>
      </x:c>
    </x:row>
    <x:row r="317">
      <x:c r="A317" t="n">
        <x:v>5</x:v>
      </x:c>
      <x:c r="B317" t="n">
        <x:v>1</x:v>
      </x:c>
      <x:c r="C317" t="n">
        <x:v>0</x:v>
      </x:c>
      <x:c r="D317" t="n">
        <x:v>0</x:v>
      </x:c>
      <x:c r="E317" t="str">
        <x:v>vov</x:v>
      </x:c>
      <x:c r="F317" s="45" t="n">
        <x:f>(3/2)*$B317+(1/2)*$C317</x:f>
        <x:v>1.5</x:v>
      </x:c>
      <x:c r="G317" s="45" t="n">
        <x:f>0</x:f>
        <x:v>0</x:v>
      </x:c>
      <x:c r="H317" s="45" t="n">
        <x:f>(3/2)*$B317+(1/2)*$C317</x:f>
        <x:v>1.5</x:v>
      </x:c>
      <x:c r="I317" s="45" t="n">
        <x:f>MAX((1/2)*($C317-$B317),0)</x:f>
        <x:v>0</x:v>
      </x:c>
      <x:c r="J317" s="45" t="n">
        <x:f>0</x:f>
        <x:v>0</x:v>
      </x:c>
      <x:c r="K317" s="45" t="n">
        <x:f>MAX((1/2)*($C317-$B317),0)</x:f>
        <x:v>0</x:v>
      </x:c>
      <x:c r="L317" s="45" t="n">
        <x:f>F317+I317</x:f>
        <x:v>1.5</x:v>
      </x:c>
      <x:c r="M317" s="45" t="n">
        <x:f>G317+J317</x:f>
        <x:v>0</x:v>
      </x:c>
      <x:c r="N317" s="45" t="n">
        <x:f>H317+K317</x:f>
        <x:v>1.5</x:v>
      </x:c>
      <x:c r="O317" s="45" t="n">
        <x:f>SUM(F317:H317)</x:f>
        <x:v>3</x:v>
      </x:c>
      <x:c r="P317" s="42" t="n">
        <x:f>IF(AND(F317&lt;=F269,F317&lt;=F301,F317&lt;=F285,G317&lt;=G321,G317&lt;=G309,G317&lt;=G313,H317&lt;=H314,H317&lt;=H316,H317&lt;=H315),1,0)</x:f>
        <x:v>0</x:v>
      </x:c>
      <x:c r="Q317" s="42" t="n">
        <x:f>IF(AND(L317&lt;=L269,L317&lt;=L301,L317&lt;=L285,M317&lt;=M321,M317&lt;=M309,M317&lt;=M313,N317&lt;=N314,N317&lt;=N316,N317&lt;=N315),1,0)</x:f>
        <x:v>0</x:v>
      </x:c>
      <x:c r="R317" s="42" t="n">
        <x:v>0</x:v>
      </x:c>
      <x:c r="S317" s="42" t="n">
        <x:v>0</x:v>
      </x:c>
    </x:row>
    <x:row r="318">
      <x:c r="A318" t="n">
        <x:v>5</x:v>
      </x:c>
      <x:c r="B318" t="n">
        <x:v>1</x:v>
      </x:c>
      <x:c r="C318" t="n">
        <x:v>0</x:v>
      </x:c>
      <x:c r="D318" t="n">
        <x:v>0</x:v>
      </x:c>
      <x:c r="E318" t="str">
        <x:v>vve</x:v>
      </x:c>
      <x:c r="F318" s="45" t="n">
        <x:f>(3/2)*$B318+(1/2)*$C318</x:f>
        <x:v>1.5</x:v>
      </x:c>
      <x:c r="G318" s="45" t="n">
        <x:f>(3/2)*$B318+(1/2)*$C318</x:f>
        <x:v>1.5</x:v>
      </x:c>
      <x:c r="H318" s="45" t="n">
        <x:f>1*$C318</x:f>
        <x:v>0</x:v>
      </x:c>
      <x:c r="I318" s="45" t="n">
        <x:f>MAX((3/2)*($C318-$B318),0)</x:f>
        <x:v>0</x:v>
      </x:c>
      <x:c r="J318" s="45" t="n">
        <x:f>MAX((3/2)*($C318-$B318),0)</x:f>
        <x:v>0</x:v>
      </x:c>
      <x:c r="K318" s="45" t="n">
        <x:f>0</x:f>
        <x:v>0</x:v>
      </x:c>
      <x:c r="L318" s="45" t="n">
        <x:f>F318+I318</x:f>
        <x:v>1.5</x:v>
      </x:c>
      <x:c r="M318" s="45" t="n">
        <x:f>G318+J318</x:f>
        <x:v>1.5</x:v>
      </x:c>
      <x:c r="N318" s="45" t="n">
        <x:f>H318+K318</x:f>
        <x:v>0</x:v>
      </x:c>
      <x:c r="O318" s="45" t="n">
        <x:f>SUM(F318:H318)</x:f>
        <x:v>3</x:v>
      </x:c>
      <x:c r="P318" s="42" t="n">
        <x:f>IF(AND(F318&lt;=F270,F318&lt;=F302,F318&lt;=F286,G318&lt;=G306,G318&lt;=G314,G318&lt;=G310,H318&lt;=H321,H318&lt;=H320,H318&lt;=H319),1,0)</x:f>
        <x:v>0</x:v>
      </x:c>
      <x:c r="Q318" s="42" t="n">
        <x:f>IF(AND(L318&lt;=L270,L318&lt;=L302,L318&lt;=L286,M318&lt;=M306,M318&lt;=M314,M318&lt;=M310,N318&lt;=N321,N318&lt;=N320,N318&lt;=N319),1,0)</x:f>
        <x:v>0</x:v>
      </x:c>
      <x:c r="R318" s="42" t="n">
        <x:v>0</x:v>
      </x:c>
      <x:c r="S318" s="42" t="n">
        <x:v>0</x:v>
      </x:c>
    </x:row>
    <x:row r="319">
      <x:c r="A319" t="n">
        <x:v>5</x:v>
      </x:c>
      <x:c r="B319" t="n">
        <x:v>1</x:v>
      </x:c>
      <x:c r="C319" t="n">
        <x:v>0</x:v>
      </x:c>
      <x:c r="D319" t="n">
        <x:v>0</x:v>
      </x:c>
      <x:c r="E319" t="str">
        <x:v>vvl</x:v>
      </x:c>
      <x:c r="F319" s="45" t="n">
        <x:f>(3/2)*$B319+(1/2)*$C319</x:f>
        <x:v>1.5</x:v>
      </x:c>
      <x:c r="G319" s="45" t="n">
        <x:f>(3/2)*$B319+(1/2)*$C319</x:f>
        <x:v>1.5</x:v>
      </x:c>
      <x:c r="H319" s="45" t="n">
        <x:f>1*$D319</x:f>
        <x:v>0</x:v>
      </x:c>
      <x:c r="I319" s="45" t="n">
        <x:f>MAX((1/2)*($C319-$B319),0)</x:f>
        <x:v>0</x:v>
      </x:c>
      <x:c r="J319" s="45" t="n">
        <x:f>MAX((1/2)*($C319-$B319),0)</x:f>
        <x:v>0</x:v>
      </x:c>
      <x:c r="K319" s="45" t="n">
        <x:f>0</x:f>
        <x:v>0</x:v>
      </x:c>
      <x:c r="L319" s="45" t="n">
        <x:f>F319+I319</x:f>
        <x:v>1.5</x:v>
      </x:c>
      <x:c r="M319" s="45" t="n">
        <x:f>G319+J319</x:f>
        <x:v>1.5</x:v>
      </x:c>
      <x:c r="N319" s="45" t="n">
        <x:f>H319+K319</x:f>
        <x:v>0</x:v>
      </x:c>
      <x:c r="O319" s="45" t="n">
        <x:f>SUM(F319:H319)</x:f>
        <x:v>3</x:v>
      </x:c>
      <x:c r="P319" s="42" t="n">
        <x:f>IF(AND(F319&lt;=F271,F319&lt;=F303,F319&lt;=F287,G319&lt;=G307,G319&lt;=G315,G319&lt;=G311,H319&lt;=H321,H319&lt;=H318,H319&lt;=H320),1,0)</x:f>
        <x:v>0</x:v>
      </x:c>
      <x:c r="Q319" s="42" t="n">
        <x:f>IF(AND(L319&lt;=L271,L319&lt;=L303,L319&lt;=L287,M319&lt;=M307,M319&lt;=M315,M319&lt;=M311,N319&lt;=N321,N319&lt;=N318,N319&lt;=N320),1,0)</x:f>
        <x:v>0</x:v>
      </x:c>
      <x:c r="R319" s="42" t="n">
        <x:v>0</x:v>
      </x:c>
      <x:c r="S319" s="42" t="n">
        <x:v>0</x:v>
      </x:c>
    </x:row>
    <x:row r="320">
      <x:c r="A320" t="n">
        <x:v>5</x:v>
      </x:c>
      <x:c r="B320" t="n">
        <x:v>1</x:v>
      </x:c>
      <x:c r="C320" t="n">
        <x:v>0</x:v>
      </x:c>
      <x:c r="D320" t="n">
        <x:v>0</x:v>
      </x:c>
      <x:c r="E320" t="str">
        <x:v>vvo</x:v>
      </x:c>
      <x:c r="F320" s="45" t="n">
        <x:f>(3/2)*$B320+(1/2)*$C320</x:f>
        <x:v>1.5</x:v>
      </x:c>
      <x:c r="G320" s="45" t="n">
        <x:f>(3/2)*$B320+(1/2)*$C320</x:f>
        <x:v>1.5</x:v>
      </x:c>
      <x:c r="H320" s="45" t="n">
        <x:f>0</x:f>
        <x:v>0</x:v>
      </x:c>
      <x:c r="I320" s="45" t="n">
        <x:f>MAX((1/2)*($C320-$B320),0)</x:f>
        <x:v>0</x:v>
      </x:c>
      <x:c r="J320" s="45" t="n">
        <x:f>MAX((1/2)*($C320-$B320),0)</x:f>
        <x:v>0</x:v>
      </x:c>
      <x:c r="K320" s="45" t="n">
        <x:f>0</x:f>
        <x:v>0</x:v>
      </x:c>
      <x:c r="L320" s="45" t="n">
        <x:f>F320+I320</x:f>
        <x:v>1.5</x:v>
      </x:c>
      <x:c r="M320" s="45" t="n">
        <x:f>G320+J320</x:f>
        <x:v>1.5</x:v>
      </x:c>
      <x:c r="N320" s="45" t="n">
        <x:f>H320+K320</x:f>
        <x:v>0</x:v>
      </x:c>
      <x:c r="O320" s="45" t="n">
        <x:f>SUM(F320:H320)</x:f>
        <x:v>3</x:v>
      </x:c>
      <x:c r="P320" s="42" t="n">
        <x:f>IF(AND(F320&lt;=F272,F320&lt;=F304,F320&lt;=F288,G320&lt;=G308,G320&lt;=G316,G320&lt;=G312,H320&lt;=H321,H320&lt;=H318,H320&lt;=H319),1,0)</x:f>
        <x:v>0</x:v>
      </x:c>
      <x:c r="Q320" s="42" t="n">
        <x:f>IF(AND(L320&lt;=L272,L320&lt;=L304,L320&lt;=L288,M320&lt;=M308,M320&lt;=M316,M320&lt;=M312,N320&lt;=N321,N320&lt;=N318,N320&lt;=N319),1,0)</x:f>
        <x:v>0</x:v>
      </x:c>
      <x:c r="R320" s="42" t="n">
        <x:v>0</x:v>
      </x:c>
      <x:c r="S320" s="42" t="n">
        <x:v>0</x:v>
      </x:c>
    </x:row>
    <x:row r="321">
      <x:c r="A321" t="n">
        <x:v>5</x:v>
      </x:c>
      <x:c r="B321" t="n">
        <x:v>1</x:v>
      </x:c>
      <x:c r="C321" t="n">
        <x:v>0</x:v>
      </x:c>
      <x:c r="D321" t="n">
        <x:v>0</x:v>
      </x:c>
      <x:c r="E321" t="str">
        <x:v>vvv</x:v>
      </x:c>
      <x:c r="F321" s="45" t="n">
        <x:f>1*$B321+1*$C321</x:f>
        <x:v>1</x:v>
      </x:c>
      <x:c r="G321" s="45" t="n">
        <x:f>1*$B321+1*$C321</x:f>
        <x:v>1</x:v>
      </x:c>
      <x:c r="H321" s="45" t="n">
        <x:f>1*$B321+1*$C321</x:f>
        <x:v>1</x:v>
      </x:c>
      <x:c r="I321" s="45" t="n">
        <x:f>MAX($C321-$B321,0)</x:f>
        <x:v>0</x:v>
      </x:c>
      <x:c r="J321" s="45" t="n">
        <x:f>MAX($C321-$B321,0)</x:f>
        <x:v>0</x:v>
      </x:c>
      <x:c r="K321" s="45" t="n">
        <x:f>MAX($C321-$B321,0)</x:f>
        <x:v>0</x:v>
      </x:c>
      <x:c r="L321" s="45" t="n">
        <x:f>F321+I321</x:f>
        <x:v>1</x:v>
      </x:c>
      <x:c r="M321" s="45" t="n">
        <x:f>G321+J321</x:f>
        <x:v>1</x:v>
      </x:c>
      <x:c r="N321" s="45" t="n">
        <x:f>H321+K321</x:f>
        <x:v>1</x:v>
      </x:c>
      <x:c r="O321" s="45" t="n">
        <x:f>SUM(F321:H321)</x:f>
        <x:v>3</x:v>
      </x:c>
      <x:c r="P321" s="42" t="n">
        <x:f>IF(AND(F321&lt;=F273,F321&lt;=F305,F321&lt;=F289,G321&lt;=G309,G321&lt;=G317,G321&lt;=G313,H321&lt;=H318,H321&lt;=H320,H321&lt;=H319),1,0)</x:f>
        <x:v>0</x:v>
      </x:c>
      <x:c r="Q321" s="42" t="n">
        <x:f>IF(AND(L321&lt;=L273,L321&lt;=L305,L321&lt;=L289,M321&lt;=M309,M321&lt;=M317,M321&lt;=M313,N321&lt;=N318,N321&lt;=N320,N321&lt;=N319),1,0)</x:f>
        <x:v>0</x:v>
      </x:c>
      <x:c r="R321" s="42" t="n">
        <x:v>0</x:v>
      </x:c>
      <x:c r="S321" s="42" t="n">
        <x:v>0</x:v>
      </x:c>
    </x:row>
    <x:row r="322">
      <x:c r="A322" t="n">
        <x:v>6</x:v>
      </x:c>
      <x:c r="B322" t="n">
        <x:v>1</x:v>
      </x:c>
      <x:c r="C322" t="n">
        <x:v>1</x:v>
      </x:c>
      <x:c r="D322" t="n">
        <x:v>0</x:v>
      </x:c>
      <x:c r="E322" t="str">
        <x:v>eee</x:v>
      </x:c>
      <x:c r="F322" s="45" t="n">
        <x:f>(1/3)*$B322+1*$C322+(1/3)*$D322</x:f>
        <x:v>1.3333333333333333</x:v>
      </x:c>
      <x:c r="G322" s="45" t="n">
        <x:f>(1/3)*$B322+1*$C322+(1/3)*$D322</x:f>
        <x:v>1.3333333333333333</x:v>
      </x:c>
      <x:c r="H322" s="45" t="n">
        <x:f>(1/3)*$B322+1*$C322+(1/3)*$D322</x:f>
        <x:v>1.3333333333333333</x:v>
      </x:c>
      <x:c r="I322" s="45" t="n">
        <x:f>MAX($C322+(2/3)*$D322-(1/3)*$B322,0)</x:f>
        <x:v>0.6666666666666667</x:v>
      </x:c>
      <x:c r="J322" s="45" t="n">
        <x:f>MAX($C322+(2/3)*$D322-(1/3)*$B322,0)</x:f>
        <x:v>0.6666666666666667</x:v>
      </x:c>
      <x:c r="K322" s="45" t="n">
        <x:f>MAX($C322+(2/3)*$D322-(1/3)*$B322,0)</x:f>
        <x:v>0.6666666666666667</x:v>
      </x:c>
      <x:c r="L322" s="45" t="n">
        <x:f>F322+I322</x:f>
        <x:v>2</x:v>
      </x:c>
      <x:c r="M322" s="45" t="n">
        <x:f>G322+J322</x:f>
        <x:v>2</x:v>
      </x:c>
      <x:c r="N322" s="45" t="n">
        <x:f>H322+K322</x:f>
        <x:v>2</x:v>
      </x:c>
      <x:c r="O322" s="45" t="n">
        <x:f>SUM(F322:H322)</x:f>
        <x:v>4</x:v>
      </x:c>
      <x:c r="P322" s="42" t="n">
        <x:f>IF(AND(F322&lt;=F370,F322&lt;=F354,F322&lt;=F338,G322&lt;=G334,G322&lt;=G330,G322&lt;=G326,H322&lt;=H325,H322&lt;=H324,H322&lt;=H323),1,0)</x:f>
        <x:v>0</x:v>
      </x:c>
      <x:c r="Q322" s="42" t="n">
        <x:f>IF(AND(L322&lt;=L370,L322&lt;=L354,L322&lt;=L338,M322&lt;=M334,M322&lt;=M330,M322&lt;=M326,N322&lt;=N325,N322&lt;=N324,N322&lt;=N323),1,0)</x:f>
        <x:v>0</x:v>
      </x:c>
      <x:c r="R322" s="42" t="n">
        <x:v>0</x:v>
      </x:c>
      <x:c r="S322" s="42" t="n">
        <x:v>0</x:v>
      </x:c>
    </x:row>
    <x:row r="323">
      <x:c r="A323" t="n">
        <x:v>6</x:v>
      </x:c>
      <x:c r="B323" t="n">
        <x:v>1</x:v>
      </x:c>
      <x:c r="C323" t="n">
        <x:v>1</x:v>
      </x:c>
      <x:c r="D323" t="n">
        <x:v>0</x:v>
      </x:c>
      <x:c r="E323" t="str">
        <x:v>eel</x:v>
      </x:c>
      <x:c r="F323" s="45" t="n">
        <x:f>(1/2)*$B323+(1/2)*$C323</x:f>
        <x:v>1</x:v>
      </x:c>
      <x:c r="G323" s="45" t="n">
        <x:f>(1/2)*$B323+(1/2)*$C323</x:f>
        <x:v>1</x:v>
      </x:c>
      <x:c r="H323" s="45" t="n">
        <x:f>1*$D323</x:f>
        <x:v>0</x:v>
      </x:c>
      <x:c r="I323" s="45" t="n">
        <x:f>MAX((1/2)*($C323-$B323),0)</x:f>
        <x:v>0</x:v>
      </x:c>
      <x:c r="J323" s="45" t="n">
        <x:f>MAX((1/2)*($C323-$B323),0)</x:f>
        <x:v>0</x:v>
      </x:c>
      <x:c r="K323" s="45" t="n">
        <x:f>0</x:f>
        <x:v>0</x:v>
      </x:c>
      <x:c r="L323" s="45" t="n">
        <x:f>F323+I323</x:f>
        <x:v>1</x:v>
      </x:c>
      <x:c r="M323" s="45" t="n">
        <x:f>G323+J323</x:f>
        <x:v>1</x:v>
      </x:c>
      <x:c r="N323" s="45" t="n">
        <x:f>H323+K323</x:f>
        <x:v>0</x:v>
      </x:c>
      <x:c r="O323" s="45" t="n">
        <x:f>SUM(F323:H323)</x:f>
        <x:v>2</x:v>
      </x:c>
      <x:c r="P323" s="42" t="n">
        <x:f>IF(AND(F323&lt;=F371,F323&lt;=F355,F323&lt;=F339,G323&lt;=G335,G323&lt;=G331,G323&lt;=G327,H323&lt;=H325,H323&lt;=H322,H323&lt;=H324),1,0)</x:f>
        <x:v>0</x:v>
      </x:c>
      <x:c r="Q323" s="42" t="n">
        <x:f>IF(AND(L323&lt;=L371,L323&lt;=L355,L323&lt;=L339,M323&lt;=M335,M323&lt;=M331,M323&lt;=M327,N323&lt;=N325,N323&lt;=N322,N323&lt;=N324),1,0)</x:f>
        <x:v>0</x:v>
      </x:c>
      <x:c r="R323" s="42" t="n">
        <x:v>0</x:v>
      </x:c>
      <x:c r="S323" s="42" t="n">
        <x:v>0</x:v>
      </x:c>
    </x:row>
    <x:row r="324">
      <x:c r="A324" t="n">
        <x:v>6</x:v>
      </x:c>
      <x:c r="B324" t="n">
        <x:v>1</x:v>
      </x:c>
      <x:c r="C324" t="n">
        <x:v>1</x:v>
      </x:c>
      <x:c r="D324" t="n">
        <x:v>0</x:v>
      </x:c>
      <x:c r="E324" t="str">
        <x:v>eeo</x:v>
      </x:c>
      <x:c r="F324" s="45" t="n">
        <x:f>(1/2)*$B324+(1/2)*$C324</x:f>
        <x:v>1</x:v>
      </x:c>
      <x:c r="G324" s="45" t="n">
        <x:f>(1/2)*$B324+(1/2)*$C324</x:f>
        <x:v>1</x:v>
      </x:c>
      <x:c r="H324" s="45" t="n">
        <x:f>1*$C324+1*$D324</x:f>
        <x:v>1</x:v>
      </x:c>
      <x:c r="I324" s="45" t="n">
        <x:f>MAX((3/2)*$C324+$D324-(1/2)*$B324,0)</x:f>
        <x:v>1</x:v>
      </x:c>
      <x:c r="J324" s="45" t="n">
        <x:f>MAX((3/2)*$C324+$D324-(1/2)*$B324,0)</x:f>
        <x:v>1</x:v>
      </x:c>
      <x:c r="K324" s="45" t="n">
        <x:f>0</x:f>
        <x:v>0</x:v>
      </x:c>
      <x:c r="L324" s="45" t="n">
        <x:f>F324+I324</x:f>
        <x:v>2</x:v>
      </x:c>
      <x:c r="M324" s="45" t="n">
        <x:f>G324+J324</x:f>
        <x:v>2</x:v>
      </x:c>
      <x:c r="N324" s="45" t="n">
        <x:f>H324+K324</x:f>
        <x:v>1</x:v>
      </x:c>
      <x:c r="O324" s="45" t="n">
        <x:f>SUM(F324:H324)</x:f>
        <x:v>3</x:v>
      </x:c>
      <x:c r="P324" s="42" t="n">
        <x:f>IF(AND(F324&lt;=F372,F324&lt;=F356,F324&lt;=F340,G324&lt;=G336,G324&lt;=G332,G324&lt;=G328,H324&lt;=H325,H324&lt;=H322,H324&lt;=H323),1,0)</x:f>
        <x:v>0</x:v>
      </x:c>
      <x:c r="Q324" s="42" t="n">
        <x:f>IF(AND(L324&lt;=L372,L324&lt;=L356,L324&lt;=L340,M324&lt;=M336,M324&lt;=M332,M324&lt;=M328,N324&lt;=N325,N324&lt;=N322,N324&lt;=N323),1,0)</x:f>
        <x:v>0</x:v>
      </x:c>
      <x:c r="R324" s="42" t="n">
        <x:v>0</x:v>
      </x:c>
      <x:c r="S324" s="42" t="n">
        <x:v>0</x:v>
      </x:c>
    </x:row>
    <x:row r="325">
      <x:c r="A325" t="n">
        <x:v>6</x:v>
      </x:c>
      <x:c r="B325" t="n">
        <x:v>1</x:v>
      </x:c>
      <x:c r="C325" t="n">
        <x:v>1</x:v>
      </x:c>
      <x:c r="D325" t="n">
        <x:v>0</x:v>
      </x:c>
      <x:c r="E325" t="str">
        <x:v>eev</x:v>
      </x:c>
      <x:c r="F325" s="45" t="n">
        <x:f>(1/2)*$B325+(1/2)*$C325</x:f>
        <x:v>1</x:v>
      </x:c>
      <x:c r="G325" s="45" t="n">
        <x:f>(1/2)*$B325+(1/2)*$C325</x:f>
        <x:v>1</x:v>
      </x:c>
      <x:c r="H325" s="45" t="n">
        <x:f>2*$B325</x:f>
        <x:v>2</x:v>
      </x:c>
      <x:c r="I325" s="45" t="n">
        <x:f>MAX((1/2)*($C325-$B325),0)</x:f>
        <x:v>0</x:v>
      </x:c>
      <x:c r="J325" s="45" t="n">
        <x:f>MAX((1/2)*($C325-$B325),0)</x:f>
        <x:v>0</x:v>
      </x:c>
      <x:c r="K325" s="45" t="n">
        <x:f>0</x:f>
        <x:v>0</x:v>
      </x:c>
      <x:c r="L325" s="45" t="n">
        <x:f>F325+I325</x:f>
        <x:v>1</x:v>
      </x:c>
      <x:c r="M325" s="45" t="n">
        <x:f>G325+J325</x:f>
        <x:v>1</x:v>
      </x:c>
      <x:c r="N325" s="45" t="n">
        <x:f>H325+K325</x:f>
        <x:v>2</x:v>
      </x:c>
      <x:c r="O325" s="45" t="n">
        <x:f>SUM(F325:H325)</x:f>
        <x:v>4</x:v>
      </x:c>
      <x:c r="P325" s="42" t="n">
        <x:f>IF(AND(F325&lt;=F373,F325&lt;=F357,F325&lt;=F341,G325&lt;=G337,G325&lt;=G333,G325&lt;=G329,H325&lt;=H322,H325&lt;=H324,H325&lt;=H323),1,0)</x:f>
        <x:v>0</x:v>
      </x:c>
      <x:c r="Q325" s="42" t="n">
        <x:f>IF(AND(L325&lt;=L373,L325&lt;=L357,L325&lt;=L341,M325&lt;=M337,M325&lt;=M333,M325&lt;=M329,N325&lt;=N322,N325&lt;=N324,N325&lt;=N323),1,0)</x:f>
        <x:v>0</x:v>
      </x:c>
      <x:c r="R325" s="42" t="n">
        <x:v>0</x:v>
      </x:c>
      <x:c r="S325" s="42" t="n">
        <x:v>0</x:v>
      </x:c>
    </x:row>
    <x:row r="326">
      <x:c r="A326" t="n">
        <x:v>6</x:v>
      </x:c>
      <x:c r="B326" t="n">
        <x:v>1</x:v>
      </x:c>
      <x:c r="C326" t="n">
        <x:v>1</x:v>
      </x:c>
      <x:c r="D326" t="n">
        <x:v>0</x:v>
      </x:c>
      <x:c r="E326" t="str">
        <x:v>ele</x:v>
      </x:c>
      <x:c r="F326" s="45" t="n">
        <x:f>(1/2)*$B326+(1/2)*$C326</x:f>
        <x:v>1</x:v>
      </x:c>
      <x:c r="G326" s="45" t="n">
        <x:f>1*$D326</x:f>
        <x:v>0</x:v>
      </x:c>
      <x:c r="H326" s="45" t="n">
        <x:f>(1/2)*$B326+(1/2)*$C326</x:f>
        <x:v>1</x:v>
      </x:c>
      <x:c r="I326" s="45" t="n">
        <x:f>MAX((1/2)*($C326-$B326),0)</x:f>
        <x:v>0</x:v>
      </x:c>
      <x:c r="J326" s="45" t="n">
        <x:f>0</x:f>
        <x:v>0</x:v>
      </x:c>
      <x:c r="K326" s="45" t="n">
        <x:f>MAX((1/2)*($C326-$B326),0)</x:f>
        <x:v>0</x:v>
      </x:c>
      <x:c r="L326" s="45" t="n">
        <x:f>F326+I326</x:f>
        <x:v>1</x:v>
      </x:c>
      <x:c r="M326" s="45" t="n">
        <x:f>G326+J326</x:f>
        <x:v>0</x:v>
      </x:c>
      <x:c r="N326" s="45" t="n">
        <x:f>H326+K326</x:f>
        <x:v>1</x:v>
      </x:c>
      <x:c r="O326" s="45" t="n">
        <x:f>SUM(F326:H326)</x:f>
        <x:v>2</x:v>
      </x:c>
      <x:c r="P326" s="42" t="n">
        <x:f>IF(AND(F326&lt;=F374,F326&lt;=F358,F326&lt;=F342,G326&lt;=G334,G326&lt;=G322,G326&lt;=G330,H326&lt;=H329,H326&lt;=H328,H326&lt;=H327),1,0)</x:f>
        <x:v>0</x:v>
      </x:c>
      <x:c r="Q326" s="42" t="n">
        <x:f>IF(AND(L326&lt;=L374,L326&lt;=L358,L326&lt;=L342,M326&lt;=M334,M326&lt;=M322,M326&lt;=M330,N326&lt;=N329,N326&lt;=N328,N326&lt;=N327),1,0)</x:f>
        <x:v>0</x:v>
      </x:c>
      <x:c r="R326" s="42" t="n">
        <x:v>0</x:v>
      </x:c>
      <x:c r="S326" s="42" t="n">
        <x:v>0</x:v>
      </x:c>
    </x:row>
    <x:row r="327">
      <x:c r="A327" t="n">
        <x:v>6</x:v>
      </x:c>
      <x:c r="B327" t="n">
        <x:v>1</x:v>
      </x:c>
      <x:c r="C327" t="n">
        <x:v>1</x:v>
      </x:c>
      <x:c r="D327" t="n">
        <x:v>0</x:v>
      </x:c>
      <x:c r="E327" t="str">
        <x:v>ell</x:v>
      </x:c>
      <x:c r="F327" s="45" t="n">
        <x:f>1*$B327</x:f>
        <x:v>1</x:v>
      </x:c>
      <x:c r="G327" s="45" t="n">
        <x:f>(1/2)*$C327+(3/2)*$D327</x:f>
        <x:v>0.5</x:v>
      </x:c>
      <x:c r="H327" s="45" t="n">
        <x:f>(1/2)*$C327+(3/2)*$D327</x:f>
        <x:v>0.5</x:v>
      </x:c>
      <x:c r="I327" s="45" t="n">
        <x:f>0</x:f>
        <x:v>0</x:v>
      </x:c>
      <x:c r="J327" s="45" t="n">
        <x:f>(1/2)*($C327+$D327)</x:f>
        <x:v>0.5</x:v>
      </x:c>
      <x:c r="K327" s="45" t="n">
        <x:f>(1/2)*($C327+$D327)</x:f>
        <x:v>0.5</x:v>
      </x:c>
      <x:c r="L327" s="45" t="n">
        <x:f>F327+I327</x:f>
        <x:v>1</x:v>
      </x:c>
      <x:c r="M327" s="45" t="n">
        <x:f>G327+J327</x:f>
        <x:v>1</x:v>
      </x:c>
      <x:c r="N327" s="45" t="n">
        <x:f>H327+K327</x:f>
        <x:v>1</x:v>
      </x:c>
      <x:c r="O327" s="45" t="n">
        <x:f>SUM(F327:H327)</x:f>
        <x:v>2</x:v>
      </x:c>
      <x:c r="P327" s="42" t="n">
        <x:f>IF(AND(F327&lt;=F375,F327&lt;=F359,F327&lt;=F343,G327&lt;=G335,G327&lt;=G323,G327&lt;=G331,H327&lt;=H329,H327&lt;=H326,H327&lt;=H328),1,0)</x:f>
        <x:v>0</x:v>
      </x:c>
      <x:c r="Q327" s="42" t="n">
        <x:f>IF(AND(L327&lt;=L375,L327&lt;=L359,L327&lt;=L343,M327&lt;=M335,M327&lt;=M323,M327&lt;=M331,N327&lt;=N329,N327&lt;=N326,N327&lt;=N328),1,0)</x:f>
        <x:v>0</x:v>
      </x:c>
      <x:c r="R327" s="42" t="n">
        <x:v>0</x:v>
      </x:c>
      <x:c r="S327" s="42" t="n">
        <x:v>0</x:v>
      </x:c>
    </x:row>
    <x:row r="328">
      <x:c r="A328" t="n">
        <x:v>6</x:v>
      </x:c>
      <x:c r="B328" t="n">
        <x:v>1</x:v>
      </x:c>
      <x:c r="C328" t="n">
        <x:v>1</x:v>
      </x:c>
      <x:c r="D328" t="n">
        <x:v>0</x:v>
      </x:c>
      <x:c r="E328" t="str">
        <x:v>elo</x:v>
      </x:c>
      <x:c r="F328" s="45" t="n">
        <x:f>1*$B328</x:f>
        <x:v>1</x:v>
      </x:c>
      <x:c r="G328" s="45" t="n">
        <x:f>1*$D328</x:f>
        <x:v>0</x:v>
      </x:c>
      <x:c r="H328" s="45" t="n">
        <x:f>0</x:f>
        <x:v>0</x:v>
      </x:c>
      <x:c r="I328" s="45" t="n">
        <x:f>0</x:f>
        <x:v>0</x:v>
      </x:c>
      <x:c r="J328" s="45" t="n">
        <x:f>0</x:f>
        <x:v>0</x:v>
      </x:c>
      <x:c r="K328" s="45" t="n">
        <x:f>0</x:f>
        <x:v>0</x:v>
      </x:c>
      <x:c r="L328" s="45" t="n">
        <x:f>F328+I328</x:f>
        <x:v>1</x:v>
      </x:c>
      <x:c r="M328" s="45" t="n">
        <x:f>G328+J328</x:f>
        <x:v>0</x:v>
      </x:c>
      <x:c r="N328" s="45" t="n">
        <x:f>H328+K328</x:f>
        <x:v>0</x:v>
      </x:c>
      <x:c r="O328" s="45" t="n">
        <x:f>SUM(F328:H328)</x:f>
        <x:v>1</x:v>
      </x:c>
      <x:c r="P328" s="42" t="n">
        <x:f>IF(AND(F328&lt;=F376,F328&lt;=F360,F328&lt;=F344,G328&lt;=G336,G328&lt;=G324,G328&lt;=G332,H328&lt;=H329,H328&lt;=H326,H328&lt;=H327),1,0)</x:f>
        <x:v>0</x:v>
      </x:c>
      <x:c r="Q328" s="42" t="n">
        <x:f>IF(AND(L328&lt;=L376,L328&lt;=L360,L328&lt;=L344,M328&lt;=M336,M328&lt;=M324,M328&lt;=M332,N328&lt;=N329,N328&lt;=N326,N328&lt;=N327),1,0)</x:f>
        <x:v>1</x:v>
      </x:c>
      <x:c r="R328" s="42" t="n">
        <x:v>0</x:v>
      </x:c>
      <x:c r="S328" s="42" t="n">
        <x:v>1</x:v>
      </x:c>
    </x:row>
    <x:row r="329">
      <x:c r="A329" t="n">
        <x:v>6</x:v>
      </x:c>
      <x:c r="B329" t="n">
        <x:v>1</x:v>
      </x:c>
      <x:c r="C329" t="n">
        <x:v>1</x:v>
      </x:c>
      <x:c r="D329" t="n">
        <x:v>0</x:v>
      </x:c>
      <x:c r="E329" t="str">
        <x:v>elv</x:v>
      </x:c>
      <x:c r="F329" s="45" t="n">
        <x:f>1*$B329</x:f>
        <x:v>1</x:v>
      </x:c>
      <x:c r="G329" s="45" t="n">
        <x:f>1*$D329</x:f>
        <x:v>0</x:v>
      </x:c>
      <x:c r="H329" s="45" t="n">
        <x:f>2*$B329</x:f>
        <x:v>2</x:v>
      </x:c>
      <x:c r="I329" s="45" t="n">
        <x:f>0</x:f>
        <x:v>0</x:v>
      </x:c>
      <x:c r="J329" s="45" t="n">
        <x:f>0</x:f>
        <x:v>0</x:v>
      </x:c>
      <x:c r="K329" s="45" t="n">
        <x:f>0</x:f>
        <x:v>0</x:v>
      </x:c>
      <x:c r="L329" s="45" t="n">
        <x:f>F329+I329</x:f>
        <x:v>1</x:v>
      </x:c>
      <x:c r="M329" s="45" t="n">
        <x:f>G329+J329</x:f>
        <x:v>0</x:v>
      </x:c>
      <x:c r="N329" s="45" t="n">
        <x:f>H329+K329</x:f>
        <x:v>2</x:v>
      </x:c>
      <x:c r="O329" s="45" t="n">
        <x:f>SUM(F329:H329)</x:f>
        <x:v>3</x:v>
      </x:c>
      <x:c r="P329" s="42" t="n">
        <x:f>IF(AND(F329&lt;=F377,F329&lt;=F361,F329&lt;=F345,G329&lt;=G337,G329&lt;=G325,G329&lt;=G333,H329&lt;=H326,H329&lt;=H328,H329&lt;=H327),1,0)</x:f>
        <x:v>0</x:v>
      </x:c>
      <x:c r="Q329" s="42" t="n">
        <x:f>IF(AND(L329&lt;=L377,L329&lt;=L361,L329&lt;=L345,M329&lt;=M337,M329&lt;=M325,M329&lt;=M333,N329&lt;=N326,N329&lt;=N328,N329&lt;=N327),1,0)</x:f>
        <x:v>0</x:v>
      </x:c>
      <x:c r="R329" s="42" t="n">
        <x:v>0</x:v>
      </x:c>
      <x:c r="S329" s="42" t="n">
        <x:v>0</x:v>
      </x:c>
    </x:row>
    <x:row r="330">
      <x:c r="A330" t="n">
        <x:v>6</x:v>
      </x:c>
      <x:c r="B330" t="n">
        <x:v>1</x:v>
      </x:c>
      <x:c r="C330" t="n">
        <x:v>1</x:v>
      </x:c>
      <x:c r="D330" t="n">
        <x:v>0</x:v>
      </x:c>
      <x:c r="E330" t="str">
        <x:v>eoe</x:v>
      </x:c>
      <x:c r="F330" s="45" t="n">
        <x:f>(1/2)*$B330+(1/2)*$C330</x:f>
        <x:v>1</x:v>
      </x:c>
      <x:c r="G330" s="45" t="n">
        <x:f>1*$C330+1*$D330</x:f>
        <x:v>1</x:v>
      </x:c>
      <x:c r="H330" s="45" t="n">
        <x:f>(1/2)*$B330+(1/2)*$C330</x:f>
        <x:v>1</x:v>
      </x:c>
      <x:c r="I330" s="45" t="n">
        <x:f>MAX((3/2)*$C330+$D330-(1/2)*$B330,0)</x:f>
        <x:v>1</x:v>
      </x:c>
      <x:c r="J330" s="45" t="n">
        <x:f>0</x:f>
        <x:v>0</x:v>
      </x:c>
      <x:c r="K330" s="45" t="n">
        <x:f>MAX((3/2)*$C330+$D330-(1/2)*$B330,0)</x:f>
        <x:v>1</x:v>
      </x:c>
      <x:c r="L330" s="45" t="n">
        <x:f>F330+I330</x:f>
        <x:v>2</x:v>
      </x:c>
      <x:c r="M330" s="45" t="n">
        <x:f>G330+J330</x:f>
        <x:v>1</x:v>
      </x:c>
      <x:c r="N330" s="45" t="n">
        <x:f>H330+K330</x:f>
        <x:v>2</x:v>
      </x:c>
      <x:c r="O330" s="45" t="n">
        <x:f>SUM(F330:H330)</x:f>
        <x:v>3</x:v>
      </x:c>
      <x:c r="P330" s="42" t="n">
        <x:f>IF(AND(F330&lt;=F378,F330&lt;=F362,F330&lt;=F346,G330&lt;=G334,G330&lt;=G322,G330&lt;=G326,H330&lt;=H333,H330&lt;=H332,H330&lt;=H331),1,0)</x:f>
        <x:v>0</x:v>
      </x:c>
      <x:c r="Q330" s="42" t="n">
        <x:f>IF(AND(L330&lt;=L378,L330&lt;=L362,L330&lt;=L346,M330&lt;=M334,M330&lt;=M322,M330&lt;=M326,N330&lt;=N333,N330&lt;=N332,N330&lt;=N331),1,0)</x:f>
        <x:v>0</x:v>
      </x:c>
      <x:c r="R330" s="42" t="n">
        <x:v>0</x:v>
      </x:c>
      <x:c r="S330" s="42" t="n">
        <x:v>0</x:v>
      </x:c>
    </x:row>
    <x:row r="331">
      <x:c r="A331" t="n">
        <x:v>6</x:v>
      </x:c>
      <x:c r="B331" t="n">
        <x:v>1</x:v>
      </x:c>
      <x:c r="C331" t="n">
        <x:v>1</x:v>
      </x:c>
      <x:c r="D331" t="n">
        <x:v>0</x:v>
      </x:c>
      <x:c r="E331" t="str">
        <x:v>eol</x:v>
      </x:c>
      <x:c r="F331" s="45" t="n">
        <x:f>1*$B331</x:f>
        <x:v>1</x:v>
      </x:c>
      <x:c r="G331" s="45" t="n">
        <x:f>0</x:f>
        <x:v>0</x:v>
      </x:c>
      <x:c r="H331" s="45" t="n">
        <x:f>1*$D331</x:f>
        <x:v>0</x:v>
      </x:c>
      <x:c r="I331" s="45" t="n">
        <x:f>0</x:f>
        <x:v>0</x:v>
      </x:c>
      <x:c r="J331" s="45" t="n">
        <x:f>0</x:f>
        <x:v>0</x:v>
      </x:c>
      <x:c r="K331" s="45" t="n">
        <x:f>0</x:f>
        <x:v>0</x:v>
      </x:c>
      <x:c r="L331" s="45" t="n">
        <x:f>F331+I331</x:f>
        <x:v>1</x:v>
      </x:c>
      <x:c r="M331" s="45" t="n">
        <x:f>G331+J331</x:f>
        <x:v>0</x:v>
      </x:c>
      <x:c r="N331" s="45" t="n">
        <x:f>H331+K331</x:f>
        <x:v>0</x:v>
      </x:c>
      <x:c r="O331" s="45" t="n">
        <x:f>SUM(F331:H331)</x:f>
        <x:v>1</x:v>
      </x:c>
      <x:c r="P331" s="42" t="n">
        <x:f>IF(AND(F331&lt;=F379,F331&lt;=F363,F331&lt;=F347,G331&lt;=G335,G331&lt;=G323,G331&lt;=G327,H331&lt;=H333,H331&lt;=H330,H331&lt;=H332),1,0)</x:f>
        <x:v>0</x:v>
      </x:c>
      <x:c r="Q331" s="42" t="n">
        <x:f>IF(AND(L331&lt;=L379,L331&lt;=L363,L331&lt;=L347,M331&lt;=M335,M331&lt;=M323,M331&lt;=M327,N331&lt;=N333,N331&lt;=N330,N331&lt;=N332),1,0)</x:f>
        <x:v>1</x:v>
      </x:c>
      <x:c r="R331" s="42" t="n">
        <x:v>0</x:v>
      </x:c>
      <x:c r="S331" s="42" t="n">
        <x:v>1</x:v>
      </x:c>
    </x:row>
    <x:row r="332">
      <x:c r="A332" t="n">
        <x:v>6</x:v>
      </x:c>
      <x:c r="B332" t="n">
        <x:v>1</x:v>
      </x:c>
      <x:c r="C332" t="n">
        <x:v>1</x:v>
      </x:c>
      <x:c r="D332" t="n">
        <x:v>0</x:v>
      </x:c>
      <x:c r="E332" t="str">
        <x:v>eoo</x:v>
      </x:c>
      <x:c r="F332" s="45" t="n">
        <x:f>1*$B332</x:f>
        <x:v>1</x:v>
      </x:c>
      <x:c r="G332" s="45" t="n">
        <x:f>(1/2)*$C332+(1/2)*$D332</x:f>
        <x:v>0.5</x:v>
      </x:c>
      <x:c r="H332" s="45" t="n">
        <x:f>(1/2)*$C332+(1/2)*$D332</x:f>
        <x:v>0.5</x:v>
      </x:c>
      <x:c r="I332" s="45" t="n">
        <x:f>0</x:f>
        <x:v>0</x:v>
      </x:c>
      <x:c r="J332" s="45" t="n">
        <x:f>(1/2)*($C332+$D332)</x:f>
        <x:v>0.5</x:v>
      </x:c>
      <x:c r="K332" s="45" t="n">
        <x:f>(1/2)*($C332+$D332)</x:f>
        <x:v>0.5</x:v>
      </x:c>
      <x:c r="L332" s="45" t="n">
        <x:f>F332+I332</x:f>
        <x:v>1</x:v>
      </x:c>
      <x:c r="M332" s="45" t="n">
        <x:f>G332+J332</x:f>
        <x:v>1</x:v>
      </x:c>
      <x:c r="N332" s="45" t="n">
        <x:f>H332+K332</x:f>
        <x:v>1</x:v>
      </x:c>
      <x:c r="O332" s="45" t="n">
        <x:f>SUM(F332:H332)</x:f>
        <x:v>2</x:v>
      </x:c>
      <x:c r="P332" s="42" t="n">
        <x:f>IF(AND(F332&lt;=F380,F332&lt;=F364,F332&lt;=F348,G332&lt;=G336,G332&lt;=G324,G332&lt;=G328,H332&lt;=H333,H332&lt;=H330,H332&lt;=H331),1,0)</x:f>
        <x:v>0</x:v>
      </x:c>
      <x:c r="Q332" s="42" t="n">
        <x:f>IF(AND(L332&lt;=L380,L332&lt;=L364,L332&lt;=L348,M332&lt;=M336,M332&lt;=M324,M332&lt;=M328,N332&lt;=N333,N332&lt;=N330,N332&lt;=N331),1,0)</x:f>
        <x:v>0</x:v>
      </x:c>
      <x:c r="R332" s="42" t="n">
        <x:v>0</x:v>
      </x:c>
      <x:c r="S332" s="42" t="n">
        <x:v>0</x:v>
      </x:c>
    </x:row>
    <x:row r="333">
      <x:c r="A333" t="n">
        <x:v>6</x:v>
      </x:c>
      <x:c r="B333" t="n">
        <x:v>1</x:v>
      </x:c>
      <x:c r="C333" t="n">
        <x:v>1</x:v>
      </x:c>
      <x:c r="D333" t="n">
        <x:v>0</x:v>
      </x:c>
      <x:c r="E333" t="str">
        <x:v>eov</x:v>
      </x:c>
      <x:c r="F333" s="45" t="n">
        <x:f>1*$B333</x:f>
        <x:v>1</x:v>
      </x:c>
      <x:c r="G333" s="45" t="n">
        <x:f>0</x:f>
        <x:v>0</x:v>
      </x:c>
      <x:c r="H333" s="45" t="n">
        <x:f>2*$B333</x:f>
        <x:v>2</x:v>
      </x:c>
      <x:c r="I333" s="45" t="n">
        <x:f>0</x:f>
        <x:v>0</x:v>
      </x:c>
      <x:c r="J333" s="45" t="n">
        <x:f>0</x:f>
        <x:v>0</x:v>
      </x:c>
      <x:c r="K333" s="45" t="n">
        <x:f>0</x:f>
        <x:v>0</x:v>
      </x:c>
      <x:c r="L333" s="45" t="n">
        <x:f>F333+I333</x:f>
        <x:v>1</x:v>
      </x:c>
      <x:c r="M333" s="45" t="n">
        <x:f>G333+J333</x:f>
        <x:v>0</x:v>
      </x:c>
      <x:c r="N333" s="45" t="n">
        <x:f>H333+K333</x:f>
        <x:v>2</x:v>
      </x:c>
      <x:c r="O333" s="45" t="n">
        <x:f>SUM(F333:H333)</x:f>
        <x:v>3</x:v>
      </x:c>
      <x:c r="P333" s="42" t="n">
        <x:f>IF(AND(F333&lt;=F381,F333&lt;=F365,F333&lt;=F349,G333&lt;=G337,G333&lt;=G325,G333&lt;=G329,H333&lt;=H330,H333&lt;=H332,H333&lt;=H331),1,0)</x:f>
        <x:v>0</x:v>
      </x:c>
      <x:c r="Q333" s="42" t="n">
        <x:f>IF(AND(L333&lt;=L381,L333&lt;=L365,L333&lt;=L349,M333&lt;=M337,M333&lt;=M325,M333&lt;=M329,N333&lt;=N330,N333&lt;=N332,N333&lt;=N331),1,0)</x:f>
        <x:v>0</x:v>
      </x:c>
      <x:c r="R333" s="42" t="n">
        <x:v>0</x:v>
      </x:c>
      <x:c r="S333" s="42" t="n">
        <x:v>0</x:v>
      </x:c>
    </x:row>
    <x:row r="334">
      <x:c r="A334" t="n">
        <x:v>6</x:v>
      </x:c>
      <x:c r="B334" t="n">
        <x:v>1</x:v>
      </x:c>
      <x:c r="C334" t="n">
        <x:v>1</x:v>
      </x:c>
      <x:c r="D334" t="n">
        <x:v>0</x:v>
      </x:c>
      <x:c r="E334" t="str">
        <x:v>eve</x:v>
      </x:c>
      <x:c r="F334" s="45" t="n">
        <x:f>(1/2)*$B334+(1/2)*$C334</x:f>
        <x:v>1</x:v>
      </x:c>
      <x:c r="G334" s="45" t="n">
        <x:f>2*$B334</x:f>
        <x:v>2</x:v>
      </x:c>
      <x:c r="H334" s="45" t="n">
        <x:f>(1/2)*$B334+(1/2)*$C334</x:f>
        <x:v>1</x:v>
      </x:c>
      <x:c r="I334" s="45" t="n">
        <x:f>MAX((1/2)*($C334-$B334),0)</x:f>
        <x:v>0</x:v>
      </x:c>
      <x:c r="J334" s="45" t="n">
        <x:f>0</x:f>
        <x:v>0</x:v>
      </x:c>
      <x:c r="K334" s="45" t="n">
        <x:f>MAX((1/2)*($C334-$B334),0)</x:f>
        <x:v>0</x:v>
      </x:c>
      <x:c r="L334" s="45" t="n">
        <x:f>F334+I334</x:f>
        <x:v>1</x:v>
      </x:c>
      <x:c r="M334" s="45" t="n">
        <x:f>G334+J334</x:f>
        <x:v>2</x:v>
      </x:c>
      <x:c r="N334" s="45" t="n">
        <x:f>H334+K334</x:f>
        <x:v>1</x:v>
      </x:c>
      <x:c r="O334" s="45" t="n">
        <x:f>SUM(F334:H334)</x:f>
        <x:v>4</x:v>
      </x:c>
      <x:c r="P334" s="42" t="n">
        <x:f>IF(AND(F334&lt;=F382,F334&lt;=F366,F334&lt;=F350,G334&lt;=G322,G334&lt;=G330,G334&lt;=G326,H334&lt;=H337,H334&lt;=H336,H334&lt;=H335),1,0)</x:f>
        <x:v>0</x:v>
      </x:c>
      <x:c r="Q334" s="42" t="n">
        <x:f>IF(AND(L334&lt;=L382,L334&lt;=L366,L334&lt;=L350,M334&lt;=M322,M334&lt;=M330,M334&lt;=M326,N334&lt;=N337,N334&lt;=N336,N334&lt;=N335),1,0)</x:f>
        <x:v>0</x:v>
      </x:c>
      <x:c r="R334" s="42" t="n">
        <x:v>0</x:v>
      </x:c>
      <x:c r="S334" s="42" t="n">
        <x:v>0</x:v>
      </x:c>
    </x:row>
    <x:row r="335">
      <x:c r="A335" t="n">
        <x:v>6</x:v>
      </x:c>
      <x:c r="B335" t="n">
        <x:v>1</x:v>
      </x:c>
      <x:c r="C335" t="n">
        <x:v>1</x:v>
      </x:c>
      <x:c r="D335" t="n">
        <x:v>0</x:v>
      </x:c>
      <x:c r="E335" t="str">
        <x:v>evl</x:v>
      </x:c>
      <x:c r="F335" s="45" t="n">
        <x:f>1*$B335</x:f>
        <x:v>1</x:v>
      </x:c>
      <x:c r="G335" s="45" t="n">
        <x:f>2*$B335</x:f>
        <x:v>2</x:v>
      </x:c>
      <x:c r="H335" s="45" t="n">
        <x:f>1*$D335</x:f>
        <x:v>0</x:v>
      </x:c>
      <x:c r="I335" s="45" t="n">
        <x:f>0</x:f>
        <x:v>0</x:v>
      </x:c>
      <x:c r="J335" s="45" t="n">
        <x:f>0</x:f>
        <x:v>0</x:v>
      </x:c>
      <x:c r="K335" s="45" t="n">
        <x:f>0</x:f>
        <x:v>0</x:v>
      </x:c>
      <x:c r="L335" s="45" t="n">
        <x:f>F335+I335</x:f>
        <x:v>1</x:v>
      </x:c>
      <x:c r="M335" s="45" t="n">
        <x:f>G335+J335</x:f>
        <x:v>2</x:v>
      </x:c>
      <x:c r="N335" s="45" t="n">
        <x:f>H335+K335</x:f>
        <x:v>0</x:v>
      </x:c>
      <x:c r="O335" s="45" t="n">
        <x:f>SUM(F335:H335)</x:f>
        <x:v>3</x:v>
      </x:c>
      <x:c r="P335" s="42" t="n">
        <x:f>IF(AND(F335&lt;=F383,F335&lt;=F367,F335&lt;=F351,G335&lt;=G323,G335&lt;=G331,G335&lt;=G327,H335&lt;=H337,H335&lt;=H334,H335&lt;=H336),1,0)</x:f>
        <x:v>0</x:v>
      </x:c>
      <x:c r="Q335" s="42" t="n">
        <x:f>IF(AND(L335&lt;=L383,L335&lt;=L367,L335&lt;=L351,M335&lt;=M323,M335&lt;=M331,M335&lt;=M327,N335&lt;=N337,N335&lt;=N334,N335&lt;=N336),1,0)</x:f>
        <x:v>0</x:v>
      </x:c>
      <x:c r="R335" s="42" t="n">
        <x:v>0</x:v>
      </x:c>
      <x:c r="S335" s="42" t="n">
        <x:v>0</x:v>
      </x:c>
    </x:row>
    <x:row r="336">
      <x:c r="A336" t="n">
        <x:v>6</x:v>
      </x:c>
      <x:c r="B336" t="n">
        <x:v>1</x:v>
      </x:c>
      <x:c r="C336" t="n">
        <x:v>1</x:v>
      </x:c>
      <x:c r="D336" t="n">
        <x:v>0</x:v>
      </x:c>
      <x:c r="E336" t="str">
        <x:v>evo</x:v>
      </x:c>
      <x:c r="F336" s="45" t="n">
        <x:f>1*$B336</x:f>
        <x:v>1</x:v>
      </x:c>
      <x:c r="G336" s="45" t="n">
        <x:f>2*$B336</x:f>
        <x:v>2</x:v>
      </x:c>
      <x:c r="H336" s="45" t="n">
        <x:f>0</x:f>
        <x:v>0</x:v>
      </x:c>
      <x:c r="I336" s="45" t="n">
        <x:f>0</x:f>
        <x:v>0</x:v>
      </x:c>
      <x:c r="J336" s="45" t="n">
        <x:f>0</x:f>
        <x:v>0</x:v>
      </x:c>
      <x:c r="K336" s="45" t="n">
        <x:f>0</x:f>
        <x:v>0</x:v>
      </x:c>
      <x:c r="L336" s="45" t="n">
        <x:f>F336+I336</x:f>
        <x:v>1</x:v>
      </x:c>
      <x:c r="M336" s="45" t="n">
        <x:f>G336+J336</x:f>
        <x:v>2</x:v>
      </x:c>
      <x:c r="N336" s="45" t="n">
        <x:f>H336+K336</x:f>
        <x:v>0</x:v>
      </x:c>
      <x:c r="O336" s="45" t="n">
        <x:f>SUM(F336:H336)</x:f>
        <x:v>3</x:v>
      </x:c>
      <x:c r="P336" s="42" t="n">
        <x:f>IF(AND(F336&lt;=F384,F336&lt;=F368,F336&lt;=F352,G336&lt;=G324,G336&lt;=G332,G336&lt;=G328,H336&lt;=H337,H336&lt;=H334,H336&lt;=H335),1,0)</x:f>
        <x:v>0</x:v>
      </x:c>
      <x:c r="Q336" s="42" t="n">
        <x:f>IF(AND(L336&lt;=L384,L336&lt;=L368,L336&lt;=L352,M336&lt;=M324,M336&lt;=M332,M336&lt;=M328,N336&lt;=N337,N336&lt;=N334,N336&lt;=N335),1,0)</x:f>
        <x:v>0</x:v>
      </x:c>
      <x:c r="R336" s="42" t="n">
        <x:v>0</x:v>
      </x:c>
      <x:c r="S336" s="42" t="n">
        <x:v>0</x:v>
      </x:c>
    </x:row>
    <x:row r="337">
      <x:c r="A337" t="n">
        <x:v>6</x:v>
      </x:c>
      <x:c r="B337" t="n">
        <x:v>1</x:v>
      </x:c>
      <x:c r="C337" t="n">
        <x:v>1</x:v>
      </x:c>
      <x:c r="D337" t="n">
        <x:v>0</x:v>
      </x:c>
      <x:c r="E337" t="str">
        <x:v>evv</x:v>
      </x:c>
      <x:c r="F337" s="45" t="n">
        <x:f>1*$C337</x:f>
        <x:v>1</x:v>
      </x:c>
      <x:c r="G337" s="45" t="n">
        <x:f>(3/2)*$B337+(1/2)*$C337</x:f>
        <x:v>2</x:v>
      </x:c>
      <x:c r="H337" s="45" t="n">
        <x:f>(3/2)*$B337+(1/2)*$C337</x:f>
        <x:v>2</x:v>
      </x:c>
      <x:c r="I337" s="45" t="n">
        <x:f>0</x:f>
        <x:v>0</x:v>
      </x:c>
      <x:c r="J337" s="45" t="n">
        <x:f>MAX((3/2)*($C337-$B337),0)</x:f>
        <x:v>0</x:v>
      </x:c>
      <x:c r="K337" s="45" t="n">
        <x:f>MAX((3/2)*($C337-$B337),0)</x:f>
        <x:v>0</x:v>
      </x:c>
      <x:c r="L337" s="45" t="n">
        <x:f>F337+I337</x:f>
        <x:v>1</x:v>
      </x:c>
      <x:c r="M337" s="45" t="n">
        <x:f>G337+J337</x:f>
        <x:v>2</x:v>
      </x:c>
      <x:c r="N337" s="45" t="n">
        <x:f>H337+K337</x:f>
        <x:v>2</x:v>
      </x:c>
      <x:c r="O337" s="45" t="n">
        <x:f>SUM(F337:H337)</x:f>
        <x:v>5</x:v>
      </x:c>
      <x:c r="P337" s="42" t="n">
        <x:f>IF(AND(F337&lt;=F385,F337&lt;=F369,F337&lt;=F353,G337&lt;=G325,G337&lt;=G333,G337&lt;=G329,H337&lt;=H334,H337&lt;=H336,H337&lt;=H335),1,0)</x:f>
        <x:v>0</x:v>
      </x:c>
      <x:c r="Q337" s="42" t="n">
        <x:f>IF(AND(L337&lt;=L385,L337&lt;=L369,L337&lt;=L353,M337&lt;=M325,M337&lt;=M333,M337&lt;=M329,N337&lt;=N334,N337&lt;=N336,N337&lt;=N335),1,0)</x:f>
        <x:v>0</x:v>
      </x:c>
      <x:c r="R337" s="42" t="n">
        <x:v>0</x:v>
      </x:c>
      <x:c r="S337" s="42" t="n">
        <x:v>0</x:v>
      </x:c>
    </x:row>
    <x:row r="338">
      <x:c r="A338" t="n">
        <x:v>6</x:v>
      </x:c>
      <x:c r="B338" t="n">
        <x:v>1</x:v>
      </x:c>
      <x:c r="C338" t="n">
        <x:v>1</x:v>
      </x:c>
      <x:c r="D338" t="n">
        <x:v>0</x:v>
      </x:c>
      <x:c r="E338" t="str">
        <x:v>lee</x:v>
      </x:c>
      <x:c r="F338" s="45" t="n">
        <x:f>1*$D338</x:f>
        <x:v>0</x:v>
      </x:c>
      <x:c r="G338" s="45" t="n">
        <x:f>(1/2)*$B338+(1/2)*$C338</x:f>
        <x:v>1</x:v>
      </x:c>
      <x:c r="H338" s="45" t="n">
        <x:f>(1/2)*$B338+(1/2)*$C338</x:f>
        <x:v>1</x:v>
      </x:c>
      <x:c r="I338" s="45" t="n">
        <x:f>0</x:f>
        <x:v>0</x:v>
      </x:c>
      <x:c r="J338" s="45" t="n">
        <x:f>MAX((1/2)*($C338-$B338),0)</x:f>
        <x:v>0</x:v>
      </x:c>
      <x:c r="K338" s="45" t="n">
        <x:f>MAX((1/2)*($C338-$B338),0)</x:f>
        <x:v>0</x:v>
      </x:c>
      <x:c r="L338" s="45" t="n">
        <x:f>F338+I338</x:f>
        <x:v>0</x:v>
      </x:c>
      <x:c r="M338" s="45" t="n">
        <x:f>G338+J338</x:f>
        <x:v>1</x:v>
      </x:c>
      <x:c r="N338" s="45" t="n">
        <x:f>H338+K338</x:f>
        <x:v>1</x:v>
      </x:c>
      <x:c r="O338" s="45" t="n">
        <x:f>SUM(F338:H338)</x:f>
        <x:v>2</x:v>
      </x:c>
      <x:c r="P338" s="42" t="n">
        <x:f>IF(AND(F338&lt;=F370,F338&lt;=F322,F338&lt;=F354,G338&lt;=G350,G338&lt;=G346,G338&lt;=G342,H338&lt;=H341,H338&lt;=H340,H338&lt;=H339),1,0)</x:f>
        <x:v>0</x:v>
      </x:c>
      <x:c r="Q338" s="42" t="n">
        <x:f>IF(AND(L338&lt;=L370,L338&lt;=L322,L338&lt;=L354,M338&lt;=M350,M338&lt;=M346,M338&lt;=M342,N338&lt;=N341,N338&lt;=N340,N338&lt;=N339),1,0)</x:f>
        <x:v>0</x:v>
      </x:c>
      <x:c r="R338" s="42" t="n">
        <x:v>0</x:v>
      </x:c>
      <x:c r="S338" s="42" t="n">
        <x:v>0</x:v>
      </x:c>
    </x:row>
    <x:row r="339">
      <x:c r="A339" t="n">
        <x:v>6</x:v>
      </x:c>
      <x:c r="B339" t="n">
        <x:v>1</x:v>
      </x:c>
      <x:c r="C339" t="n">
        <x:v>1</x:v>
      </x:c>
      <x:c r="D339" t="n">
        <x:v>0</x:v>
      </x:c>
      <x:c r="E339" t="str">
        <x:v>lel</x:v>
      </x:c>
      <x:c r="F339" s="45" t="n">
        <x:f>(1/2)*$C339+(3/2)*$D339</x:f>
        <x:v>0.5</x:v>
      </x:c>
      <x:c r="G339" s="45" t="n">
        <x:f>1*$B339</x:f>
        <x:v>1</x:v>
      </x:c>
      <x:c r="H339" s="45" t="n">
        <x:f>(1/2)*$C339+(3/2)*$D339</x:f>
        <x:v>0.5</x:v>
      </x:c>
      <x:c r="I339" s="45" t="n">
        <x:f>(1/2)*($C339+$D339)</x:f>
        <x:v>0.5</x:v>
      </x:c>
      <x:c r="J339" s="45" t="n">
        <x:f>0</x:f>
        <x:v>0</x:v>
      </x:c>
      <x:c r="K339" s="45" t="n">
        <x:f>(1/2)*($C339+$D339)</x:f>
        <x:v>0.5</x:v>
      </x:c>
      <x:c r="L339" s="45" t="n">
        <x:f>F339+I339</x:f>
        <x:v>1</x:v>
      </x:c>
      <x:c r="M339" s="45" t="n">
        <x:f>G339+J339</x:f>
        <x:v>1</x:v>
      </x:c>
      <x:c r="N339" s="45" t="n">
        <x:f>H339+K339</x:f>
        <x:v>1</x:v>
      </x:c>
      <x:c r="O339" s="45" t="n">
        <x:f>SUM(F339:H339)</x:f>
        <x:v>2</x:v>
      </x:c>
      <x:c r="P339" s="42" t="n">
        <x:f>IF(AND(F339&lt;=F371,F339&lt;=F323,F339&lt;=F355,G339&lt;=G351,G339&lt;=G347,G339&lt;=G343,H339&lt;=H341,H339&lt;=H338,H339&lt;=H340),1,0)</x:f>
        <x:v>0</x:v>
      </x:c>
      <x:c r="Q339" s="42" t="n">
        <x:f>IF(AND(L339&lt;=L371,L339&lt;=L323,L339&lt;=L355,M339&lt;=M351,M339&lt;=M347,M339&lt;=M343,N339&lt;=N341,N339&lt;=N338,N339&lt;=N340),1,0)</x:f>
        <x:v>0</x:v>
      </x:c>
      <x:c r="R339" s="42" t="n">
        <x:v>0</x:v>
      </x:c>
      <x:c r="S339" s="42" t="n">
        <x:v>0</x:v>
      </x:c>
    </x:row>
    <x:row r="340">
      <x:c r="A340" t="n">
        <x:v>6</x:v>
      </x:c>
      <x:c r="B340" t="n">
        <x:v>1</x:v>
      </x:c>
      <x:c r="C340" t="n">
        <x:v>1</x:v>
      </x:c>
      <x:c r="D340" t="n">
        <x:v>0</x:v>
      </x:c>
      <x:c r="E340" t="str">
        <x:v>leo</x:v>
      </x:c>
      <x:c r="F340" s="45" t="n">
        <x:f>1*$D340</x:f>
        <x:v>0</x:v>
      </x:c>
      <x:c r="G340" s="45" t="n">
        <x:f>1*$B340</x:f>
        <x:v>1</x:v>
      </x:c>
      <x:c r="H340" s="45" t="n">
        <x:f>0</x:f>
        <x:v>0</x:v>
      </x:c>
      <x:c r="I340" s="45" t="n">
        <x:f>0</x:f>
        <x:v>0</x:v>
      </x:c>
      <x:c r="J340" s="45" t="n">
        <x:f>0</x:f>
        <x:v>0</x:v>
      </x:c>
      <x:c r="K340" s="45" t="n">
        <x:f>0</x:f>
        <x:v>0</x:v>
      </x:c>
      <x:c r="L340" s="45" t="n">
        <x:f>F340+I340</x:f>
        <x:v>0</x:v>
      </x:c>
      <x:c r="M340" s="45" t="n">
        <x:f>G340+J340</x:f>
        <x:v>1</x:v>
      </x:c>
      <x:c r="N340" s="45" t="n">
        <x:f>H340+K340</x:f>
        <x:v>0</x:v>
      </x:c>
      <x:c r="O340" s="45" t="n">
        <x:f>SUM(F340:H340)</x:f>
        <x:v>1</x:v>
      </x:c>
      <x:c r="P340" s="42" t="n">
        <x:f>IF(AND(F340&lt;=F372,F340&lt;=F324,F340&lt;=F356,G340&lt;=G352,G340&lt;=G348,G340&lt;=G344,H340&lt;=H341,H340&lt;=H338,H340&lt;=H339),1,0)</x:f>
        <x:v>0</x:v>
      </x:c>
      <x:c r="Q340" s="42" t="n">
        <x:f>IF(AND(L340&lt;=L372,L340&lt;=L324,L340&lt;=L356,M340&lt;=M352,M340&lt;=M348,M340&lt;=M344,N340&lt;=N341,N340&lt;=N338,N340&lt;=N339),1,0)</x:f>
        <x:v>1</x:v>
      </x:c>
      <x:c r="R340" s="42" t="n">
        <x:v>0</x:v>
      </x:c>
      <x:c r="S340" s="42" t="n">
        <x:v>1</x:v>
      </x:c>
    </x:row>
    <x:row r="341">
      <x:c r="A341" t="n">
        <x:v>6</x:v>
      </x:c>
      <x:c r="B341" t="n">
        <x:v>1</x:v>
      </x:c>
      <x:c r="C341" t="n">
        <x:v>1</x:v>
      </x:c>
      <x:c r="D341" t="n">
        <x:v>0</x:v>
      </x:c>
      <x:c r="E341" t="str">
        <x:v>lev</x:v>
      </x:c>
      <x:c r="F341" s="45" t="n">
        <x:f>1*$D341</x:f>
        <x:v>0</x:v>
      </x:c>
      <x:c r="G341" s="45" t="n">
        <x:f>1*$B341</x:f>
        <x:v>1</x:v>
      </x:c>
      <x:c r="H341" s="45" t="n">
        <x:f>2*$B341</x:f>
        <x:v>2</x:v>
      </x:c>
      <x:c r="I341" s="45" t="n">
        <x:f>0</x:f>
        <x:v>0</x:v>
      </x:c>
      <x:c r="J341" s="45" t="n">
        <x:f>0</x:f>
        <x:v>0</x:v>
      </x:c>
      <x:c r="K341" s="45" t="n">
        <x:f>0</x:f>
        <x:v>0</x:v>
      </x:c>
      <x:c r="L341" s="45" t="n">
        <x:f>F341+I341</x:f>
        <x:v>0</x:v>
      </x:c>
      <x:c r="M341" s="45" t="n">
        <x:f>G341+J341</x:f>
        <x:v>1</x:v>
      </x:c>
      <x:c r="N341" s="45" t="n">
        <x:f>H341+K341</x:f>
        <x:v>2</x:v>
      </x:c>
      <x:c r="O341" s="45" t="n">
        <x:f>SUM(F341:H341)</x:f>
        <x:v>3</x:v>
      </x:c>
      <x:c r="P341" s="42" t="n">
        <x:f>IF(AND(F341&lt;=F373,F341&lt;=F325,F341&lt;=F357,G341&lt;=G353,G341&lt;=G349,G341&lt;=G345,H341&lt;=H338,H341&lt;=H340,H341&lt;=H339),1,0)</x:f>
        <x:v>0</x:v>
      </x:c>
      <x:c r="Q341" s="42" t="n">
        <x:f>IF(AND(L341&lt;=L373,L341&lt;=L325,L341&lt;=L357,M341&lt;=M353,M341&lt;=M349,M341&lt;=M345,N341&lt;=N338,N341&lt;=N340,N341&lt;=N339),1,0)</x:f>
        <x:v>0</x:v>
      </x:c>
      <x:c r="R341" s="42" t="n">
        <x:v>0</x:v>
      </x:c>
      <x:c r="S341" s="42" t="n">
        <x:v>0</x:v>
      </x:c>
    </x:row>
    <x:row r="342">
      <x:c r="A342" t="n">
        <x:v>6</x:v>
      </x:c>
      <x:c r="B342" t="n">
        <x:v>1</x:v>
      </x:c>
      <x:c r="C342" t="n">
        <x:v>1</x:v>
      </x:c>
      <x:c r="D342" t="n">
        <x:v>0</x:v>
      </x:c>
      <x:c r="E342" t="str">
        <x:v>lle</x:v>
      </x:c>
      <x:c r="F342" s="45" t="n">
        <x:f>(1/2)*$C342+(3/2)*$D342</x:f>
        <x:v>0.5</x:v>
      </x:c>
      <x:c r="G342" s="45" t="n">
        <x:f>(1/2)*$C342+(3/2)*$D342</x:f>
        <x:v>0.5</x:v>
      </x:c>
      <x:c r="H342" s="45" t="n">
        <x:f>1*$B342</x:f>
        <x:v>1</x:v>
      </x:c>
      <x:c r="I342" s="45" t="n">
        <x:f>(1/2)*($C342+$D342)</x:f>
        <x:v>0.5</x:v>
      </x:c>
      <x:c r="J342" s="45" t="n">
        <x:f>(1/2)*($C342+$D342)</x:f>
        <x:v>0.5</x:v>
      </x:c>
      <x:c r="K342" s="45" t="n">
        <x:f>0</x:f>
        <x:v>0</x:v>
      </x:c>
      <x:c r="L342" s="45" t="n">
        <x:f>F342+I342</x:f>
        <x:v>1</x:v>
      </x:c>
      <x:c r="M342" s="45" t="n">
        <x:f>G342+J342</x:f>
        <x:v>1</x:v>
      </x:c>
      <x:c r="N342" s="45" t="n">
        <x:f>H342+K342</x:f>
        <x:v>1</x:v>
      </x:c>
      <x:c r="O342" s="45" t="n">
        <x:f>SUM(F342:H342)</x:f>
        <x:v>2</x:v>
      </x:c>
      <x:c r="P342" s="42" t="n">
        <x:f>IF(AND(F342&lt;=F374,F342&lt;=F326,F342&lt;=F358,G342&lt;=G350,G342&lt;=G338,G342&lt;=G346,H342&lt;=H345,H342&lt;=H344,H342&lt;=H343),1,0)</x:f>
        <x:v>0</x:v>
      </x:c>
      <x:c r="Q342" s="42" t="n">
        <x:f>IF(AND(L342&lt;=L374,L342&lt;=L326,L342&lt;=L358,M342&lt;=M350,M342&lt;=M338,M342&lt;=M346,N342&lt;=N345,N342&lt;=N344,N342&lt;=N343),1,0)</x:f>
        <x:v>0</x:v>
      </x:c>
      <x:c r="R342" s="42" t="n">
        <x:v>0</x:v>
      </x:c>
      <x:c r="S342" s="42" t="n">
        <x:v>0</x:v>
      </x:c>
    </x:row>
    <x:row r="343">
      <x:c r="A343" t="n">
        <x:v>6</x:v>
      </x:c>
      <x:c r="B343" t="n">
        <x:v>1</x:v>
      </x:c>
      <x:c r="C343" t="n">
        <x:v>1</x:v>
      </x:c>
      <x:c r="D343" t="n">
        <x:v>0</x:v>
      </x:c>
      <x:c r="E343" t="str">
        <x:v>lll</x:v>
      </x:c>
      <x:c r="F343" s="45" t="n">
        <x:f>1*$C343+2*$D343</x:f>
        <x:v>1</x:v>
      </x:c>
      <x:c r="G343" s="45" t="n">
        <x:f>1*$C343+2*$D343</x:f>
        <x:v>1</x:v>
      </x:c>
      <x:c r="H343" s="45" t="n">
        <x:f>1*$C343+2*$D343</x:f>
        <x:v>1</x:v>
      </x:c>
      <x:c r="I343" s="45" t="n">
        <x:f>$C343+$D343</x:f>
        <x:v>1</x:v>
      </x:c>
      <x:c r="J343" s="45" t="n">
        <x:f>$C343+$D343</x:f>
        <x:v>1</x:v>
      </x:c>
      <x:c r="K343" s="45" t="n">
        <x:f>$C343+$D343</x:f>
        <x:v>1</x:v>
      </x:c>
      <x:c r="L343" s="45" t="n">
        <x:f>F343+I343</x:f>
        <x:v>2</x:v>
      </x:c>
      <x:c r="M343" s="45" t="n">
        <x:f>G343+J343</x:f>
        <x:v>2</x:v>
      </x:c>
      <x:c r="N343" s="45" t="n">
        <x:f>H343+K343</x:f>
        <x:v>2</x:v>
      </x:c>
      <x:c r="O343" s="45" t="n">
        <x:f>SUM(F343:H343)</x:f>
        <x:v>3</x:v>
      </x:c>
      <x:c r="P343" s="42" t="n">
        <x:f>IF(AND(F343&lt;=F375,F343&lt;=F327,F343&lt;=F359,G343&lt;=G351,G343&lt;=G339,G343&lt;=G347,H343&lt;=H345,H343&lt;=H342,H343&lt;=H344),1,0)</x:f>
        <x:v>0</x:v>
      </x:c>
      <x:c r="Q343" s="42" t="n">
        <x:f>IF(AND(L343&lt;=L375,L343&lt;=L327,L343&lt;=L359,M343&lt;=M351,M343&lt;=M339,M343&lt;=M347,N343&lt;=N345,N343&lt;=N342,N343&lt;=N344),1,0)</x:f>
        <x:v>0</x:v>
      </x:c>
      <x:c r="R343" s="42" t="n">
        <x:v>0</x:v>
      </x:c>
      <x:c r="S343" s="42" t="n">
        <x:v>0</x:v>
      </x:c>
    </x:row>
    <x:row r="344">
      <x:c r="A344" t="n">
        <x:v>6</x:v>
      </x:c>
      <x:c r="B344" t="n">
        <x:v>1</x:v>
      </x:c>
      <x:c r="C344" t="n">
        <x:v>1</x:v>
      </x:c>
      <x:c r="D344" t="n">
        <x:v>0</x:v>
      </x:c>
      <x:c r="E344" t="str">
        <x:v>llo</x:v>
      </x:c>
      <x:c r="F344" s="45" t="n">
        <x:f>(1/2)*$C344+(3/2)*$D344</x:f>
        <x:v>0.5</x:v>
      </x:c>
      <x:c r="G344" s="45" t="n">
        <x:f>(1/2)*$C344+(3/2)*$D344</x:f>
        <x:v>0.5</x:v>
      </x:c>
      <x:c r="H344" s="45" t="n">
        <x:f>0</x:f>
        <x:v>0</x:v>
      </x:c>
      <x:c r="I344" s="45" t="n">
        <x:f>(1/2)*($C344+$D344)</x:f>
        <x:v>0.5</x:v>
      </x:c>
      <x:c r="J344" s="45" t="n">
        <x:f>(1/2)*($C344+$D344)</x:f>
        <x:v>0.5</x:v>
      </x:c>
      <x:c r="K344" s="45" t="n">
        <x:f>0</x:f>
        <x:v>0</x:v>
      </x:c>
      <x:c r="L344" s="45" t="n">
        <x:f>F344+I344</x:f>
        <x:v>1</x:v>
      </x:c>
      <x:c r="M344" s="45" t="n">
        <x:f>G344+J344</x:f>
        <x:v>1</x:v>
      </x:c>
      <x:c r="N344" s="45" t="n">
        <x:f>H344+K344</x:f>
        <x:v>0</x:v>
      </x:c>
      <x:c r="O344" s="45" t="n">
        <x:f>SUM(F344:H344)</x:f>
        <x:v>1</x:v>
      </x:c>
      <x:c r="P344" s="42" t="n">
        <x:f>IF(AND(F344&lt;=F376,F344&lt;=F328,F344&lt;=F360,G344&lt;=G352,G344&lt;=G340,G344&lt;=G348,H344&lt;=H345,H344&lt;=H342,H344&lt;=H343),1,0)</x:f>
        <x:v>1</x:v>
      </x:c>
      <x:c r="Q344" s="42" t="n">
        <x:f>IF(AND(L344&lt;=L376,L344&lt;=L328,L344&lt;=L360,M344&lt;=M352,M344&lt;=M340,M344&lt;=M348,N344&lt;=N345,N344&lt;=N342,N344&lt;=N343),1,0)</x:f>
        <x:v>1</x:v>
      </x:c>
      <x:c r="R344" s="42" t="n">
        <x:v>1</x:v>
      </x:c>
      <x:c r="S344" s="42" t="n">
        <x:v>1</x:v>
      </x:c>
    </x:row>
    <x:row r="345">
      <x:c r="A345" t="n">
        <x:v>6</x:v>
      </x:c>
      <x:c r="B345" t="n">
        <x:v>1</x:v>
      </x:c>
      <x:c r="C345" t="n">
        <x:v>1</x:v>
      </x:c>
      <x:c r="D345" t="n">
        <x:v>0</x:v>
      </x:c>
      <x:c r="E345" t="str">
        <x:v>llv</x:v>
      </x:c>
      <x:c r="F345" s="45" t="n">
        <x:f>(1/2)*$C345+(3/2)*$D345</x:f>
        <x:v>0.5</x:v>
      </x:c>
      <x:c r="G345" s="45" t="n">
        <x:f>(1/2)*$C345+(3/2)*$D345</x:f>
        <x:v>0.5</x:v>
      </x:c>
      <x:c r="H345" s="45" t="n">
        <x:f>2*$B345</x:f>
        <x:v>2</x:v>
      </x:c>
      <x:c r="I345" s="45" t="n">
        <x:f>(1/2)*($C345+$D345)</x:f>
        <x:v>0.5</x:v>
      </x:c>
      <x:c r="J345" s="45" t="n">
        <x:f>(1/2)*($C345+$D345)</x:f>
        <x:v>0.5</x:v>
      </x:c>
      <x:c r="K345" s="45" t="n">
        <x:f>0</x:f>
        <x:v>0</x:v>
      </x:c>
      <x:c r="L345" s="45" t="n">
        <x:f>F345+I345</x:f>
        <x:v>1</x:v>
      </x:c>
      <x:c r="M345" s="45" t="n">
        <x:f>G345+J345</x:f>
        <x:v>1</x:v>
      </x:c>
      <x:c r="N345" s="45" t="n">
        <x:f>H345+K345</x:f>
        <x:v>2</x:v>
      </x:c>
      <x:c r="O345" s="45" t="n">
        <x:f>SUM(F345:H345)</x:f>
        <x:v>3</x:v>
      </x:c>
      <x:c r="P345" s="42" t="n">
        <x:f>IF(AND(F345&lt;=F377,F345&lt;=F329,F345&lt;=F361,G345&lt;=G353,G345&lt;=G341,G345&lt;=G349,H345&lt;=H342,H345&lt;=H344,H345&lt;=H343),1,0)</x:f>
        <x:v>0</x:v>
      </x:c>
      <x:c r="Q345" s="42" t="n">
        <x:f>IF(AND(L345&lt;=L377,L345&lt;=L329,L345&lt;=L361,M345&lt;=M353,M345&lt;=M341,M345&lt;=M349,N345&lt;=N342,N345&lt;=N344,N345&lt;=N343),1,0)</x:f>
        <x:v>0</x:v>
      </x:c>
      <x:c r="R345" s="42" t="n">
        <x:v>0</x:v>
      </x:c>
      <x:c r="S345" s="42" t="n">
        <x:v>0</x:v>
      </x:c>
    </x:row>
    <x:row r="346">
      <x:c r="A346" t="n">
        <x:v>6</x:v>
      </x:c>
      <x:c r="B346" t="n">
        <x:v>1</x:v>
      </x:c>
      <x:c r="C346" t="n">
        <x:v>1</x:v>
      </x:c>
      <x:c r="D346" t="n">
        <x:v>0</x:v>
      </x:c>
      <x:c r="E346" t="str">
        <x:v>loe</x:v>
      </x:c>
      <x:c r="F346" s="45" t="n">
        <x:f>1*$D346</x:f>
        <x:v>0</x:v>
      </x:c>
      <x:c r="G346" s="45" t="n">
        <x:f>0</x:f>
        <x:v>0</x:v>
      </x:c>
      <x:c r="H346" s="45" t="n">
        <x:f>1*$B346</x:f>
        <x:v>1</x:v>
      </x:c>
      <x:c r="I346" s="45" t="n">
        <x:f>0</x:f>
        <x:v>0</x:v>
      </x:c>
      <x:c r="J346" s="45" t="n">
        <x:f>0</x:f>
        <x:v>0</x:v>
      </x:c>
      <x:c r="K346" s="45" t="n">
        <x:f>0</x:f>
        <x:v>0</x:v>
      </x:c>
      <x:c r="L346" s="45" t="n">
        <x:f>F346+I346</x:f>
        <x:v>0</x:v>
      </x:c>
      <x:c r="M346" s="45" t="n">
        <x:f>G346+J346</x:f>
        <x:v>0</x:v>
      </x:c>
      <x:c r="N346" s="45" t="n">
        <x:f>H346+K346</x:f>
        <x:v>1</x:v>
      </x:c>
      <x:c r="O346" s="45" t="n">
        <x:f>SUM(F346:H346)</x:f>
        <x:v>1</x:v>
      </x:c>
      <x:c r="P346" s="42" t="n">
        <x:f>IF(AND(F346&lt;=F378,F346&lt;=F330,F346&lt;=F362,G346&lt;=G350,G346&lt;=G338,G346&lt;=G342,H346&lt;=H349,H346&lt;=H348,H346&lt;=H347),1,0)</x:f>
        <x:v>0</x:v>
      </x:c>
      <x:c r="Q346" s="42" t="n">
        <x:f>IF(AND(L346&lt;=L378,L346&lt;=L330,L346&lt;=L362,M346&lt;=M350,M346&lt;=M338,M346&lt;=M342,N346&lt;=N349,N346&lt;=N348,N346&lt;=N347),1,0)</x:f>
        <x:v>1</x:v>
      </x:c>
      <x:c r="R346" s="42" t="n">
        <x:v>0</x:v>
      </x:c>
      <x:c r="S346" s="42" t="n">
        <x:v>1</x:v>
      </x:c>
    </x:row>
    <x:row r="347">
      <x:c r="A347" t="n">
        <x:v>6</x:v>
      </x:c>
      <x:c r="B347" t="n">
        <x:v>1</x:v>
      </x:c>
      <x:c r="C347" t="n">
        <x:v>1</x:v>
      </x:c>
      <x:c r="D347" t="n">
        <x:v>0</x:v>
      </x:c>
      <x:c r="E347" t="str">
        <x:v>lol</x:v>
      </x:c>
      <x:c r="F347" s="45" t="n">
        <x:f>(1/2)*$C347+(3/2)*$D347</x:f>
        <x:v>0.5</x:v>
      </x:c>
      <x:c r="G347" s="45" t="n">
        <x:f>0</x:f>
        <x:v>0</x:v>
      </x:c>
      <x:c r="H347" s="45" t="n">
        <x:f>(1/2)*$C347+(3/2)*$D347</x:f>
        <x:v>0.5</x:v>
      </x:c>
      <x:c r="I347" s="45" t="n">
        <x:f>(1/2)*($C347+$D347)</x:f>
        <x:v>0.5</x:v>
      </x:c>
      <x:c r="J347" s="45" t="n">
        <x:f>0</x:f>
        <x:v>0</x:v>
      </x:c>
      <x:c r="K347" s="45" t="n">
        <x:f>(1/2)*($C347+$D347)</x:f>
        <x:v>0.5</x:v>
      </x:c>
      <x:c r="L347" s="45" t="n">
        <x:f>F347+I347</x:f>
        <x:v>1</x:v>
      </x:c>
      <x:c r="M347" s="45" t="n">
        <x:f>G347+J347</x:f>
        <x:v>0</x:v>
      </x:c>
      <x:c r="N347" s="45" t="n">
        <x:f>H347+K347</x:f>
        <x:v>1</x:v>
      </x:c>
      <x:c r="O347" s="45" t="n">
        <x:f>SUM(F347:H347)</x:f>
        <x:v>1</x:v>
      </x:c>
      <x:c r="P347" s="42" t="n">
        <x:f>IF(AND(F347&lt;=F379,F347&lt;=F331,F347&lt;=F363,G347&lt;=G351,G347&lt;=G339,G347&lt;=G343,H347&lt;=H349,H347&lt;=H346,H347&lt;=H348),1,0)</x:f>
        <x:v>1</x:v>
      </x:c>
      <x:c r="Q347" s="42" t="n">
        <x:f>IF(AND(L347&lt;=L379,L347&lt;=L331,L347&lt;=L363,M347&lt;=M351,M347&lt;=M339,M347&lt;=M343,N347&lt;=N349,N347&lt;=N346,N347&lt;=N348),1,0)</x:f>
        <x:v>1</x:v>
      </x:c>
      <x:c r="R347" s="42" t="n">
        <x:v>1</x:v>
      </x:c>
      <x:c r="S347" s="42" t="n">
        <x:v>1</x:v>
      </x:c>
    </x:row>
    <x:row r="348">
      <x:c r="A348" t="n">
        <x:v>6</x:v>
      </x:c>
      <x:c r="B348" t="n">
        <x:v>1</x:v>
      </x:c>
      <x:c r="C348" t="n">
        <x:v>1</x:v>
      </x:c>
      <x:c r="D348" t="n">
        <x:v>0</x:v>
      </x:c>
      <x:c r="E348" t="str">
        <x:v>loo</x:v>
      </x:c>
      <x:c r="F348" s="45" t="n">
        <x:f>1*$C348+2*$D348</x:f>
        <x:v>1</x:v>
      </x:c>
      <x:c r="G348" s="45" t="n">
        <x:f>(1/2)*$C348+(1/2)*$D348</x:f>
        <x:v>0.5</x:v>
      </x:c>
      <x:c r="H348" s="45" t="n">
        <x:f>(1/2)*$C348+(1/2)*$D348</x:f>
        <x:v>0.5</x:v>
      </x:c>
      <x:c r="I348" s="45" t="n">
        <x:f>0</x:f>
        <x:v>0</x:v>
      </x:c>
      <x:c r="J348" s="45" t="n">
        <x:f>(3/2)*($C348+$D348)</x:f>
        <x:v>1.5</x:v>
      </x:c>
      <x:c r="K348" s="45" t="n">
        <x:f>(3/2)*($C348+$D348)</x:f>
        <x:v>1.5</x:v>
      </x:c>
      <x:c r="L348" s="45" t="n">
        <x:f>F348+I348</x:f>
        <x:v>1</x:v>
      </x:c>
      <x:c r="M348" s="45" t="n">
        <x:f>G348+J348</x:f>
        <x:v>2</x:v>
      </x:c>
      <x:c r="N348" s="45" t="n">
        <x:f>H348+K348</x:f>
        <x:v>2</x:v>
      </x:c>
      <x:c r="O348" s="45" t="n">
        <x:f>SUM(F348:H348)</x:f>
        <x:v>2</x:v>
      </x:c>
      <x:c r="P348" s="42" t="n">
        <x:f>IF(AND(F348&lt;=F380,F348&lt;=F332,F348&lt;=F364,G348&lt;=G352,G348&lt;=G340,G348&lt;=G344,H348&lt;=H349,H348&lt;=H346,H348&lt;=H347),1,0)</x:f>
        <x:v>1</x:v>
      </x:c>
      <x:c r="Q348" s="42" t="n">
        <x:f>IF(AND(L348&lt;=L380,L348&lt;=L332,L348&lt;=L364,M348&lt;=M352,M348&lt;=M340,M348&lt;=M344,N348&lt;=N349,N348&lt;=N346,N348&lt;=N347),1,0)</x:f>
        <x:v>0</x:v>
      </x:c>
      <x:c r="R348" s="42" t="n">
        <x:v>1</x:v>
      </x:c>
      <x:c r="S348" s="42" t="n">
        <x:v>0</x:v>
      </x:c>
    </x:row>
    <x:row r="349">
      <x:c r="A349" t="n">
        <x:v>6</x:v>
      </x:c>
      <x:c r="B349" t="n">
        <x:v>1</x:v>
      </x:c>
      <x:c r="C349" t="n">
        <x:v>1</x:v>
      </x:c>
      <x:c r="D349" t="n">
        <x:v>0</x:v>
      </x:c>
      <x:c r="E349" t="str">
        <x:v>lov</x:v>
      </x:c>
      <x:c r="F349" s="45" t="n">
        <x:f>1*$D349</x:f>
        <x:v>0</x:v>
      </x:c>
      <x:c r="G349" s="45" t="n">
        <x:f>0</x:f>
        <x:v>0</x:v>
      </x:c>
      <x:c r="H349" s="45" t="n">
        <x:f>2*$B349</x:f>
        <x:v>2</x:v>
      </x:c>
      <x:c r="I349" s="45" t="n">
        <x:f>0</x:f>
        <x:v>0</x:v>
      </x:c>
      <x:c r="J349" s="45" t="n">
        <x:f>0</x:f>
        <x:v>0</x:v>
      </x:c>
      <x:c r="K349" s="45" t="n">
        <x:f>0</x:f>
        <x:v>0</x:v>
      </x:c>
      <x:c r="L349" s="45" t="n">
        <x:f>F349+I349</x:f>
        <x:v>0</x:v>
      </x:c>
      <x:c r="M349" s="45" t="n">
        <x:f>G349+J349</x:f>
        <x:v>0</x:v>
      </x:c>
      <x:c r="N349" s="45" t="n">
        <x:f>H349+K349</x:f>
        <x:v>2</x:v>
      </x:c>
      <x:c r="O349" s="45" t="n">
        <x:f>SUM(F349:H349)</x:f>
        <x:v>2</x:v>
      </x:c>
      <x:c r="P349" s="42" t="n">
        <x:f>IF(AND(F349&lt;=F381,F349&lt;=F333,F349&lt;=F365,G349&lt;=G353,G349&lt;=G341,G349&lt;=G345,H349&lt;=H346,H349&lt;=H348,H349&lt;=H347),1,0)</x:f>
        <x:v>0</x:v>
      </x:c>
      <x:c r="Q349" s="42" t="n">
        <x:f>IF(AND(L349&lt;=L381,L349&lt;=L333,L349&lt;=L365,M349&lt;=M353,M349&lt;=M341,M349&lt;=M345,N349&lt;=N346,N349&lt;=N348,N349&lt;=N347),1,0)</x:f>
        <x:v>0</x:v>
      </x:c>
      <x:c r="R349" s="42" t="n">
        <x:v>0</x:v>
      </x:c>
      <x:c r="S349" s="42" t="n">
        <x:v>0</x:v>
      </x:c>
    </x:row>
    <x:row r="350">
      <x:c r="A350" t="n">
        <x:v>6</x:v>
      </x:c>
      <x:c r="B350" t="n">
        <x:v>1</x:v>
      </x:c>
      <x:c r="C350" t="n">
        <x:v>1</x:v>
      </x:c>
      <x:c r="D350" t="n">
        <x:v>0</x:v>
      </x:c>
      <x:c r="E350" t="str">
        <x:v>lve</x:v>
      </x:c>
      <x:c r="F350" s="45" t="n">
        <x:f>1*$D350</x:f>
        <x:v>0</x:v>
      </x:c>
      <x:c r="G350" s="45" t="n">
        <x:f>2*$B350</x:f>
        <x:v>2</x:v>
      </x:c>
      <x:c r="H350" s="45" t="n">
        <x:f>1*$B350</x:f>
        <x:v>1</x:v>
      </x:c>
      <x:c r="I350" s="45" t="n">
        <x:f>0</x:f>
        <x:v>0</x:v>
      </x:c>
      <x:c r="J350" s="45" t="n">
        <x:f>0</x:f>
        <x:v>0</x:v>
      </x:c>
      <x:c r="K350" s="45" t="n">
        <x:f>0</x:f>
        <x:v>0</x:v>
      </x:c>
      <x:c r="L350" s="45" t="n">
        <x:f>F350+I350</x:f>
        <x:v>0</x:v>
      </x:c>
      <x:c r="M350" s="45" t="n">
        <x:f>G350+J350</x:f>
        <x:v>2</x:v>
      </x:c>
      <x:c r="N350" s="45" t="n">
        <x:f>H350+K350</x:f>
        <x:v>1</x:v>
      </x:c>
      <x:c r="O350" s="45" t="n">
        <x:f>SUM(F350:H350)</x:f>
        <x:v>3</x:v>
      </x:c>
      <x:c r="P350" s="42" t="n">
        <x:f>IF(AND(F350&lt;=F382,F350&lt;=F334,F350&lt;=F366,G350&lt;=G338,G350&lt;=G346,G350&lt;=G342,H350&lt;=H353,H350&lt;=H352,H350&lt;=H351),1,0)</x:f>
        <x:v>0</x:v>
      </x:c>
      <x:c r="Q350" s="42" t="n">
        <x:f>IF(AND(L350&lt;=L382,L350&lt;=L334,L350&lt;=L366,M350&lt;=M338,M350&lt;=M346,M350&lt;=M342,N350&lt;=N353,N350&lt;=N352,N350&lt;=N351),1,0)</x:f>
        <x:v>0</x:v>
      </x:c>
      <x:c r="R350" s="42" t="n">
        <x:v>0</x:v>
      </x:c>
      <x:c r="S350" s="42" t="n">
        <x:v>0</x:v>
      </x:c>
    </x:row>
    <x:row r="351">
      <x:c r="A351" t="n">
        <x:v>6</x:v>
      </x:c>
      <x:c r="B351" t="n">
        <x:v>1</x:v>
      </x:c>
      <x:c r="C351" t="n">
        <x:v>1</x:v>
      </x:c>
      <x:c r="D351" t="n">
        <x:v>0</x:v>
      </x:c>
      <x:c r="E351" t="str">
        <x:v>lvl</x:v>
      </x:c>
      <x:c r="F351" s="45" t="n">
        <x:f>(1/2)*$C351+(3/2)*$D351</x:f>
        <x:v>0.5</x:v>
      </x:c>
      <x:c r="G351" s="45" t="n">
        <x:f>2*$B351</x:f>
        <x:v>2</x:v>
      </x:c>
      <x:c r="H351" s="45" t="n">
        <x:f>(1/2)*$C351+(3/2)*$D351</x:f>
        <x:v>0.5</x:v>
      </x:c>
      <x:c r="I351" s="45" t="n">
        <x:f>(1/2)*($C351+$D351)</x:f>
        <x:v>0.5</x:v>
      </x:c>
      <x:c r="J351" s="45" t="n">
        <x:f>0</x:f>
        <x:v>0</x:v>
      </x:c>
      <x:c r="K351" s="45" t="n">
        <x:f>(1/2)*($C351+$D351)</x:f>
        <x:v>0.5</x:v>
      </x:c>
      <x:c r="L351" s="45" t="n">
        <x:f>F351+I351</x:f>
        <x:v>1</x:v>
      </x:c>
      <x:c r="M351" s="45" t="n">
        <x:f>G351+J351</x:f>
        <x:v>2</x:v>
      </x:c>
      <x:c r="N351" s="45" t="n">
        <x:f>H351+K351</x:f>
        <x:v>1</x:v>
      </x:c>
      <x:c r="O351" s="45" t="n">
        <x:f>SUM(F351:H351)</x:f>
        <x:v>3</x:v>
      </x:c>
      <x:c r="P351" s="42" t="n">
        <x:f>IF(AND(F351&lt;=F383,F351&lt;=F335,F351&lt;=F367,G351&lt;=G339,G351&lt;=G347,G351&lt;=G343,H351&lt;=H353,H351&lt;=H350,H351&lt;=H352),1,0)</x:f>
        <x:v>0</x:v>
      </x:c>
      <x:c r="Q351" s="42" t="n">
        <x:f>IF(AND(L351&lt;=L383,L351&lt;=L335,L351&lt;=L367,M351&lt;=M339,M351&lt;=M347,M351&lt;=M343,N351&lt;=N353,N351&lt;=N350,N351&lt;=N352),1,0)</x:f>
        <x:v>0</x:v>
      </x:c>
      <x:c r="R351" s="42" t="n">
        <x:v>0</x:v>
      </x:c>
      <x:c r="S351" s="42" t="n">
        <x:v>0</x:v>
      </x:c>
    </x:row>
    <x:row r="352">
      <x:c r="A352" t="n">
        <x:v>6</x:v>
      </x:c>
      <x:c r="B352" t="n">
        <x:v>1</x:v>
      </x:c>
      <x:c r="C352" t="n">
        <x:v>1</x:v>
      </x:c>
      <x:c r="D352" t="n">
        <x:v>0</x:v>
      </x:c>
      <x:c r="E352" t="str">
        <x:v>lvo</x:v>
      </x:c>
      <x:c r="F352" s="45" t="n">
        <x:f>1*$D352</x:f>
        <x:v>0</x:v>
      </x:c>
      <x:c r="G352" s="45" t="n">
        <x:f>2*$B352</x:f>
        <x:v>2</x:v>
      </x:c>
      <x:c r="H352" s="45" t="n">
        <x:f>0</x:f>
        <x:v>0</x:v>
      </x:c>
      <x:c r="I352" s="45" t="n">
        <x:f>0</x:f>
        <x:v>0</x:v>
      </x:c>
      <x:c r="J352" s="45" t="n">
        <x:f>0</x:f>
        <x:v>0</x:v>
      </x:c>
      <x:c r="K352" s="45" t="n">
        <x:f>0</x:f>
        <x:v>0</x:v>
      </x:c>
      <x:c r="L352" s="45" t="n">
        <x:f>F352+I352</x:f>
        <x:v>0</x:v>
      </x:c>
      <x:c r="M352" s="45" t="n">
        <x:f>G352+J352</x:f>
        <x:v>2</x:v>
      </x:c>
      <x:c r="N352" s="45" t="n">
        <x:f>H352+K352</x:f>
        <x:v>0</x:v>
      </x:c>
      <x:c r="O352" s="45" t="n">
        <x:f>SUM(F352:H352)</x:f>
        <x:v>2</x:v>
      </x:c>
      <x:c r="P352" s="42" t="n">
        <x:f>IF(AND(F352&lt;=F384,F352&lt;=F336,F352&lt;=F368,G352&lt;=G340,G352&lt;=G348,G352&lt;=G344,H352&lt;=H353,H352&lt;=H350,H352&lt;=H351),1,0)</x:f>
        <x:v>0</x:v>
      </x:c>
      <x:c r="Q352" s="42" t="n">
        <x:f>IF(AND(L352&lt;=L384,L352&lt;=L336,L352&lt;=L368,M352&lt;=M340,M352&lt;=M348,M352&lt;=M344,N352&lt;=N353,N352&lt;=N350,N352&lt;=N351),1,0)</x:f>
        <x:v>0</x:v>
      </x:c>
      <x:c r="R352" s="42" t="n">
        <x:v>0</x:v>
      </x:c>
      <x:c r="S352" s="42" t="n">
        <x:v>0</x:v>
      </x:c>
    </x:row>
    <x:row r="353">
      <x:c r="A353" t="n">
        <x:v>6</x:v>
      </x:c>
      <x:c r="B353" t="n">
        <x:v>1</x:v>
      </x:c>
      <x:c r="C353" t="n">
        <x:v>1</x:v>
      </x:c>
      <x:c r="D353" t="n">
        <x:v>0</x:v>
      </x:c>
      <x:c r="E353" t="str">
        <x:v>lvv</x:v>
      </x:c>
      <x:c r="F353" s="45" t="n">
        <x:f>1*$D353</x:f>
        <x:v>0</x:v>
      </x:c>
      <x:c r="G353" s="45" t="n">
        <x:f>(3/2)*$B353+(1/2)*$C353</x:f>
        <x:v>2</x:v>
      </x:c>
      <x:c r="H353" s="45" t="n">
        <x:f>(3/2)*$B353+(1/2)*$C353</x:f>
        <x:v>2</x:v>
      </x:c>
      <x:c r="I353" s="45" t="n">
        <x:f>0</x:f>
        <x:v>0</x:v>
      </x:c>
      <x:c r="J353" s="45" t="n">
        <x:f>MAX((1/2)*($C353-$B353),0)</x:f>
        <x:v>0</x:v>
      </x:c>
      <x:c r="K353" s="45" t="n">
        <x:f>MAX((1/2)*($C353-$B353),0)</x:f>
        <x:v>0</x:v>
      </x:c>
      <x:c r="L353" s="45" t="n">
        <x:f>F353+I353</x:f>
        <x:v>0</x:v>
      </x:c>
      <x:c r="M353" s="45" t="n">
        <x:f>G353+J353</x:f>
        <x:v>2</x:v>
      </x:c>
      <x:c r="N353" s="45" t="n">
        <x:f>H353+K353</x:f>
        <x:v>2</x:v>
      </x:c>
      <x:c r="O353" s="45" t="n">
        <x:f>SUM(F353:H353)</x:f>
        <x:v>4</x:v>
      </x:c>
      <x:c r="P353" s="42" t="n">
        <x:f>IF(AND(F353&lt;=F385,F353&lt;=F337,F353&lt;=F369,G353&lt;=G341,G353&lt;=G349,G353&lt;=G345,H353&lt;=H350,H353&lt;=H352,H353&lt;=H351),1,0)</x:f>
        <x:v>0</x:v>
      </x:c>
      <x:c r="Q353" s="42" t="n">
        <x:f>IF(AND(L353&lt;=L385,L353&lt;=L337,L353&lt;=L369,M353&lt;=M341,M353&lt;=M349,M353&lt;=M345,N353&lt;=N350,N353&lt;=N352,N353&lt;=N351),1,0)</x:f>
        <x:v>0</x:v>
      </x:c>
      <x:c r="R353" s="42" t="n">
        <x:v>0</x:v>
      </x:c>
      <x:c r="S353" s="42" t="n">
        <x:v>0</x:v>
      </x:c>
    </x:row>
    <x:row r="354">
      <x:c r="A354" t="n">
        <x:v>6</x:v>
      </x:c>
      <x:c r="B354" t="n">
        <x:v>1</x:v>
      </x:c>
      <x:c r="C354" t="n">
        <x:v>1</x:v>
      </x:c>
      <x:c r="D354" t="n">
        <x:v>0</x:v>
      </x:c>
      <x:c r="E354" t="str">
        <x:v>oee</x:v>
      </x:c>
      <x:c r="F354" s="45" t="n">
        <x:f>1*$C354+1*$D354</x:f>
        <x:v>1</x:v>
      </x:c>
      <x:c r="G354" s="45" t="n">
        <x:f>(1/2)*$B354+(1/2)*$C354</x:f>
        <x:v>1</x:v>
      </x:c>
      <x:c r="H354" s="45" t="n">
        <x:f>(1/2)*$B354+(1/2)*$C354</x:f>
        <x:v>1</x:v>
      </x:c>
      <x:c r="I354" s="45" t="n">
        <x:f>0</x:f>
        <x:v>0</x:v>
      </x:c>
      <x:c r="J354" s="45" t="n">
        <x:f>MAX((3/2)*$C354+$D354-(1/2)*$B354,0)</x:f>
        <x:v>1</x:v>
      </x:c>
      <x:c r="K354" s="45" t="n">
        <x:f>MAX((3/2)*$C354+$D354-(1/2)*$B354,0)</x:f>
        <x:v>1</x:v>
      </x:c>
      <x:c r="L354" s="45" t="n">
        <x:f>F354+I354</x:f>
        <x:v>1</x:v>
      </x:c>
      <x:c r="M354" s="45" t="n">
        <x:f>G354+J354</x:f>
        <x:v>2</x:v>
      </x:c>
      <x:c r="N354" s="45" t="n">
        <x:f>H354+K354</x:f>
        <x:v>2</x:v>
      </x:c>
      <x:c r="O354" s="45" t="n">
        <x:f>SUM(F354:H354)</x:f>
        <x:v>3</x:v>
      </x:c>
      <x:c r="P354" s="42" t="n">
        <x:f>IF(AND(F354&lt;=F370,F354&lt;=F322,F354&lt;=F338,G354&lt;=G366,G354&lt;=G362,G354&lt;=G358,H354&lt;=H357,H354&lt;=H356,H354&lt;=H355),1,0)</x:f>
        <x:v>0</x:v>
      </x:c>
      <x:c r="Q354" s="42" t="n">
        <x:f>IF(AND(L354&lt;=L370,L354&lt;=L322,L354&lt;=L338,M354&lt;=M366,M354&lt;=M362,M354&lt;=M358,N354&lt;=N357,N354&lt;=N356,N354&lt;=N355),1,0)</x:f>
        <x:v>0</x:v>
      </x:c>
      <x:c r="R354" s="42" t="n">
        <x:v>0</x:v>
      </x:c>
      <x:c r="S354" s="42" t="n">
        <x:v>0</x:v>
      </x:c>
    </x:row>
    <x:row r="355">
      <x:c r="A355" t="n">
        <x:v>6</x:v>
      </x:c>
      <x:c r="B355" t="n">
        <x:v>1</x:v>
      </x:c>
      <x:c r="C355" t="n">
        <x:v>1</x:v>
      </x:c>
      <x:c r="D355" t="n">
        <x:v>0</x:v>
      </x:c>
      <x:c r="E355" t="str">
        <x:v>oel</x:v>
      </x:c>
      <x:c r="F355" s="45" t="n">
        <x:f>0</x:f>
        <x:v>0</x:v>
      </x:c>
      <x:c r="G355" s="45" t="n">
        <x:f>1*$B355</x:f>
        <x:v>1</x:v>
      </x:c>
      <x:c r="H355" s="45" t="n">
        <x:f>1*$D355</x:f>
        <x:v>0</x:v>
      </x:c>
      <x:c r="I355" s="45" t="n">
        <x:f>0</x:f>
        <x:v>0</x:v>
      </x:c>
      <x:c r="J355" s="45" t="n">
        <x:f>0</x:f>
        <x:v>0</x:v>
      </x:c>
      <x:c r="K355" s="45" t="n">
        <x:f>0</x:f>
        <x:v>0</x:v>
      </x:c>
      <x:c r="L355" s="45" t="n">
        <x:f>F355+I355</x:f>
        <x:v>0</x:v>
      </x:c>
      <x:c r="M355" s="45" t="n">
        <x:f>G355+J355</x:f>
        <x:v>1</x:v>
      </x:c>
      <x:c r="N355" s="45" t="n">
        <x:f>H355+K355</x:f>
        <x:v>0</x:v>
      </x:c>
      <x:c r="O355" s="45" t="n">
        <x:f>SUM(F355:H355)</x:f>
        <x:v>1</x:v>
      </x:c>
      <x:c r="P355" s="42" t="n">
        <x:f>IF(AND(F355&lt;=F371,F355&lt;=F323,F355&lt;=F339,G355&lt;=G367,G355&lt;=G363,G355&lt;=G359,H355&lt;=H357,H355&lt;=H354,H355&lt;=H356),1,0)</x:f>
        <x:v>0</x:v>
      </x:c>
      <x:c r="Q355" s="42" t="n">
        <x:f>IF(AND(L355&lt;=L371,L355&lt;=L323,L355&lt;=L339,M355&lt;=M367,M355&lt;=M363,M355&lt;=M359,N355&lt;=N357,N355&lt;=N354,N355&lt;=N356),1,0)</x:f>
        <x:v>1</x:v>
      </x:c>
      <x:c r="R355" s="42" t="n">
        <x:v>0</x:v>
      </x:c>
      <x:c r="S355" s="42" t="n">
        <x:v>1</x:v>
      </x:c>
    </x:row>
    <x:row r="356">
      <x:c r="A356" t="n">
        <x:v>6</x:v>
      </x:c>
      <x:c r="B356" t="n">
        <x:v>1</x:v>
      </x:c>
      <x:c r="C356" t="n">
        <x:v>1</x:v>
      </x:c>
      <x:c r="D356" t="n">
        <x:v>0</x:v>
      </x:c>
      <x:c r="E356" t="str">
        <x:v>oeo</x:v>
      </x:c>
      <x:c r="F356" s="45" t="n">
        <x:f>(1/2)*$C356+(1/2)*$D356</x:f>
        <x:v>0.5</x:v>
      </x:c>
      <x:c r="G356" s="45" t="n">
        <x:f>1*$B356</x:f>
        <x:v>1</x:v>
      </x:c>
      <x:c r="H356" s="45" t="n">
        <x:f>(1/2)*$C356+(1/2)*$D356</x:f>
        <x:v>0.5</x:v>
      </x:c>
      <x:c r="I356" s="45" t="n">
        <x:f>(1/2)*($C356+$D356)</x:f>
        <x:v>0.5</x:v>
      </x:c>
      <x:c r="J356" s="45" t="n">
        <x:f>0</x:f>
        <x:v>0</x:v>
      </x:c>
      <x:c r="K356" s="45" t="n">
        <x:f>(1/2)*($C356+$D356)</x:f>
        <x:v>0.5</x:v>
      </x:c>
      <x:c r="L356" s="45" t="n">
        <x:f>F356+I356</x:f>
        <x:v>1</x:v>
      </x:c>
      <x:c r="M356" s="45" t="n">
        <x:f>G356+J356</x:f>
        <x:v>1</x:v>
      </x:c>
      <x:c r="N356" s="45" t="n">
        <x:f>H356+K356</x:f>
        <x:v>1</x:v>
      </x:c>
      <x:c r="O356" s="45" t="n">
        <x:f>SUM(F356:H356)</x:f>
        <x:v>2</x:v>
      </x:c>
      <x:c r="P356" s="42" t="n">
        <x:f>IF(AND(F356&lt;=F372,F356&lt;=F324,F356&lt;=F340,G356&lt;=G368,G356&lt;=G364,G356&lt;=G360,H356&lt;=H357,H356&lt;=H354,H356&lt;=H355),1,0)</x:f>
        <x:v>0</x:v>
      </x:c>
      <x:c r="Q356" s="42" t="n">
        <x:f>IF(AND(L356&lt;=L372,L356&lt;=L324,L356&lt;=L340,M356&lt;=M368,M356&lt;=M364,M356&lt;=M360,N356&lt;=N357,N356&lt;=N354,N356&lt;=N355),1,0)</x:f>
        <x:v>0</x:v>
      </x:c>
      <x:c r="R356" s="42" t="n">
        <x:v>0</x:v>
      </x:c>
      <x:c r="S356" s="42" t="n">
        <x:v>0</x:v>
      </x:c>
    </x:row>
    <x:row r="357">
      <x:c r="A357" t="n">
        <x:v>6</x:v>
      </x:c>
      <x:c r="B357" t="n">
        <x:v>1</x:v>
      </x:c>
      <x:c r="C357" t="n">
        <x:v>1</x:v>
      </x:c>
      <x:c r="D357" t="n">
        <x:v>0</x:v>
      </x:c>
      <x:c r="E357" t="str">
        <x:v>oev</x:v>
      </x:c>
      <x:c r="F357" s="45" t="n">
        <x:f>0</x:f>
        <x:v>0</x:v>
      </x:c>
      <x:c r="G357" s="45" t="n">
        <x:f>1*$B357</x:f>
        <x:v>1</x:v>
      </x:c>
      <x:c r="H357" s="45" t="n">
        <x:f>2*$B357</x:f>
        <x:v>2</x:v>
      </x:c>
      <x:c r="I357" s="45" t="n">
        <x:f>0</x:f>
        <x:v>0</x:v>
      </x:c>
      <x:c r="J357" s="45" t="n">
        <x:f>0</x:f>
        <x:v>0</x:v>
      </x:c>
      <x:c r="K357" s="45" t="n">
        <x:f>0</x:f>
        <x:v>0</x:v>
      </x:c>
      <x:c r="L357" s="45" t="n">
        <x:f>F357+I357</x:f>
        <x:v>0</x:v>
      </x:c>
      <x:c r="M357" s="45" t="n">
        <x:f>G357+J357</x:f>
        <x:v>1</x:v>
      </x:c>
      <x:c r="N357" s="45" t="n">
        <x:f>H357+K357</x:f>
        <x:v>2</x:v>
      </x:c>
      <x:c r="O357" s="45" t="n">
        <x:f>SUM(F357:H357)</x:f>
        <x:v>3</x:v>
      </x:c>
      <x:c r="P357" s="42" t="n">
        <x:f>IF(AND(F357&lt;=F373,F357&lt;=F325,F357&lt;=F341,G357&lt;=G369,G357&lt;=G365,G357&lt;=G361,H357&lt;=H354,H357&lt;=H356,H357&lt;=H355),1,0)</x:f>
        <x:v>0</x:v>
      </x:c>
      <x:c r="Q357" s="42" t="n">
        <x:f>IF(AND(L357&lt;=L373,L357&lt;=L325,L357&lt;=L341,M357&lt;=M369,M357&lt;=M365,M357&lt;=M361,N357&lt;=N354,N357&lt;=N356,N357&lt;=N355),1,0)</x:f>
        <x:v>0</x:v>
      </x:c>
      <x:c r="R357" s="42" t="n">
        <x:v>0</x:v>
      </x:c>
      <x:c r="S357" s="42" t="n">
        <x:v>0</x:v>
      </x:c>
    </x:row>
    <x:row r="358">
      <x:c r="A358" t="n">
        <x:v>6</x:v>
      </x:c>
      <x:c r="B358" t="n">
        <x:v>1</x:v>
      </x:c>
      <x:c r="C358" t="n">
        <x:v>1</x:v>
      </x:c>
      <x:c r="D358" t="n">
        <x:v>0</x:v>
      </x:c>
      <x:c r="E358" t="str">
        <x:v>ole</x:v>
      </x:c>
      <x:c r="F358" s="45" t="n">
        <x:f>0</x:f>
        <x:v>0</x:v>
      </x:c>
      <x:c r="G358" s="45" t="n">
        <x:f>1*$D358</x:f>
        <x:v>0</x:v>
      </x:c>
      <x:c r="H358" s="45" t="n">
        <x:f>1*$B358</x:f>
        <x:v>1</x:v>
      </x:c>
      <x:c r="I358" s="45" t="n">
        <x:f>0</x:f>
        <x:v>0</x:v>
      </x:c>
      <x:c r="J358" s="45" t="n">
        <x:f>0</x:f>
        <x:v>0</x:v>
      </x:c>
      <x:c r="K358" s="45" t="n">
        <x:f>0</x:f>
        <x:v>0</x:v>
      </x:c>
      <x:c r="L358" s="45" t="n">
        <x:f>F358+I358</x:f>
        <x:v>0</x:v>
      </x:c>
      <x:c r="M358" s="45" t="n">
        <x:f>G358+J358</x:f>
        <x:v>0</x:v>
      </x:c>
      <x:c r="N358" s="45" t="n">
        <x:f>H358+K358</x:f>
        <x:v>1</x:v>
      </x:c>
      <x:c r="O358" s="45" t="n">
        <x:f>SUM(F358:H358)</x:f>
        <x:v>1</x:v>
      </x:c>
      <x:c r="P358" s="42" t="n">
        <x:f>IF(AND(F358&lt;=F374,F358&lt;=F326,F358&lt;=F342,G358&lt;=G366,G358&lt;=G354,G358&lt;=G362,H358&lt;=H361,H358&lt;=H360,H358&lt;=H359),1,0)</x:f>
        <x:v>0</x:v>
      </x:c>
      <x:c r="Q358" s="42" t="n">
        <x:f>IF(AND(L358&lt;=L374,L358&lt;=L326,L358&lt;=L342,M358&lt;=M366,M358&lt;=M354,M358&lt;=M362,N358&lt;=N361,N358&lt;=N360,N358&lt;=N359),1,0)</x:f>
        <x:v>1</x:v>
      </x:c>
      <x:c r="R358" s="42" t="n">
        <x:v>0</x:v>
      </x:c>
      <x:c r="S358" s="42" t="n">
        <x:v>1</x:v>
      </x:c>
    </x:row>
    <x:row r="359">
      <x:c r="A359" t="n">
        <x:v>6</x:v>
      </x:c>
      <x:c r="B359" t="n">
        <x:v>1</x:v>
      </x:c>
      <x:c r="C359" t="n">
        <x:v>1</x:v>
      </x:c>
      <x:c r="D359" t="n">
        <x:v>0</x:v>
      </x:c>
      <x:c r="E359" t="str">
        <x:v>oll</x:v>
      </x:c>
      <x:c r="F359" s="45" t="n">
        <x:f>0</x:f>
        <x:v>0</x:v>
      </x:c>
      <x:c r="G359" s="45" t="n">
        <x:f>(1/2)*$C359+(3/2)*$D359</x:f>
        <x:v>0.5</x:v>
      </x:c>
      <x:c r="H359" s="45" t="n">
        <x:f>(1/2)*$C359+(3/2)*$D359</x:f>
        <x:v>0.5</x:v>
      </x:c>
      <x:c r="I359" s="45" t="n">
        <x:f>0</x:f>
        <x:v>0</x:v>
      </x:c>
      <x:c r="J359" s="45" t="n">
        <x:f>(1/2)*($C359+$D359)</x:f>
        <x:v>0.5</x:v>
      </x:c>
      <x:c r="K359" s="45" t="n">
        <x:f>(1/2)*($C359+$D359)</x:f>
        <x:v>0.5</x:v>
      </x:c>
      <x:c r="L359" s="45" t="n">
        <x:f>F359+I359</x:f>
        <x:v>0</x:v>
      </x:c>
      <x:c r="M359" s="45" t="n">
        <x:f>G359+J359</x:f>
        <x:v>1</x:v>
      </x:c>
      <x:c r="N359" s="45" t="n">
        <x:f>H359+K359</x:f>
        <x:v>1</x:v>
      </x:c>
      <x:c r="O359" s="45" t="n">
        <x:f>SUM(F359:H359)</x:f>
        <x:v>1</x:v>
      </x:c>
      <x:c r="P359" s="42" t="n">
        <x:f>IF(AND(F359&lt;=F375,F359&lt;=F327,F359&lt;=F343,G359&lt;=G367,G359&lt;=G355,G359&lt;=G363,H359&lt;=H361,H359&lt;=H358,H359&lt;=H360),1,0)</x:f>
        <x:v>1</x:v>
      </x:c>
      <x:c r="Q359" s="42" t="n">
        <x:f>IF(AND(L359&lt;=L375,L359&lt;=L327,L359&lt;=L343,M359&lt;=M367,M359&lt;=M355,M359&lt;=M363,N359&lt;=N361,N359&lt;=N358,N359&lt;=N360),1,0)</x:f>
        <x:v>1</x:v>
      </x:c>
      <x:c r="R359" s="42" t="n">
        <x:v>1</x:v>
      </x:c>
      <x:c r="S359" s="42" t="n">
        <x:v>1</x:v>
      </x:c>
    </x:row>
    <x:row r="360">
      <x:c r="A360" t="n">
        <x:v>6</x:v>
      </x:c>
      <x:c r="B360" t="n">
        <x:v>1</x:v>
      </x:c>
      <x:c r="C360" t="n">
        <x:v>1</x:v>
      </x:c>
      <x:c r="D360" t="n">
        <x:v>0</x:v>
      </x:c>
      <x:c r="E360" t="str">
        <x:v>olo</x:v>
      </x:c>
      <x:c r="F360" s="45" t="n">
        <x:f>(1/2)*$C360+(1/2)*$D360</x:f>
        <x:v>0.5</x:v>
      </x:c>
      <x:c r="G360" s="45" t="n">
        <x:f>1*$C360+2*$D360</x:f>
        <x:v>1</x:v>
      </x:c>
      <x:c r="H360" s="45" t="n">
        <x:f>(1/2)*$C360+(1/2)*$D360</x:f>
        <x:v>0.5</x:v>
      </x:c>
      <x:c r="I360" s="45" t="n">
        <x:f>(3/2)*($C360+$D360)</x:f>
        <x:v>1.5</x:v>
      </x:c>
      <x:c r="J360" s="45" t="n">
        <x:f>0</x:f>
        <x:v>0</x:v>
      </x:c>
      <x:c r="K360" s="45" t="n">
        <x:f>(3/2)*($C360+$D360)</x:f>
        <x:v>1.5</x:v>
      </x:c>
      <x:c r="L360" s="45" t="n">
        <x:f>F360+I360</x:f>
        <x:v>2</x:v>
      </x:c>
      <x:c r="M360" s="45" t="n">
        <x:f>G360+J360</x:f>
        <x:v>1</x:v>
      </x:c>
      <x:c r="N360" s="45" t="n">
        <x:f>H360+K360</x:f>
        <x:v>2</x:v>
      </x:c>
      <x:c r="O360" s="45" t="n">
        <x:f>SUM(F360:H360)</x:f>
        <x:v>2</x:v>
      </x:c>
      <x:c r="P360" s="42" t="n">
        <x:f>IF(AND(F360&lt;=F376,F360&lt;=F328,F360&lt;=F344,G360&lt;=G368,G360&lt;=G356,G360&lt;=G364,H360&lt;=H361,H360&lt;=H358,H360&lt;=H359),1,0)</x:f>
        <x:v>1</x:v>
      </x:c>
      <x:c r="Q360" s="42" t="n">
        <x:f>IF(AND(L360&lt;=L376,L360&lt;=L328,L360&lt;=L344,M360&lt;=M368,M360&lt;=M356,M360&lt;=M364,N360&lt;=N361,N360&lt;=N358,N360&lt;=N359),1,0)</x:f>
        <x:v>0</x:v>
      </x:c>
      <x:c r="R360" s="42" t="n">
        <x:v>1</x:v>
      </x:c>
      <x:c r="S360" s="42" t="n">
        <x:v>0</x:v>
      </x:c>
    </x:row>
    <x:row r="361">
      <x:c r="A361" t="n">
        <x:v>6</x:v>
      </x:c>
      <x:c r="B361" t="n">
        <x:v>1</x:v>
      </x:c>
      <x:c r="C361" t="n">
        <x:v>1</x:v>
      </x:c>
      <x:c r="D361" t="n">
        <x:v>0</x:v>
      </x:c>
      <x:c r="E361" t="str">
        <x:v>olv</x:v>
      </x:c>
      <x:c r="F361" s="45" t="n">
        <x:f>0</x:f>
        <x:v>0</x:v>
      </x:c>
      <x:c r="G361" s="45" t="n">
        <x:f>1*$D361</x:f>
        <x:v>0</x:v>
      </x:c>
      <x:c r="H361" s="45" t="n">
        <x:f>2*$B361</x:f>
        <x:v>2</x:v>
      </x:c>
      <x:c r="I361" s="45" t="n">
        <x:f>0</x:f>
        <x:v>0</x:v>
      </x:c>
      <x:c r="J361" s="45" t="n">
        <x:f>0</x:f>
        <x:v>0</x:v>
      </x:c>
      <x:c r="K361" s="45" t="n">
        <x:f>0</x:f>
        <x:v>0</x:v>
      </x:c>
      <x:c r="L361" s="45" t="n">
        <x:f>F361+I361</x:f>
        <x:v>0</x:v>
      </x:c>
      <x:c r="M361" s="45" t="n">
        <x:f>G361+J361</x:f>
        <x:v>0</x:v>
      </x:c>
      <x:c r="N361" s="45" t="n">
        <x:f>H361+K361</x:f>
        <x:v>2</x:v>
      </x:c>
      <x:c r="O361" s="45" t="n">
        <x:f>SUM(F361:H361)</x:f>
        <x:v>2</x:v>
      </x:c>
      <x:c r="P361" s="42" t="n">
        <x:f>IF(AND(F361&lt;=F377,F361&lt;=F329,F361&lt;=F345,G361&lt;=G369,G361&lt;=G357,G361&lt;=G365,H361&lt;=H358,H361&lt;=H360,H361&lt;=H359),1,0)</x:f>
        <x:v>0</x:v>
      </x:c>
      <x:c r="Q361" s="42" t="n">
        <x:f>IF(AND(L361&lt;=L377,L361&lt;=L329,L361&lt;=L345,M361&lt;=M369,M361&lt;=M357,M361&lt;=M365,N361&lt;=N358,N361&lt;=N360,N361&lt;=N359),1,0)</x:f>
        <x:v>0</x:v>
      </x:c>
      <x:c r="R361" s="42" t="n">
        <x:v>0</x:v>
      </x:c>
      <x:c r="S361" s="42" t="n">
        <x:v>0</x:v>
      </x:c>
    </x:row>
    <x:row r="362">
      <x:c r="A362" t="n">
        <x:v>6</x:v>
      </x:c>
      <x:c r="B362" t="n">
        <x:v>1</x:v>
      </x:c>
      <x:c r="C362" t="n">
        <x:v>1</x:v>
      </x:c>
      <x:c r="D362" t="n">
        <x:v>0</x:v>
      </x:c>
      <x:c r="E362" t="str">
        <x:v>ooe</x:v>
      </x:c>
      <x:c r="F362" s="45" t="n">
        <x:f>(1/2)*$C362+(1/2)*$D362</x:f>
        <x:v>0.5</x:v>
      </x:c>
      <x:c r="G362" s="45" t="n">
        <x:f>(1/2)*$C362+(1/2)*$D362</x:f>
        <x:v>0.5</x:v>
      </x:c>
      <x:c r="H362" s="45" t="n">
        <x:f>1*$B362</x:f>
        <x:v>1</x:v>
      </x:c>
      <x:c r="I362" s="45" t="n">
        <x:f>(1/2)*($C362+$D362)</x:f>
        <x:v>0.5</x:v>
      </x:c>
      <x:c r="J362" s="45" t="n">
        <x:f>(1/2)*($C362+$D362)</x:f>
        <x:v>0.5</x:v>
      </x:c>
      <x:c r="K362" s="45" t="n">
        <x:f>0</x:f>
        <x:v>0</x:v>
      </x:c>
      <x:c r="L362" s="45" t="n">
        <x:f>F362+I362</x:f>
        <x:v>1</x:v>
      </x:c>
      <x:c r="M362" s="45" t="n">
        <x:f>G362+J362</x:f>
        <x:v>1</x:v>
      </x:c>
      <x:c r="N362" s="45" t="n">
        <x:f>H362+K362</x:f>
        <x:v>1</x:v>
      </x:c>
      <x:c r="O362" s="45" t="n">
        <x:f>SUM(F362:H362)</x:f>
        <x:v>2</x:v>
      </x:c>
      <x:c r="P362" s="42" t="n">
        <x:f>IF(AND(F362&lt;=F378,F362&lt;=F330,F362&lt;=F346,G362&lt;=G366,G362&lt;=G354,G362&lt;=G358,H362&lt;=H365,H362&lt;=H364,H362&lt;=H363),1,0)</x:f>
        <x:v>0</x:v>
      </x:c>
      <x:c r="Q362" s="42" t="n">
        <x:f>IF(AND(L362&lt;=L378,L362&lt;=L330,L362&lt;=L346,M362&lt;=M366,M362&lt;=M354,M362&lt;=M358,N362&lt;=N365,N362&lt;=N364,N362&lt;=N363),1,0)</x:f>
        <x:v>0</x:v>
      </x:c>
      <x:c r="R362" s="42" t="n">
        <x:v>0</x:v>
      </x:c>
      <x:c r="S362" s="42" t="n">
        <x:v>0</x:v>
      </x:c>
    </x:row>
    <x:row r="363">
      <x:c r="A363" t="n">
        <x:v>6</x:v>
      </x:c>
      <x:c r="B363" t="n">
        <x:v>1</x:v>
      </x:c>
      <x:c r="C363" t="n">
        <x:v>1</x:v>
      </x:c>
      <x:c r="D363" t="n">
        <x:v>0</x:v>
      </x:c>
      <x:c r="E363" t="str">
        <x:v>ool</x:v>
      </x:c>
      <x:c r="F363" s="45" t="n">
        <x:f>(1/2)*$C363+(1/2)*$D363</x:f>
        <x:v>0.5</x:v>
      </x:c>
      <x:c r="G363" s="45" t="n">
        <x:f>(1/2)*$C363+(1/2)*$D363</x:f>
        <x:v>0.5</x:v>
      </x:c>
      <x:c r="H363" s="45" t="n">
        <x:f>1*$C363+2*$D363</x:f>
        <x:v>1</x:v>
      </x:c>
      <x:c r="I363" s="45" t="n">
        <x:f>(3/2)*($C363+$D363)</x:f>
        <x:v>1.5</x:v>
      </x:c>
      <x:c r="J363" s="45" t="n">
        <x:f>(3/2)*($C363+$D363)</x:f>
        <x:v>1.5</x:v>
      </x:c>
      <x:c r="K363" s="45" t="n">
        <x:f>0</x:f>
        <x:v>0</x:v>
      </x:c>
      <x:c r="L363" s="45" t="n">
        <x:f>F363+I363</x:f>
        <x:v>2</x:v>
      </x:c>
      <x:c r="M363" s="45" t="n">
        <x:f>G363+J363</x:f>
        <x:v>2</x:v>
      </x:c>
      <x:c r="N363" s="45" t="n">
        <x:f>H363+K363</x:f>
        <x:v>1</x:v>
      </x:c>
      <x:c r="O363" s="45" t="n">
        <x:f>SUM(F363:H363)</x:f>
        <x:v>2</x:v>
      </x:c>
      <x:c r="P363" s="42" t="n">
        <x:f>IF(AND(F363&lt;=F379,F363&lt;=F331,F363&lt;=F347,G363&lt;=G367,G363&lt;=G355,G363&lt;=G359,H363&lt;=H365,H363&lt;=H362,H363&lt;=H364),1,0)</x:f>
        <x:v>1</x:v>
      </x:c>
      <x:c r="Q363" s="42" t="n">
        <x:f>IF(AND(L363&lt;=L379,L363&lt;=L331,L363&lt;=L347,M363&lt;=M367,M363&lt;=M355,M363&lt;=M359,N363&lt;=N365,N363&lt;=N362,N363&lt;=N364),1,0)</x:f>
        <x:v>0</x:v>
      </x:c>
      <x:c r="R363" s="42" t="n">
        <x:v>1</x:v>
      </x:c>
      <x:c r="S363" s="42" t="n">
        <x:v>0</x:v>
      </x:c>
    </x:row>
    <x:row r="364">
      <x:c r="A364" t="n">
        <x:v>6</x:v>
      </x:c>
      <x:c r="B364" t="n">
        <x:v>1</x:v>
      </x:c>
      <x:c r="C364" t="n">
        <x:v>1</x:v>
      </x:c>
      <x:c r="D364" t="n">
        <x:v>0</x:v>
      </x:c>
      <x:c r="E364" t="str">
        <x:v>ooo</x:v>
      </x:c>
      <x:c r="F364" s="45" t="n">
        <x:f>1*$C364+1*$D364</x:f>
        <x:v>1</x:v>
      </x:c>
      <x:c r="G364" s="45" t="n">
        <x:f>1*$C364+1*$D364</x:f>
        <x:v>1</x:v>
      </x:c>
      <x:c r="H364" s="45" t="n">
        <x:f>1*$C364+1*$D364</x:f>
        <x:v>1</x:v>
      </x:c>
      <x:c r="I364" s="45" t="n">
        <x:f>$C364+$D364</x:f>
        <x:v>1</x:v>
      </x:c>
      <x:c r="J364" s="45" t="n">
        <x:f>$C364+$D364</x:f>
        <x:v>1</x:v>
      </x:c>
      <x:c r="K364" s="45" t="n">
        <x:f>$C364+$D364</x:f>
        <x:v>1</x:v>
      </x:c>
      <x:c r="L364" s="45" t="n">
        <x:f>F364+I364</x:f>
        <x:v>2</x:v>
      </x:c>
      <x:c r="M364" s="45" t="n">
        <x:f>G364+J364</x:f>
        <x:v>2</x:v>
      </x:c>
      <x:c r="N364" s="45" t="n">
        <x:f>H364+K364</x:f>
        <x:v>2</x:v>
      </x:c>
      <x:c r="O364" s="45" t="n">
        <x:f>SUM(F364:H364)</x:f>
        <x:v>3</x:v>
      </x:c>
      <x:c r="P364" s="42" t="n">
        <x:f>IF(AND(F364&lt;=F380,F364&lt;=F332,F364&lt;=F348,G364&lt;=G368,G364&lt;=G356,G364&lt;=G360,H364&lt;=H365,H364&lt;=H362,H364&lt;=H363),1,0)</x:f>
        <x:v>1</x:v>
      </x:c>
      <x:c r="Q364" s="42" t="n">
        <x:f>IF(AND(L364&lt;=L380,L364&lt;=L332,L364&lt;=L348,M364&lt;=M368,M364&lt;=M356,M364&lt;=M360,N364&lt;=N365,N364&lt;=N362,N364&lt;=N363),1,0)</x:f>
        <x:v>0</x:v>
      </x:c>
      <x:c r="R364" s="42" t="n">
        <x:v>1</x:v>
      </x:c>
      <x:c r="S364" s="42" t="n">
        <x:v>0</x:v>
      </x:c>
    </x:row>
    <x:row r="365">
      <x:c r="A365" t="n">
        <x:v>6</x:v>
      </x:c>
      <x:c r="B365" t="n">
        <x:v>1</x:v>
      </x:c>
      <x:c r="C365" t="n">
        <x:v>1</x:v>
      </x:c>
      <x:c r="D365" t="n">
        <x:v>0</x:v>
      </x:c>
      <x:c r="E365" t="str">
        <x:v>oov</x:v>
      </x:c>
      <x:c r="F365" s="45" t="n">
        <x:f>(1/2)*$C365+(1/2)*$D365</x:f>
        <x:v>0.5</x:v>
      </x:c>
      <x:c r="G365" s="45" t="n">
        <x:f>(1/2)*$C365+(1/2)*$D365</x:f>
        <x:v>0.5</x:v>
      </x:c>
      <x:c r="H365" s="45" t="n">
        <x:f>2*$B365</x:f>
        <x:v>2</x:v>
      </x:c>
      <x:c r="I365" s="45" t="n">
        <x:f>(1/2)*($C365+$D365)</x:f>
        <x:v>0.5</x:v>
      </x:c>
      <x:c r="J365" s="45" t="n">
        <x:f>(1/2)*($C365+$D365)</x:f>
        <x:v>0.5</x:v>
      </x:c>
      <x:c r="K365" s="45" t="n">
        <x:f>0</x:f>
        <x:v>0</x:v>
      </x:c>
      <x:c r="L365" s="45" t="n">
        <x:f>F365+I365</x:f>
        <x:v>1</x:v>
      </x:c>
      <x:c r="M365" s="45" t="n">
        <x:f>G365+J365</x:f>
        <x:v>1</x:v>
      </x:c>
      <x:c r="N365" s="45" t="n">
        <x:f>H365+K365</x:f>
        <x:v>2</x:v>
      </x:c>
      <x:c r="O365" s="45" t="n">
        <x:f>SUM(F365:H365)</x:f>
        <x:v>3</x:v>
      </x:c>
      <x:c r="P365" s="42" t="n">
        <x:f>IF(AND(F365&lt;=F381,F365&lt;=F333,F365&lt;=F349,G365&lt;=G369,G365&lt;=G357,G365&lt;=G361,H365&lt;=H362,H365&lt;=H364,H365&lt;=H363),1,0)</x:f>
        <x:v>0</x:v>
      </x:c>
      <x:c r="Q365" s="42" t="n">
        <x:f>IF(AND(L365&lt;=L381,L365&lt;=L333,L365&lt;=L349,M365&lt;=M369,M365&lt;=M357,M365&lt;=M361,N365&lt;=N362,N365&lt;=N364,N365&lt;=N363),1,0)</x:f>
        <x:v>0</x:v>
      </x:c>
      <x:c r="R365" s="42" t="n">
        <x:v>0</x:v>
      </x:c>
      <x:c r="S365" s="42" t="n">
        <x:v>0</x:v>
      </x:c>
    </x:row>
    <x:row r="366">
      <x:c r="A366" t="n">
        <x:v>6</x:v>
      </x:c>
      <x:c r="B366" t="n">
        <x:v>1</x:v>
      </x:c>
      <x:c r="C366" t="n">
        <x:v>1</x:v>
      </x:c>
      <x:c r="D366" t="n">
        <x:v>0</x:v>
      </x:c>
      <x:c r="E366" t="str">
        <x:v>ove</x:v>
      </x:c>
      <x:c r="F366" s="45" t="n">
        <x:f>0</x:f>
        <x:v>0</x:v>
      </x:c>
      <x:c r="G366" s="45" t="n">
        <x:f>2*$B366</x:f>
        <x:v>2</x:v>
      </x:c>
      <x:c r="H366" s="45" t="n">
        <x:f>1*$B366</x:f>
        <x:v>1</x:v>
      </x:c>
      <x:c r="I366" s="45" t="n">
        <x:f>0</x:f>
        <x:v>0</x:v>
      </x:c>
      <x:c r="J366" s="45" t="n">
        <x:f>0</x:f>
        <x:v>0</x:v>
      </x:c>
      <x:c r="K366" s="45" t="n">
        <x:f>0</x:f>
        <x:v>0</x:v>
      </x:c>
      <x:c r="L366" s="45" t="n">
        <x:f>F366+I366</x:f>
        <x:v>0</x:v>
      </x:c>
      <x:c r="M366" s="45" t="n">
        <x:f>G366+J366</x:f>
        <x:v>2</x:v>
      </x:c>
      <x:c r="N366" s="45" t="n">
        <x:f>H366+K366</x:f>
        <x:v>1</x:v>
      </x:c>
      <x:c r="O366" s="45" t="n">
        <x:f>SUM(F366:H366)</x:f>
        <x:v>3</x:v>
      </x:c>
      <x:c r="P366" s="42" t="n">
        <x:f>IF(AND(F366&lt;=F382,F366&lt;=F334,F366&lt;=F350,G366&lt;=G354,G366&lt;=G362,G366&lt;=G358,H366&lt;=H369,H366&lt;=H368,H366&lt;=H367),1,0)</x:f>
        <x:v>0</x:v>
      </x:c>
      <x:c r="Q366" s="42" t="n">
        <x:f>IF(AND(L366&lt;=L382,L366&lt;=L334,L366&lt;=L350,M366&lt;=M354,M366&lt;=M362,M366&lt;=M358,N366&lt;=N369,N366&lt;=N368,N366&lt;=N367),1,0)</x:f>
        <x:v>0</x:v>
      </x:c>
      <x:c r="R366" s="42" t="n">
        <x:v>0</x:v>
      </x:c>
      <x:c r="S366" s="42" t="n">
        <x:v>0</x:v>
      </x:c>
    </x:row>
    <x:row r="367">
      <x:c r="A367" t="n">
        <x:v>6</x:v>
      </x:c>
      <x:c r="B367" t="n">
        <x:v>1</x:v>
      </x:c>
      <x:c r="C367" t="n">
        <x:v>1</x:v>
      </x:c>
      <x:c r="D367" t="n">
        <x:v>0</x:v>
      </x:c>
      <x:c r="E367" t="str">
        <x:v>ovl</x:v>
      </x:c>
      <x:c r="F367" s="45" t="n">
        <x:f>0</x:f>
        <x:v>0</x:v>
      </x:c>
      <x:c r="G367" s="45" t="n">
        <x:f>2*$B367</x:f>
        <x:v>2</x:v>
      </x:c>
      <x:c r="H367" s="45" t="n">
        <x:f>1*$D367</x:f>
        <x:v>0</x:v>
      </x:c>
      <x:c r="I367" s="45" t="n">
        <x:f>0</x:f>
        <x:v>0</x:v>
      </x:c>
      <x:c r="J367" s="45" t="n">
        <x:f>0</x:f>
        <x:v>0</x:v>
      </x:c>
      <x:c r="K367" s="45" t="n">
        <x:f>0</x:f>
        <x:v>0</x:v>
      </x:c>
      <x:c r="L367" s="45" t="n">
        <x:f>F367+I367</x:f>
        <x:v>0</x:v>
      </x:c>
      <x:c r="M367" s="45" t="n">
        <x:f>G367+J367</x:f>
        <x:v>2</x:v>
      </x:c>
      <x:c r="N367" s="45" t="n">
        <x:f>H367+K367</x:f>
        <x:v>0</x:v>
      </x:c>
      <x:c r="O367" s="45" t="n">
        <x:f>SUM(F367:H367)</x:f>
        <x:v>2</x:v>
      </x:c>
      <x:c r="P367" s="42" t="n">
        <x:f>IF(AND(F367&lt;=F383,F367&lt;=F335,F367&lt;=F351,G367&lt;=G355,G367&lt;=G363,G367&lt;=G359,H367&lt;=H369,H367&lt;=H366,H367&lt;=H368),1,0)</x:f>
        <x:v>0</x:v>
      </x:c>
      <x:c r="Q367" s="42" t="n">
        <x:f>IF(AND(L367&lt;=L383,L367&lt;=L335,L367&lt;=L351,M367&lt;=M355,M367&lt;=M363,M367&lt;=M359,N367&lt;=N369,N367&lt;=N366,N367&lt;=N368),1,0)</x:f>
        <x:v>0</x:v>
      </x:c>
      <x:c r="R367" s="42" t="n">
        <x:v>0</x:v>
      </x:c>
      <x:c r="S367" s="42" t="n">
        <x:v>0</x:v>
      </x:c>
    </x:row>
    <x:row r="368">
      <x:c r="A368" t="n">
        <x:v>6</x:v>
      </x:c>
      <x:c r="B368" t="n">
        <x:v>1</x:v>
      </x:c>
      <x:c r="C368" t="n">
        <x:v>1</x:v>
      </x:c>
      <x:c r="D368" t="n">
        <x:v>0</x:v>
      </x:c>
      <x:c r="E368" t="str">
        <x:v>ovo</x:v>
      </x:c>
      <x:c r="F368" s="45" t="n">
        <x:f>(1/2)*$C368+(1/2)*$D368</x:f>
        <x:v>0.5</x:v>
      </x:c>
      <x:c r="G368" s="45" t="n">
        <x:f>2*$B368</x:f>
        <x:v>2</x:v>
      </x:c>
      <x:c r="H368" s="45" t="n">
        <x:f>(1/2)*$C368+(1/2)*$D368</x:f>
        <x:v>0.5</x:v>
      </x:c>
      <x:c r="I368" s="45" t="n">
        <x:f>(1/2)*($C368+$D368)</x:f>
        <x:v>0.5</x:v>
      </x:c>
      <x:c r="J368" s="45" t="n">
        <x:f>0</x:f>
        <x:v>0</x:v>
      </x:c>
      <x:c r="K368" s="45" t="n">
        <x:f>(1/2)*($C368+$D368)</x:f>
        <x:v>0.5</x:v>
      </x:c>
      <x:c r="L368" s="45" t="n">
        <x:f>F368+I368</x:f>
        <x:v>1</x:v>
      </x:c>
      <x:c r="M368" s="45" t="n">
        <x:f>G368+J368</x:f>
        <x:v>2</x:v>
      </x:c>
      <x:c r="N368" s="45" t="n">
        <x:f>H368+K368</x:f>
        <x:v>1</x:v>
      </x:c>
      <x:c r="O368" s="45" t="n">
        <x:f>SUM(F368:H368)</x:f>
        <x:v>3</x:v>
      </x:c>
      <x:c r="P368" s="42" t="n">
        <x:f>IF(AND(F368&lt;=F384,F368&lt;=F336,F368&lt;=F352,G368&lt;=G356,G368&lt;=G364,G368&lt;=G360,H368&lt;=H369,H368&lt;=H366,H368&lt;=H367),1,0)</x:f>
        <x:v>0</x:v>
      </x:c>
      <x:c r="Q368" s="42" t="n">
        <x:f>IF(AND(L368&lt;=L384,L368&lt;=L336,L368&lt;=L352,M368&lt;=M356,M368&lt;=M364,M368&lt;=M360,N368&lt;=N369,N368&lt;=N366,N368&lt;=N367),1,0)</x:f>
        <x:v>0</x:v>
      </x:c>
      <x:c r="R368" s="42" t="n">
        <x:v>0</x:v>
      </x:c>
      <x:c r="S368" s="42" t="n">
        <x:v>0</x:v>
      </x:c>
    </x:row>
    <x:row r="369">
      <x:c r="A369" t="n">
        <x:v>6</x:v>
      </x:c>
      <x:c r="B369" t="n">
        <x:v>1</x:v>
      </x:c>
      <x:c r="C369" t="n">
        <x:v>1</x:v>
      </x:c>
      <x:c r="D369" t="n">
        <x:v>0</x:v>
      </x:c>
      <x:c r="E369" t="str">
        <x:v>ovv</x:v>
      </x:c>
      <x:c r="F369" s="45" t="n">
        <x:f>0</x:f>
        <x:v>0</x:v>
      </x:c>
      <x:c r="G369" s="45" t="n">
        <x:f>(3/2)*$B369+(1/2)*$C369</x:f>
        <x:v>2</x:v>
      </x:c>
      <x:c r="H369" s="45" t="n">
        <x:f>(3/2)*$B369+(1/2)*$C369</x:f>
        <x:v>2</x:v>
      </x:c>
      <x:c r="I369" s="45" t="n">
        <x:f>0</x:f>
        <x:v>0</x:v>
      </x:c>
      <x:c r="J369" s="45" t="n">
        <x:f>MAX((1/2)*($C369-$B369),0)</x:f>
        <x:v>0</x:v>
      </x:c>
      <x:c r="K369" s="45" t="n">
        <x:f>MAX((1/2)*($C369-$B369),0)</x:f>
        <x:v>0</x:v>
      </x:c>
      <x:c r="L369" s="45" t="n">
        <x:f>F369+I369</x:f>
        <x:v>0</x:v>
      </x:c>
      <x:c r="M369" s="45" t="n">
        <x:f>G369+J369</x:f>
        <x:v>2</x:v>
      </x:c>
      <x:c r="N369" s="45" t="n">
        <x:f>H369+K369</x:f>
        <x:v>2</x:v>
      </x:c>
      <x:c r="O369" s="45" t="n">
        <x:f>SUM(F369:H369)</x:f>
        <x:v>4</x:v>
      </x:c>
      <x:c r="P369" s="42" t="n">
        <x:f>IF(AND(F369&lt;=F385,F369&lt;=F337,F369&lt;=F353,G369&lt;=G357,G369&lt;=G365,G369&lt;=G361,H369&lt;=H366,H369&lt;=H368,H369&lt;=H367),1,0)</x:f>
        <x:v>0</x:v>
      </x:c>
      <x:c r="Q369" s="42" t="n">
        <x:f>IF(AND(L369&lt;=L385,L369&lt;=L337,L369&lt;=L353,M369&lt;=M357,M369&lt;=M365,M369&lt;=M361,N369&lt;=N366,N369&lt;=N368,N369&lt;=N367),1,0)</x:f>
        <x:v>0</x:v>
      </x:c>
      <x:c r="R369" s="42" t="n">
        <x:v>0</x:v>
      </x:c>
      <x:c r="S369" s="42" t="n">
        <x:v>0</x:v>
      </x:c>
    </x:row>
    <x:row r="370">
      <x:c r="A370" t="n">
        <x:v>6</x:v>
      </x:c>
      <x:c r="B370" t="n">
        <x:v>1</x:v>
      </x:c>
      <x:c r="C370" t="n">
        <x:v>1</x:v>
      </x:c>
      <x:c r="D370" t="n">
        <x:v>0</x:v>
      </x:c>
      <x:c r="E370" t="str">
        <x:v>vee</x:v>
      </x:c>
      <x:c r="F370" s="45" t="n">
        <x:f>2*$B370</x:f>
        <x:v>2</x:v>
      </x:c>
      <x:c r="G370" s="45" t="n">
        <x:f>(1/2)*$B370+(1/2)*$C370</x:f>
        <x:v>1</x:v>
      </x:c>
      <x:c r="H370" s="45" t="n">
        <x:f>(1/2)*$B370+(1/2)*$C370</x:f>
        <x:v>1</x:v>
      </x:c>
      <x:c r="I370" s="45" t="n">
        <x:f>0</x:f>
        <x:v>0</x:v>
      </x:c>
      <x:c r="J370" s="45" t="n">
        <x:f>MAX((1/2)*($C370-$B370),0)</x:f>
        <x:v>0</x:v>
      </x:c>
      <x:c r="K370" s="45" t="n">
        <x:f>MAX((1/2)*($C370-$B370),0)</x:f>
        <x:v>0</x:v>
      </x:c>
      <x:c r="L370" s="45" t="n">
        <x:f>F370+I370</x:f>
        <x:v>2</x:v>
      </x:c>
      <x:c r="M370" s="45" t="n">
        <x:f>G370+J370</x:f>
        <x:v>1</x:v>
      </x:c>
      <x:c r="N370" s="45" t="n">
        <x:f>H370+K370</x:f>
        <x:v>1</x:v>
      </x:c>
      <x:c r="O370" s="45" t="n">
        <x:f>SUM(F370:H370)</x:f>
        <x:v>4</x:v>
      </x:c>
      <x:c r="P370" s="42" t="n">
        <x:f>IF(AND(F370&lt;=F322,F370&lt;=F354,F370&lt;=F338,G370&lt;=G382,G370&lt;=G378,G370&lt;=G374,H370&lt;=H373,H370&lt;=H372,H370&lt;=H371),1,0)</x:f>
        <x:v>0</x:v>
      </x:c>
      <x:c r="Q370" s="42" t="n">
        <x:f>IF(AND(L370&lt;=L322,L370&lt;=L354,L370&lt;=L338,M370&lt;=M382,M370&lt;=M378,M370&lt;=M374,N370&lt;=N373,N370&lt;=N372,N370&lt;=N371),1,0)</x:f>
        <x:v>0</x:v>
      </x:c>
      <x:c r="R370" s="42" t="n">
        <x:v>0</x:v>
      </x:c>
      <x:c r="S370" s="42" t="n">
        <x:v>0</x:v>
      </x:c>
    </x:row>
    <x:row r="371">
      <x:c r="A371" t="n">
        <x:v>6</x:v>
      </x:c>
      <x:c r="B371" t="n">
        <x:v>1</x:v>
      </x:c>
      <x:c r="C371" t="n">
        <x:v>1</x:v>
      </x:c>
      <x:c r="D371" t="n">
        <x:v>0</x:v>
      </x:c>
      <x:c r="E371" t="str">
        <x:v>vel</x:v>
      </x:c>
      <x:c r="F371" s="45" t="n">
        <x:f>2*$B371</x:f>
        <x:v>2</x:v>
      </x:c>
      <x:c r="G371" s="45" t="n">
        <x:f>1*$B371</x:f>
        <x:v>1</x:v>
      </x:c>
      <x:c r="H371" s="45" t="n">
        <x:f>1*$D371</x:f>
        <x:v>0</x:v>
      </x:c>
      <x:c r="I371" s="45" t="n">
        <x:f>0</x:f>
        <x:v>0</x:v>
      </x:c>
      <x:c r="J371" s="45" t="n">
        <x:f>0</x:f>
        <x:v>0</x:v>
      </x:c>
      <x:c r="K371" s="45" t="n">
        <x:f>0</x:f>
        <x:v>0</x:v>
      </x:c>
      <x:c r="L371" s="45" t="n">
        <x:f>F371+I371</x:f>
        <x:v>2</x:v>
      </x:c>
      <x:c r="M371" s="45" t="n">
        <x:f>G371+J371</x:f>
        <x:v>1</x:v>
      </x:c>
      <x:c r="N371" s="45" t="n">
        <x:f>H371+K371</x:f>
        <x:v>0</x:v>
      </x:c>
      <x:c r="O371" s="45" t="n">
        <x:f>SUM(F371:H371)</x:f>
        <x:v>3</x:v>
      </x:c>
      <x:c r="P371" s="42" t="n">
        <x:f>IF(AND(F371&lt;=F323,F371&lt;=F355,F371&lt;=F339,G371&lt;=G383,G371&lt;=G379,G371&lt;=G375,H371&lt;=H373,H371&lt;=H370,H371&lt;=H372),1,0)</x:f>
        <x:v>0</x:v>
      </x:c>
      <x:c r="Q371" s="42" t="n">
        <x:f>IF(AND(L371&lt;=L323,L371&lt;=L355,L371&lt;=L339,M371&lt;=M383,M371&lt;=M379,M371&lt;=M375,N371&lt;=N373,N371&lt;=N370,N371&lt;=N372),1,0)</x:f>
        <x:v>0</x:v>
      </x:c>
      <x:c r="R371" s="42" t="n">
        <x:v>0</x:v>
      </x:c>
      <x:c r="S371" s="42" t="n">
        <x:v>0</x:v>
      </x:c>
    </x:row>
    <x:row r="372">
      <x:c r="A372" t="n">
        <x:v>6</x:v>
      </x:c>
      <x:c r="B372" t="n">
        <x:v>1</x:v>
      </x:c>
      <x:c r="C372" t="n">
        <x:v>1</x:v>
      </x:c>
      <x:c r="D372" t="n">
        <x:v>0</x:v>
      </x:c>
      <x:c r="E372" t="str">
        <x:v>veo</x:v>
      </x:c>
      <x:c r="F372" s="45" t="n">
        <x:f>2*$B372</x:f>
        <x:v>2</x:v>
      </x:c>
      <x:c r="G372" s="45" t="n">
        <x:f>1*$B372</x:f>
        <x:v>1</x:v>
      </x:c>
      <x:c r="H372" s="45" t="n">
        <x:f>0</x:f>
        <x:v>0</x:v>
      </x:c>
      <x:c r="I372" s="45" t="n">
        <x:f>0</x:f>
        <x:v>0</x:v>
      </x:c>
      <x:c r="J372" s="45" t="n">
        <x:f>0</x:f>
        <x:v>0</x:v>
      </x:c>
      <x:c r="K372" s="45" t="n">
        <x:f>0</x:f>
        <x:v>0</x:v>
      </x:c>
      <x:c r="L372" s="45" t="n">
        <x:f>F372+I372</x:f>
        <x:v>2</x:v>
      </x:c>
      <x:c r="M372" s="45" t="n">
        <x:f>G372+J372</x:f>
        <x:v>1</x:v>
      </x:c>
      <x:c r="N372" s="45" t="n">
        <x:f>H372+K372</x:f>
        <x:v>0</x:v>
      </x:c>
      <x:c r="O372" s="45" t="n">
        <x:f>SUM(F372:H372)</x:f>
        <x:v>3</x:v>
      </x:c>
      <x:c r="P372" s="42" t="n">
        <x:f>IF(AND(F372&lt;=F324,F372&lt;=F356,F372&lt;=F340,G372&lt;=G384,G372&lt;=G380,G372&lt;=G376,H372&lt;=H373,H372&lt;=H370,H372&lt;=H371),1,0)</x:f>
        <x:v>0</x:v>
      </x:c>
      <x:c r="Q372" s="42" t="n">
        <x:f>IF(AND(L372&lt;=L324,L372&lt;=L356,L372&lt;=L340,M372&lt;=M384,M372&lt;=M380,M372&lt;=M376,N372&lt;=N373,N372&lt;=N370,N372&lt;=N371),1,0)</x:f>
        <x:v>0</x:v>
      </x:c>
      <x:c r="R372" s="42" t="n">
        <x:v>0</x:v>
      </x:c>
      <x:c r="S372" s="42" t="n">
        <x:v>0</x:v>
      </x:c>
    </x:row>
    <x:row r="373">
      <x:c r="A373" t="n">
        <x:v>6</x:v>
      </x:c>
      <x:c r="B373" t="n">
        <x:v>1</x:v>
      </x:c>
      <x:c r="C373" t="n">
        <x:v>1</x:v>
      </x:c>
      <x:c r="D373" t="n">
        <x:v>0</x:v>
      </x:c>
      <x:c r="E373" t="str">
        <x:v>vev</x:v>
      </x:c>
      <x:c r="F373" s="45" t="n">
        <x:f>(3/2)*$B373+(1/2)*$C373</x:f>
        <x:v>2</x:v>
      </x:c>
      <x:c r="G373" s="45" t="n">
        <x:f>1*$C373</x:f>
        <x:v>1</x:v>
      </x:c>
      <x:c r="H373" s="45" t="n">
        <x:f>(3/2)*$B373+(1/2)*$C373</x:f>
        <x:v>2</x:v>
      </x:c>
      <x:c r="I373" s="45" t="n">
        <x:f>MAX((3/2)*($C373-$B373),0)</x:f>
        <x:v>0</x:v>
      </x:c>
      <x:c r="J373" s="45" t="n">
        <x:f>0</x:f>
        <x:v>0</x:v>
      </x:c>
      <x:c r="K373" s="45" t="n">
        <x:f>MAX((3/2)*($C373-$B373),0)</x:f>
        <x:v>0</x:v>
      </x:c>
      <x:c r="L373" s="45" t="n">
        <x:f>F373+I373</x:f>
        <x:v>2</x:v>
      </x:c>
      <x:c r="M373" s="45" t="n">
        <x:f>G373+J373</x:f>
        <x:v>1</x:v>
      </x:c>
      <x:c r="N373" s="45" t="n">
        <x:f>H373+K373</x:f>
        <x:v>2</x:v>
      </x:c>
      <x:c r="O373" s="45" t="n">
        <x:f>SUM(F373:H373)</x:f>
        <x:v>5</x:v>
      </x:c>
      <x:c r="P373" s="42" t="n">
        <x:f>IF(AND(F373&lt;=F325,F373&lt;=F357,F373&lt;=F341,G373&lt;=G385,G373&lt;=G381,G373&lt;=G377,H373&lt;=H370,H373&lt;=H372,H373&lt;=H371),1,0)</x:f>
        <x:v>0</x:v>
      </x:c>
      <x:c r="Q373" s="42" t="n">
        <x:f>IF(AND(L373&lt;=L325,L373&lt;=L357,L373&lt;=L341,M373&lt;=M385,M373&lt;=M381,M373&lt;=M377,N373&lt;=N370,N373&lt;=N372,N373&lt;=N371),1,0)</x:f>
        <x:v>0</x:v>
      </x:c>
      <x:c r="R373" s="42" t="n">
        <x:v>0</x:v>
      </x:c>
      <x:c r="S373" s="42" t="n">
        <x:v>0</x:v>
      </x:c>
    </x:row>
    <x:row r="374">
      <x:c r="A374" t="n">
        <x:v>6</x:v>
      </x:c>
      <x:c r="B374" t="n">
        <x:v>1</x:v>
      </x:c>
      <x:c r="C374" t="n">
        <x:v>1</x:v>
      </x:c>
      <x:c r="D374" t="n">
        <x:v>0</x:v>
      </x:c>
      <x:c r="E374" t="str">
        <x:v>vle</x:v>
      </x:c>
      <x:c r="F374" s="45" t="n">
        <x:f>2*$B374</x:f>
        <x:v>2</x:v>
      </x:c>
      <x:c r="G374" s="45" t="n">
        <x:f>1*$D374</x:f>
        <x:v>0</x:v>
      </x:c>
      <x:c r="H374" s="45" t="n">
        <x:f>1*$B374</x:f>
        <x:v>1</x:v>
      </x:c>
      <x:c r="I374" s="45" t="n">
        <x:f>0</x:f>
        <x:v>0</x:v>
      </x:c>
      <x:c r="J374" s="45" t="n">
        <x:f>0</x:f>
        <x:v>0</x:v>
      </x:c>
      <x:c r="K374" s="45" t="n">
        <x:f>0</x:f>
        <x:v>0</x:v>
      </x:c>
      <x:c r="L374" s="45" t="n">
        <x:f>F374+I374</x:f>
        <x:v>2</x:v>
      </x:c>
      <x:c r="M374" s="45" t="n">
        <x:f>G374+J374</x:f>
        <x:v>0</x:v>
      </x:c>
      <x:c r="N374" s="45" t="n">
        <x:f>H374+K374</x:f>
        <x:v>1</x:v>
      </x:c>
      <x:c r="O374" s="45" t="n">
        <x:f>SUM(F374:H374)</x:f>
        <x:v>3</x:v>
      </x:c>
      <x:c r="P374" s="42" t="n">
        <x:f>IF(AND(F374&lt;=F326,F374&lt;=F358,F374&lt;=F342,G374&lt;=G382,G374&lt;=G370,G374&lt;=G378,H374&lt;=H377,H374&lt;=H376,H374&lt;=H375),1,0)</x:f>
        <x:v>0</x:v>
      </x:c>
      <x:c r="Q374" s="42" t="n">
        <x:f>IF(AND(L374&lt;=L326,L374&lt;=L358,L374&lt;=L342,M374&lt;=M382,M374&lt;=M370,M374&lt;=M378,N374&lt;=N377,N374&lt;=N376,N374&lt;=N375),1,0)</x:f>
        <x:v>0</x:v>
      </x:c>
      <x:c r="R374" s="42" t="n">
        <x:v>0</x:v>
      </x:c>
      <x:c r="S374" s="42" t="n">
        <x:v>0</x:v>
      </x:c>
    </x:row>
    <x:row r="375">
      <x:c r="A375" t="n">
        <x:v>6</x:v>
      </x:c>
      <x:c r="B375" t="n">
        <x:v>1</x:v>
      </x:c>
      <x:c r="C375" t="n">
        <x:v>1</x:v>
      </x:c>
      <x:c r="D375" t="n">
        <x:v>0</x:v>
      </x:c>
      <x:c r="E375" t="str">
        <x:v>vll</x:v>
      </x:c>
      <x:c r="F375" s="45" t="n">
        <x:f>2*$B375</x:f>
        <x:v>2</x:v>
      </x:c>
      <x:c r="G375" s="45" t="n">
        <x:f>(1/2)*$C375+(3/2)*$D375</x:f>
        <x:v>0.5</x:v>
      </x:c>
      <x:c r="H375" s="45" t="n">
        <x:f>(1/2)*$C375+(3/2)*$D375</x:f>
        <x:v>0.5</x:v>
      </x:c>
      <x:c r="I375" s="45" t="n">
        <x:f>0</x:f>
        <x:v>0</x:v>
      </x:c>
      <x:c r="J375" s="45" t="n">
        <x:f>(1/2)*($C375+$D375)</x:f>
        <x:v>0.5</x:v>
      </x:c>
      <x:c r="K375" s="45" t="n">
        <x:f>(1/2)*($C375+$D375)</x:f>
        <x:v>0.5</x:v>
      </x:c>
      <x:c r="L375" s="45" t="n">
        <x:f>F375+I375</x:f>
        <x:v>2</x:v>
      </x:c>
      <x:c r="M375" s="45" t="n">
        <x:f>G375+J375</x:f>
        <x:v>1</x:v>
      </x:c>
      <x:c r="N375" s="45" t="n">
        <x:f>H375+K375</x:f>
        <x:v>1</x:v>
      </x:c>
      <x:c r="O375" s="45" t="n">
        <x:f>SUM(F375:H375)</x:f>
        <x:v>3</x:v>
      </x:c>
      <x:c r="P375" s="42" t="n">
        <x:f>IF(AND(F375&lt;=F327,F375&lt;=F359,F375&lt;=F343,G375&lt;=G383,G375&lt;=G371,G375&lt;=G379,H375&lt;=H377,H375&lt;=H374,H375&lt;=H376),1,0)</x:f>
        <x:v>0</x:v>
      </x:c>
      <x:c r="Q375" s="42" t="n">
        <x:f>IF(AND(L375&lt;=L327,L375&lt;=L359,L375&lt;=L343,M375&lt;=M383,M375&lt;=M371,M375&lt;=M379,N375&lt;=N377,N375&lt;=N374,N375&lt;=N376),1,0)</x:f>
        <x:v>0</x:v>
      </x:c>
      <x:c r="R375" s="42" t="n">
        <x:v>0</x:v>
      </x:c>
      <x:c r="S375" s="42" t="n">
        <x:v>0</x:v>
      </x:c>
    </x:row>
    <x:row r="376">
      <x:c r="A376" t="n">
        <x:v>6</x:v>
      </x:c>
      <x:c r="B376" t="n">
        <x:v>1</x:v>
      </x:c>
      <x:c r="C376" t="n">
        <x:v>1</x:v>
      </x:c>
      <x:c r="D376" t="n">
        <x:v>0</x:v>
      </x:c>
      <x:c r="E376" t="str">
        <x:v>vlo</x:v>
      </x:c>
      <x:c r="F376" s="45" t="n">
        <x:f>2*$B376</x:f>
        <x:v>2</x:v>
      </x:c>
      <x:c r="G376" s="45" t="n">
        <x:f>1*$D376</x:f>
        <x:v>0</x:v>
      </x:c>
      <x:c r="H376" s="45" t="n">
        <x:f>0</x:f>
        <x:v>0</x:v>
      </x:c>
      <x:c r="I376" s="45" t="n">
        <x:f>0</x:f>
        <x:v>0</x:v>
      </x:c>
      <x:c r="J376" s="45" t="n">
        <x:f>0</x:f>
        <x:v>0</x:v>
      </x:c>
      <x:c r="K376" s="45" t="n">
        <x:f>0</x:f>
        <x:v>0</x:v>
      </x:c>
      <x:c r="L376" s="45" t="n">
        <x:f>F376+I376</x:f>
        <x:v>2</x:v>
      </x:c>
      <x:c r="M376" s="45" t="n">
        <x:f>G376+J376</x:f>
        <x:v>0</x:v>
      </x:c>
      <x:c r="N376" s="45" t="n">
        <x:f>H376+K376</x:f>
        <x:v>0</x:v>
      </x:c>
      <x:c r="O376" s="45" t="n">
        <x:f>SUM(F376:H376)</x:f>
        <x:v>2</x:v>
      </x:c>
      <x:c r="P376" s="42" t="n">
        <x:f>IF(AND(F376&lt;=F328,F376&lt;=F360,F376&lt;=F344,G376&lt;=G384,G376&lt;=G372,G376&lt;=G380,H376&lt;=H377,H376&lt;=H374,H376&lt;=H375),1,0)</x:f>
        <x:v>0</x:v>
      </x:c>
      <x:c r="Q376" s="42" t="n">
        <x:f>IF(AND(L376&lt;=L328,L376&lt;=L360,L376&lt;=L344,M376&lt;=M384,M376&lt;=M372,M376&lt;=M380,N376&lt;=N377,N376&lt;=N374,N376&lt;=N375),1,0)</x:f>
        <x:v>0</x:v>
      </x:c>
      <x:c r="R376" s="42" t="n">
        <x:v>0</x:v>
      </x:c>
      <x:c r="S376" s="42" t="n">
        <x:v>0</x:v>
      </x:c>
    </x:row>
    <x:row r="377">
      <x:c r="A377" t="n">
        <x:v>6</x:v>
      </x:c>
      <x:c r="B377" t="n">
        <x:v>1</x:v>
      </x:c>
      <x:c r="C377" t="n">
        <x:v>1</x:v>
      </x:c>
      <x:c r="D377" t="n">
        <x:v>0</x:v>
      </x:c>
      <x:c r="E377" t="str">
        <x:v>vlv</x:v>
      </x:c>
      <x:c r="F377" s="45" t="n">
        <x:f>(3/2)*$B377+(1/2)*$C377</x:f>
        <x:v>2</x:v>
      </x:c>
      <x:c r="G377" s="45" t="n">
        <x:f>1*$D377</x:f>
        <x:v>0</x:v>
      </x:c>
      <x:c r="H377" s="45" t="n">
        <x:f>(3/2)*$B377+(1/2)*$C377</x:f>
        <x:v>2</x:v>
      </x:c>
      <x:c r="I377" s="45" t="n">
        <x:f>MAX((1/2)*($C377-$B377),0)</x:f>
        <x:v>0</x:v>
      </x:c>
      <x:c r="J377" s="45" t="n">
        <x:f>0</x:f>
        <x:v>0</x:v>
      </x:c>
      <x:c r="K377" s="45" t="n">
        <x:f>MAX((1/2)*($C377-$B377),0)</x:f>
        <x:v>0</x:v>
      </x:c>
      <x:c r="L377" s="45" t="n">
        <x:f>F377+I377</x:f>
        <x:v>2</x:v>
      </x:c>
      <x:c r="M377" s="45" t="n">
        <x:f>G377+J377</x:f>
        <x:v>0</x:v>
      </x:c>
      <x:c r="N377" s="45" t="n">
        <x:f>H377+K377</x:f>
        <x:v>2</x:v>
      </x:c>
      <x:c r="O377" s="45" t="n">
        <x:f>SUM(F377:H377)</x:f>
        <x:v>4</x:v>
      </x:c>
      <x:c r="P377" s="42" t="n">
        <x:f>IF(AND(F377&lt;=F329,F377&lt;=F361,F377&lt;=F345,G377&lt;=G385,G377&lt;=G373,G377&lt;=G381,H377&lt;=H374,H377&lt;=H376,H377&lt;=H375),1,0)</x:f>
        <x:v>0</x:v>
      </x:c>
      <x:c r="Q377" s="42" t="n">
        <x:f>IF(AND(L377&lt;=L329,L377&lt;=L361,L377&lt;=L345,M377&lt;=M385,M377&lt;=M373,M377&lt;=M381,N377&lt;=N374,N377&lt;=N376,N377&lt;=N375),1,0)</x:f>
        <x:v>0</x:v>
      </x:c>
      <x:c r="R377" s="42" t="n">
        <x:v>0</x:v>
      </x:c>
      <x:c r="S377" s="42" t="n">
        <x:v>0</x:v>
      </x:c>
    </x:row>
    <x:row r="378">
      <x:c r="A378" t="n">
        <x:v>6</x:v>
      </x:c>
      <x:c r="B378" t="n">
        <x:v>1</x:v>
      </x:c>
      <x:c r="C378" t="n">
        <x:v>1</x:v>
      </x:c>
      <x:c r="D378" t="n">
        <x:v>0</x:v>
      </x:c>
      <x:c r="E378" t="str">
        <x:v>voe</x:v>
      </x:c>
      <x:c r="F378" s="45" t="n">
        <x:f>2*$B378</x:f>
        <x:v>2</x:v>
      </x:c>
      <x:c r="G378" s="45" t="n">
        <x:f>0</x:f>
        <x:v>0</x:v>
      </x:c>
      <x:c r="H378" s="45" t="n">
        <x:f>1*$B378</x:f>
        <x:v>1</x:v>
      </x:c>
      <x:c r="I378" s="45" t="n">
        <x:f>0</x:f>
        <x:v>0</x:v>
      </x:c>
      <x:c r="J378" s="45" t="n">
        <x:f>0</x:f>
        <x:v>0</x:v>
      </x:c>
      <x:c r="K378" s="45" t="n">
        <x:f>0</x:f>
        <x:v>0</x:v>
      </x:c>
      <x:c r="L378" s="45" t="n">
        <x:f>F378+I378</x:f>
        <x:v>2</x:v>
      </x:c>
      <x:c r="M378" s="45" t="n">
        <x:f>G378+J378</x:f>
        <x:v>0</x:v>
      </x:c>
      <x:c r="N378" s="45" t="n">
        <x:f>H378+K378</x:f>
        <x:v>1</x:v>
      </x:c>
      <x:c r="O378" s="45" t="n">
        <x:f>SUM(F378:H378)</x:f>
        <x:v>3</x:v>
      </x:c>
      <x:c r="P378" s="42" t="n">
        <x:f>IF(AND(F378&lt;=F330,F378&lt;=F362,F378&lt;=F346,G378&lt;=G382,G378&lt;=G370,G378&lt;=G374,H378&lt;=H381,H378&lt;=H380,H378&lt;=H379),1,0)</x:f>
        <x:v>0</x:v>
      </x:c>
      <x:c r="Q378" s="42" t="n">
        <x:f>IF(AND(L378&lt;=L330,L378&lt;=L362,L378&lt;=L346,M378&lt;=M382,M378&lt;=M370,M378&lt;=M374,N378&lt;=N381,N378&lt;=N380,N378&lt;=N379),1,0)</x:f>
        <x:v>0</x:v>
      </x:c>
      <x:c r="R378" s="42" t="n">
        <x:v>0</x:v>
      </x:c>
      <x:c r="S378" s="42" t="n">
        <x:v>0</x:v>
      </x:c>
    </x:row>
    <x:row r="379">
      <x:c r="A379" t="n">
        <x:v>6</x:v>
      </x:c>
      <x:c r="B379" t="n">
        <x:v>1</x:v>
      </x:c>
      <x:c r="C379" t="n">
        <x:v>1</x:v>
      </x:c>
      <x:c r="D379" t="n">
        <x:v>0</x:v>
      </x:c>
      <x:c r="E379" t="str">
        <x:v>vol</x:v>
      </x:c>
      <x:c r="F379" s="45" t="n">
        <x:f>2*$B379</x:f>
        <x:v>2</x:v>
      </x:c>
      <x:c r="G379" s="45" t="n">
        <x:f>0</x:f>
        <x:v>0</x:v>
      </x:c>
      <x:c r="H379" s="45" t="n">
        <x:f>1*$D379</x:f>
        <x:v>0</x:v>
      </x:c>
      <x:c r="I379" s="45" t="n">
        <x:f>0</x:f>
        <x:v>0</x:v>
      </x:c>
      <x:c r="J379" s="45" t="n">
        <x:f>0</x:f>
        <x:v>0</x:v>
      </x:c>
      <x:c r="K379" s="45" t="n">
        <x:f>0</x:f>
        <x:v>0</x:v>
      </x:c>
      <x:c r="L379" s="45" t="n">
        <x:f>F379+I379</x:f>
        <x:v>2</x:v>
      </x:c>
      <x:c r="M379" s="45" t="n">
        <x:f>G379+J379</x:f>
        <x:v>0</x:v>
      </x:c>
      <x:c r="N379" s="45" t="n">
        <x:f>H379+K379</x:f>
        <x:v>0</x:v>
      </x:c>
      <x:c r="O379" s="45" t="n">
        <x:f>SUM(F379:H379)</x:f>
        <x:v>2</x:v>
      </x:c>
      <x:c r="P379" s="42" t="n">
        <x:f>IF(AND(F379&lt;=F331,F379&lt;=F363,F379&lt;=F347,G379&lt;=G383,G379&lt;=G371,G379&lt;=G375,H379&lt;=H381,H379&lt;=H378,H379&lt;=H380),1,0)</x:f>
        <x:v>0</x:v>
      </x:c>
      <x:c r="Q379" s="42" t="n">
        <x:f>IF(AND(L379&lt;=L331,L379&lt;=L363,L379&lt;=L347,M379&lt;=M383,M379&lt;=M371,M379&lt;=M375,N379&lt;=N381,N379&lt;=N378,N379&lt;=N380),1,0)</x:f>
        <x:v>0</x:v>
      </x:c>
      <x:c r="R379" s="42" t="n">
        <x:v>0</x:v>
      </x:c>
      <x:c r="S379" s="42" t="n">
        <x:v>0</x:v>
      </x:c>
    </x:row>
    <x:row r="380">
      <x:c r="A380" t="n">
        <x:v>6</x:v>
      </x:c>
      <x:c r="B380" t="n">
        <x:v>1</x:v>
      </x:c>
      <x:c r="C380" t="n">
        <x:v>1</x:v>
      </x:c>
      <x:c r="D380" t="n">
        <x:v>0</x:v>
      </x:c>
      <x:c r="E380" t="str">
        <x:v>voo</x:v>
      </x:c>
      <x:c r="F380" s="45" t="n">
        <x:f>2*$B380</x:f>
        <x:v>2</x:v>
      </x:c>
      <x:c r="G380" s="45" t="n">
        <x:f>(1/2)*$C380+(1/2)*$D380</x:f>
        <x:v>0.5</x:v>
      </x:c>
      <x:c r="H380" s="45" t="n">
        <x:f>(1/2)*$C380+(1/2)*$D380</x:f>
        <x:v>0.5</x:v>
      </x:c>
      <x:c r="I380" s="45" t="n">
        <x:f>0</x:f>
        <x:v>0</x:v>
      </x:c>
      <x:c r="J380" s="45" t="n">
        <x:f>(1/2)*($C380+$D380)</x:f>
        <x:v>0.5</x:v>
      </x:c>
      <x:c r="K380" s="45" t="n">
        <x:f>(1/2)*($C380+$D380)</x:f>
        <x:v>0.5</x:v>
      </x:c>
      <x:c r="L380" s="45" t="n">
        <x:f>F380+I380</x:f>
        <x:v>2</x:v>
      </x:c>
      <x:c r="M380" s="45" t="n">
        <x:f>G380+J380</x:f>
        <x:v>1</x:v>
      </x:c>
      <x:c r="N380" s="45" t="n">
        <x:f>H380+K380</x:f>
        <x:v>1</x:v>
      </x:c>
      <x:c r="O380" s="45" t="n">
        <x:f>SUM(F380:H380)</x:f>
        <x:v>3</x:v>
      </x:c>
      <x:c r="P380" s="42" t="n">
        <x:f>IF(AND(F380&lt;=F332,F380&lt;=F364,F380&lt;=F348,G380&lt;=G384,G380&lt;=G372,G380&lt;=G376,H380&lt;=H381,H380&lt;=H378,H380&lt;=H379),1,0)</x:f>
        <x:v>0</x:v>
      </x:c>
      <x:c r="Q380" s="42" t="n">
        <x:f>IF(AND(L380&lt;=L332,L380&lt;=L364,L380&lt;=L348,M380&lt;=M384,M380&lt;=M372,M380&lt;=M376,N380&lt;=N381,N380&lt;=N378,N380&lt;=N379),1,0)</x:f>
        <x:v>0</x:v>
      </x:c>
      <x:c r="R380" s="42" t="n">
        <x:v>0</x:v>
      </x:c>
      <x:c r="S380" s="42" t="n">
        <x:v>0</x:v>
      </x:c>
    </x:row>
    <x:row r="381">
      <x:c r="A381" t="n">
        <x:v>6</x:v>
      </x:c>
      <x:c r="B381" t="n">
        <x:v>1</x:v>
      </x:c>
      <x:c r="C381" t="n">
        <x:v>1</x:v>
      </x:c>
      <x:c r="D381" t="n">
        <x:v>0</x:v>
      </x:c>
      <x:c r="E381" t="str">
        <x:v>vov</x:v>
      </x:c>
      <x:c r="F381" s="45" t="n">
        <x:f>(3/2)*$B381+(1/2)*$C381</x:f>
        <x:v>2</x:v>
      </x:c>
      <x:c r="G381" s="45" t="n">
        <x:f>0</x:f>
        <x:v>0</x:v>
      </x:c>
      <x:c r="H381" s="45" t="n">
        <x:f>(3/2)*$B381+(1/2)*$C381</x:f>
        <x:v>2</x:v>
      </x:c>
      <x:c r="I381" s="45" t="n">
        <x:f>MAX((1/2)*($C381-$B381),0)</x:f>
        <x:v>0</x:v>
      </x:c>
      <x:c r="J381" s="45" t="n">
        <x:f>0</x:f>
        <x:v>0</x:v>
      </x:c>
      <x:c r="K381" s="45" t="n">
        <x:f>MAX((1/2)*($C381-$B381),0)</x:f>
        <x:v>0</x:v>
      </x:c>
      <x:c r="L381" s="45" t="n">
        <x:f>F381+I381</x:f>
        <x:v>2</x:v>
      </x:c>
      <x:c r="M381" s="45" t="n">
        <x:f>G381+J381</x:f>
        <x:v>0</x:v>
      </x:c>
      <x:c r="N381" s="45" t="n">
        <x:f>H381+K381</x:f>
        <x:v>2</x:v>
      </x:c>
      <x:c r="O381" s="45" t="n">
        <x:f>SUM(F381:H381)</x:f>
        <x:v>4</x:v>
      </x:c>
      <x:c r="P381" s="42" t="n">
        <x:f>IF(AND(F381&lt;=F333,F381&lt;=F365,F381&lt;=F349,G381&lt;=G385,G381&lt;=G373,G381&lt;=G377,H381&lt;=H378,H381&lt;=H380,H381&lt;=H379),1,0)</x:f>
        <x:v>0</x:v>
      </x:c>
      <x:c r="Q381" s="42" t="n">
        <x:f>IF(AND(L381&lt;=L333,L381&lt;=L365,L381&lt;=L349,M381&lt;=M385,M381&lt;=M373,M381&lt;=M377,N381&lt;=N378,N381&lt;=N380,N381&lt;=N379),1,0)</x:f>
        <x:v>0</x:v>
      </x:c>
      <x:c r="R381" s="42" t="n">
        <x:v>0</x:v>
      </x:c>
      <x:c r="S381" s="42" t="n">
        <x:v>0</x:v>
      </x:c>
    </x:row>
    <x:row r="382">
      <x:c r="A382" t="n">
        <x:v>6</x:v>
      </x:c>
      <x:c r="B382" t="n">
        <x:v>1</x:v>
      </x:c>
      <x:c r="C382" t="n">
        <x:v>1</x:v>
      </x:c>
      <x:c r="D382" t="n">
        <x:v>0</x:v>
      </x:c>
      <x:c r="E382" t="str">
        <x:v>vve</x:v>
      </x:c>
      <x:c r="F382" s="45" t="n">
        <x:f>(3/2)*$B382+(1/2)*$C382</x:f>
        <x:v>2</x:v>
      </x:c>
      <x:c r="G382" s="45" t="n">
        <x:f>(3/2)*$B382+(1/2)*$C382</x:f>
        <x:v>2</x:v>
      </x:c>
      <x:c r="H382" s="45" t="n">
        <x:f>1*$C382</x:f>
        <x:v>1</x:v>
      </x:c>
      <x:c r="I382" s="45" t="n">
        <x:f>MAX((3/2)*($C382-$B382),0)</x:f>
        <x:v>0</x:v>
      </x:c>
      <x:c r="J382" s="45" t="n">
        <x:f>MAX((3/2)*($C382-$B382),0)</x:f>
        <x:v>0</x:v>
      </x:c>
      <x:c r="K382" s="45" t="n">
        <x:f>0</x:f>
        <x:v>0</x:v>
      </x:c>
      <x:c r="L382" s="45" t="n">
        <x:f>F382+I382</x:f>
        <x:v>2</x:v>
      </x:c>
      <x:c r="M382" s="45" t="n">
        <x:f>G382+J382</x:f>
        <x:v>2</x:v>
      </x:c>
      <x:c r="N382" s="45" t="n">
        <x:f>H382+K382</x:f>
        <x:v>1</x:v>
      </x:c>
      <x:c r="O382" s="45" t="n">
        <x:f>SUM(F382:H382)</x:f>
        <x:v>5</x:v>
      </x:c>
      <x:c r="P382" s="42" t="n">
        <x:f>IF(AND(F382&lt;=F334,F382&lt;=F366,F382&lt;=F350,G382&lt;=G370,G382&lt;=G378,G382&lt;=G374,H382&lt;=H385,H382&lt;=H384,H382&lt;=H383),1,0)</x:f>
        <x:v>0</x:v>
      </x:c>
      <x:c r="Q382" s="42" t="n">
        <x:f>IF(AND(L382&lt;=L334,L382&lt;=L366,L382&lt;=L350,M382&lt;=M370,M382&lt;=M378,M382&lt;=M374,N382&lt;=N385,N382&lt;=N384,N382&lt;=N383),1,0)</x:f>
        <x:v>0</x:v>
      </x:c>
      <x:c r="R382" s="42" t="n">
        <x:v>0</x:v>
      </x:c>
      <x:c r="S382" s="42" t="n">
        <x:v>0</x:v>
      </x:c>
    </x:row>
    <x:row r="383">
      <x:c r="A383" t="n">
        <x:v>6</x:v>
      </x:c>
      <x:c r="B383" t="n">
        <x:v>1</x:v>
      </x:c>
      <x:c r="C383" t="n">
        <x:v>1</x:v>
      </x:c>
      <x:c r="D383" t="n">
        <x:v>0</x:v>
      </x:c>
      <x:c r="E383" t="str">
        <x:v>vvl</x:v>
      </x:c>
      <x:c r="F383" s="45" t="n">
        <x:f>(3/2)*$B383+(1/2)*$C383</x:f>
        <x:v>2</x:v>
      </x:c>
      <x:c r="G383" s="45" t="n">
        <x:f>(3/2)*$B383+(1/2)*$C383</x:f>
        <x:v>2</x:v>
      </x:c>
      <x:c r="H383" s="45" t="n">
        <x:f>1*$D383</x:f>
        <x:v>0</x:v>
      </x:c>
      <x:c r="I383" s="45" t="n">
        <x:f>MAX((1/2)*($C383-$B383),0)</x:f>
        <x:v>0</x:v>
      </x:c>
      <x:c r="J383" s="45" t="n">
        <x:f>MAX((1/2)*($C383-$B383),0)</x:f>
        <x:v>0</x:v>
      </x:c>
      <x:c r="K383" s="45" t="n">
        <x:f>0</x:f>
        <x:v>0</x:v>
      </x:c>
      <x:c r="L383" s="45" t="n">
        <x:f>F383+I383</x:f>
        <x:v>2</x:v>
      </x:c>
      <x:c r="M383" s="45" t="n">
        <x:f>G383+J383</x:f>
        <x:v>2</x:v>
      </x:c>
      <x:c r="N383" s="45" t="n">
        <x:f>H383+K383</x:f>
        <x:v>0</x:v>
      </x:c>
      <x:c r="O383" s="45" t="n">
        <x:f>SUM(F383:H383)</x:f>
        <x:v>4</x:v>
      </x:c>
      <x:c r="P383" s="42" t="n">
        <x:f>IF(AND(F383&lt;=F335,F383&lt;=F367,F383&lt;=F351,G383&lt;=G371,G383&lt;=G379,G383&lt;=G375,H383&lt;=H385,H383&lt;=H382,H383&lt;=H384),1,0)</x:f>
        <x:v>0</x:v>
      </x:c>
      <x:c r="Q383" s="42" t="n">
        <x:f>IF(AND(L383&lt;=L335,L383&lt;=L367,L383&lt;=L351,M383&lt;=M371,M383&lt;=M379,M383&lt;=M375,N383&lt;=N385,N383&lt;=N382,N383&lt;=N384),1,0)</x:f>
        <x:v>0</x:v>
      </x:c>
      <x:c r="R383" s="42" t="n">
        <x:v>0</x:v>
      </x:c>
      <x:c r="S383" s="42" t="n">
        <x:v>0</x:v>
      </x:c>
    </x:row>
    <x:row r="384">
      <x:c r="A384" t="n">
        <x:v>6</x:v>
      </x:c>
      <x:c r="B384" t="n">
        <x:v>1</x:v>
      </x:c>
      <x:c r="C384" t="n">
        <x:v>1</x:v>
      </x:c>
      <x:c r="D384" t="n">
        <x:v>0</x:v>
      </x:c>
      <x:c r="E384" t="str">
        <x:v>vvo</x:v>
      </x:c>
      <x:c r="F384" s="45" t="n">
        <x:f>(3/2)*$B384+(1/2)*$C384</x:f>
        <x:v>2</x:v>
      </x:c>
      <x:c r="G384" s="45" t="n">
        <x:f>(3/2)*$B384+(1/2)*$C384</x:f>
        <x:v>2</x:v>
      </x:c>
      <x:c r="H384" s="45" t="n">
        <x:f>0</x:f>
        <x:v>0</x:v>
      </x:c>
      <x:c r="I384" s="45" t="n">
        <x:f>MAX((1/2)*($C384-$B384),0)</x:f>
        <x:v>0</x:v>
      </x:c>
      <x:c r="J384" s="45" t="n">
        <x:f>MAX((1/2)*($C384-$B384),0)</x:f>
        <x:v>0</x:v>
      </x:c>
      <x:c r="K384" s="45" t="n">
        <x:f>0</x:f>
        <x:v>0</x:v>
      </x:c>
      <x:c r="L384" s="45" t="n">
        <x:f>F384+I384</x:f>
        <x:v>2</x:v>
      </x:c>
      <x:c r="M384" s="45" t="n">
        <x:f>G384+J384</x:f>
        <x:v>2</x:v>
      </x:c>
      <x:c r="N384" s="45" t="n">
        <x:f>H384+K384</x:f>
        <x:v>0</x:v>
      </x:c>
      <x:c r="O384" s="45" t="n">
        <x:f>SUM(F384:H384)</x:f>
        <x:v>4</x:v>
      </x:c>
      <x:c r="P384" s="42" t="n">
        <x:f>IF(AND(F384&lt;=F336,F384&lt;=F368,F384&lt;=F352,G384&lt;=G372,G384&lt;=G380,G384&lt;=G376,H384&lt;=H385,H384&lt;=H382,H384&lt;=H383),1,0)</x:f>
        <x:v>0</x:v>
      </x:c>
      <x:c r="Q384" s="42" t="n">
        <x:f>IF(AND(L384&lt;=L336,L384&lt;=L368,L384&lt;=L352,M384&lt;=M372,M384&lt;=M380,M384&lt;=M376,N384&lt;=N385,N384&lt;=N382,N384&lt;=N383),1,0)</x:f>
        <x:v>0</x:v>
      </x:c>
      <x:c r="R384" s="42" t="n">
        <x:v>0</x:v>
      </x:c>
      <x:c r="S384" s="42" t="n">
        <x:v>0</x:v>
      </x:c>
    </x:row>
    <x:row r="385">
      <x:c r="A385" t="n">
        <x:v>6</x:v>
      </x:c>
      <x:c r="B385" t="n">
        <x:v>1</x:v>
      </x:c>
      <x:c r="C385" t="n">
        <x:v>1</x:v>
      </x:c>
      <x:c r="D385" t="n">
        <x:v>0</x:v>
      </x:c>
      <x:c r="E385" t="str">
        <x:v>vvv</x:v>
      </x:c>
      <x:c r="F385" s="45" t="n">
        <x:f>1*$B385+1*$C385</x:f>
        <x:v>2</x:v>
      </x:c>
      <x:c r="G385" s="45" t="n">
        <x:f>1*$B385+1*$C385</x:f>
        <x:v>2</x:v>
      </x:c>
      <x:c r="H385" s="45" t="n">
        <x:f>1*$B385+1*$C385</x:f>
        <x:v>2</x:v>
      </x:c>
      <x:c r="I385" s="45" t="n">
        <x:f>MAX($C385-$B385,0)</x:f>
        <x:v>0</x:v>
      </x:c>
      <x:c r="J385" s="45" t="n">
        <x:f>MAX($C385-$B385,0)</x:f>
        <x:v>0</x:v>
      </x:c>
      <x:c r="K385" s="45" t="n">
        <x:f>MAX($C385-$B385,0)</x:f>
        <x:v>0</x:v>
      </x:c>
      <x:c r="L385" s="45" t="n">
        <x:f>F385+I385</x:f>
        <x:v>2</x:v>
      </x:c>
      <x:c r="M385" s="45" t="n">
        <x:f>G385+J385</x:f>
        <x:v>2</x:v>
      </x:c>
      <x:c r="N385" s="45" t="n">
        <x:f>H385+K385</x:f>
        <x:v>2</x:v>
      </x:c>
      <x:c r="O385" s="45" t="n">
        <x:f>SUM(F385:H385)</x:f>
        <x:v>6</x:v>
      </x:c>
      <x:c r="P385" s="42" t="n">
        <x:f>IF(AND(F385&lt;=F337,F385&lt;=F369,F385&lt;=F353,G385&lt;=G373,G385&lt;=G381,G385&lt;=G377,H385&lt;=H382,H385&lt;=H384,H385&lt;=H383),1,0)</x:f>
        <x:v>0</x:v>
      </x:c>
      <x:c r="Q385" s="42" t="n">
        <x:f>IF(AND(L385&lt;=L337,L385&lt;=L369,L385&lt;=L353,M385&lt;=M373,M385&lt;=M381,M385&lt;=M377,N385&lt;=N382,N385&lt;=N384,N385&lt;=N383),1,0)</x:f>
        <x:v>0</x:v>
      </x:c>
      <x:c r="R385" s="42" t="n">
        <x:v>0</x:v>
      </x:c>
      <x:c r="S385" s="42" t="n">
        <x:v>0</x:v>
      </x:c>
    </x:row>
    <x:row r="386">
      <x:c r="A386" t="n">
        <x:v>7</x:v>
      </x:c>
      <x:c r="B386" t="n">
        <x:v>1</x:v>
      </x:c>
      <x:c r="C386" t="n">
        <x:v>0</x:v>
      </x:c>
      <x:c r="D386" t="n">
        <x:v>1</x:v>
      </x:c>
      <x:c r="E386" t="str">
        <x:v>eee</x:v>
      </x:c>
      <x:c r="F386" s="45" t="n">
        <x:f>(1/3)*$B386+1*$C386+(1/3)*$D386</x:f>
        <x:v>0.6666666666666666</x:v>
      </x:c>
      <x:c r="G386" s="45" t="n">
        <x:f>(1/3)*$B386+1*$C386+(1/3)*$D386</x:f>
        <x:v>0.6666666666666666</x:v>
      </x:c>
      <x:c r="H386" s="45" t="n">
        <x:f>(1/3)*$B386+1*$C386+(1/3)*$D386</x:f>
        <x:v>0.6666666666666666</x:v>
      </x:c>
      <x:c r="I386" s="45" t="n">
        <x:f>MAX($C386+(2/3)*$D386-(1/3)*$B386,0)</x:f>
        <x:v>0.3333333333333333</x:v>
      </x:c>
      <x:c r="J386" s="45" t="n">
        <x:f>MAX($C386+(2/3)*$D386-(1/3)*$B386,0)</x:f>
        <x:v>0.3333333333333333</x:v>
      </x:c>
      <x:c r="K386" s="45" t="n">
        <x:f>MAX($C386+(2/3)*$D386-(1/3)*$B386,0)</x:f>
        <x:v>0.3333333333333333</x:v>
      </x:c>
      <x:c r="L386" s="45" t="n">
        <x:f>F386+I386</x:f>
        <x:v>1</x:v>
      </x:c>
      <x:c r="M386" s="45" t="n">
        <x:f>G386+J386</x:f>
        <x:v>1</x:v>
      </x:c>
      <x:c r="N386" s="45" t="n">
        <x:f>H386+K386</x:f>
        <x:v>1</x:v>
      </x:c>
      <x:c r="O386" s="45" t="n">
        <x:f>SUM(F386:H386)</x:f>
        <x:v>2</x:v>
      </x:c>
      <x:c r="P386" s="42" t="n">
        <x:f>IF(AND(F386&lt;=F434,F386&lt;=F418,F386&lt;=F402,G386&lt;=G398,G386&lt;=G394,G386&lt;=G390,H386&lt;=H389,H386&lt;=H388,H386&lt;=H387),1,0)</x:f>
        <x:v>1</x:v>
      </x:c>
      <x:c r="Q386" s="42" t="n">
        <x:f>IF(AND(L386&lt;=L434,L386&lt;=L418,L386&lt;=L402,M386&lt;=M398,M386&lt;=M394,M386&lt;=M390,N386&lt;=N389,N386&lt;=N388,N386&lt;=N387),1,0)</x:f>
        <x:v>1</x:v>
      </x:c>
      <x:c r="R386" s="42" t="n">
        <x:v>1</x:v>
      </x:c>
      <x:c r="S386" s="42" t="n">
        <x:v>1</x:v>
      </x:c>
    </x:row>
    <x:row r="387">
      <x:c r="A387" t="n">
        <x:v>7</x:v>
      </x:c>
      <x:c r="B387" t="n">
        <x:v>1</x:v>
      </x:c>
      <x:c r="C387" t="n">
        <x:v>0</x:v>
      </x:c>
      <x:c r="D387" t="n">
        <x:v>1</x:v>
      </x:c>
      <x:c r="E387" t="str">
        <x:v>eel</x:v>
      </x:c>
      <x:c r="F387" s="45" t="n">
        <x:f>(1/2)*$B387+(1/2)*$C387</x:f>
        <x:v>0.5</x:v>
      </x:c>
      <x:c r="G387" s="45" t="n">
        <x:f>(1/2)*$B387+(1/2)*$C387</x:f>
        <x:v>0.5</x:v>
      </x:c>
      <x:c r="H387" s="45" t="n">
        <x:f>1*$D387</x:f>
        <x:v>1</x:v>
      </x:c>
      <x:c r="I387" s="45" t="n">
        <x:f>MAX((1/2)*($C387-$B387),0)</x:f>
        <x:v>0</x:v>
      </x:c>
      <x:c r="J387" s="45" t="n">
        <x:f>MAX((1/2)*($C387-$B387),0)</x:f>
        <x:v>0</x:v>
      </x:c>
      <x:c r="K387" s="45" t="n">
        <x:f>0</x:f>
        <x:v>0</x:v>
      </x:c>
      <x:c r="L387" s="45" t="n">
        <x:f>F387+I387</x:f>
        <x:v>0.5</x:v>
      </x:c>
      <x:c r="M387" s="45" t="n">
        <x:f>G387+J387</x:f>
        <x:v>0.5</x:v>
      </x:c>
      <x:c r="N387" s="45" t="n">
        <x:f>H387+K387</x:f>
        <x:v>1</x:v>
      </x:c>
      <x:c r="O387" s="45" t="n">
        <x:f>SUM(F387:H387)</x:f>
        <x:v>2</x:v>
      </x:c>
      <x:c r="P387" s="42" t="n">
        <x:f>IF(AND(F387&lt;=F435,F387&lt;=F419,F387&lt;=F403,G387&lt;=G399,G387&lt;=G395,G387&lt;=G391,H387&lt;=H389,H387&lt;=H386,H387&lt;=H388),1,0)</x:f>
        <x:v>0</x:v>
      </x:c>
      <x:c r="Q387" s="42" t="n">
        <x:f>IF(AND(L387&lt;=L435,L387&lt;=L419,L387&lt;=L403,M387&lt;=M399,M387&lt;=M395,M387&lt;=M391,N387&lt;=N389,N387&lt;=N386,N387&lt;=N388),1,0)</x:f>
        <x:v>0</x:v>
      </x:c>
      <x:c r="R387" s="42" t="n">
        <x:v>0</x:v>
      </x:c>
      <x:c r="S387" s="42" t="n">
        <x:v>0</x:v>
      </x:c>
    </x:row>
    <x:row r="388">
      <x:c r="A388" t="n">
        <x:v>7</x:v>
      </x:c>
      <x:c r="B388" t="n">
        <x:v>1</x:v>
      </x:c>
      <x:c r="C388" t="n">
        <x:v>0</x:v>
      </x:c>
      <x:c r="D388" t="n">
        <x:v>1</x:v>
      </x:c>
      <x:c r="E388" t="str">
        <x:v>eeo</x:v>
      </x:c>
      <x:c r="F388" s="45" t="n">
        <x:f>(1/2)*$B388+(1/2)*$C388</x:f>
        <x:v>0.5</x:v>
      </x:c>
      <x:c r="G388" s="45" t="n">
        <x:f>(1/2)*$B388+(1/2)*$C388</x:f>
        <x:v>0.5</x:v>
      </x:c>
      <x:c r="H388" s="45" t="n">
        <x:f>1*$C388+1*$D388</x:f>
        <x:v>1</x:v>
      </x:c>
      <x:c r="I388" s="45" t="n">
        <x:f>MAX((3/2)*$C388+$D388-(1/2)*$B388,0)</x:f>
        <x:v>0.5</x:v>
      </x:c>
      <x:c r="J388" s="45" t="n">
        <x:f>MAX((3/2)*$C388+$D388-(1/2)*$B388,0)</x:f>
        <x:v>0.5</x:v>
      </x:c>
      <x:c r="K388" s="45" t="n">
        <x:f>0</x:f>
        <x:v>0</x:v>
      </x:c>
      <x:c r="L388" s="45" t="n">
        <x:f>F388+I388</x:f>
        <x:v>1</x:v>
      </x:c>
      <x:c r="M388" s="45" t="n">
        <x:f>G388+J388</x:f>
        <x:v>1</x:v>
      </x:c>
      <x:c r="N388" s="45" t="n">
        <x:f>H388+K388</x:f>
        <x:v>1</x:v>
      </x:c>
      <x:c r="O388" s="45" t="n">
        <x:f>SUM(F388:H388)</x:f>
        <x:v>2</x:v>
      </x:c>
      <x:c r="P388" s="42" t="n">
        <x:f>IF(AND(F388&lt;=F436,F388&lt;=F420,F388&lt;=F404,G388&lt;=G400,G388&lt;=G396,G388&lt;=G392,H388&lt;=H389,H388&lt;=H386,H388&lt;=H387),1,0)</x:f>
        <x:v>0</x:v>
      </x:c>
      <x:c r="Q388" s="42" t="n">
        <x:f>IF(AND(L388&lt;=L436,L388&lt;=L420,L388&lt;=L404,M388&lt;=M400,M388&lt;=M396,M388&lt;=M392,N388&lt;=N389,N388&lt;=N386,N388&lt;=N387),1,0)</x:f>
        <x:v>1</x:v>
      </x:c>
      <x:c r="R388" s="42" t="n">
        <x:v>0</x:v>
      </x:c>
      <x:c r="S388" s="42" t="n">
        <x:v>1</x:v>
      </x:c>
    </x:row>
    <x:row r="389">
      <x:c r="A389" t="n">
        <x:v>7</x:v>
      </x:c>
      <x:c r="B389" t="n">
        <x:v>1</x:v>
      </x:c>
      <x:c r="C389" t="n">
        <x:v>0</x:v>
      </x:c>
      <x:c r="D389" t="n">
        <x:v>1</x:v>
      </x:c>
      <x:c r="E389" t="str">
        <x:v>eev</x:v>
      </x:c>
      <x:c r="F389" s="45" t="n">
        <x:f>(1/2)*$B389+(1/2)*$C389</x:f>
        <x:v>0.5</x:v>
      </x:c>
      <x:c r="G389" s="45" t="n">
        <x:f>(1/2)*$B389+(1/2)*$C389</x:f>
        <x:v>0.5</x:v>
      </x:c>
      <x:c r="H389" s="45" t="n">
        <x:f>2*$B389</x:f>
        <x:v>2</x:v>
      </x:c>
      <x:c r="I389" s="45" t="n">
        <x:f>MAX((1/2)*($C389-$B389),0)</x:f>
        <x:v>0</x:v>
      </x:c>
      <x:c r="J389" s="45" t="n">
        <x:f>MAX((1/2)*($C389-$B389),0)</x:f>
        <x:v>0</x:v>
      </x:c>
      <x:c r="K389" s="45" t="n">
        <x:f>0</x:f>
        <x:v>0</x:v>
      </x:c>
      <x:c r="L389" s="45" t="n">
        <x:f>F389+I389</x:f>
        <x:v>0.5</x:v>
      </x:c>
      <x:c r="M389" s="45" t="n">
        <x:f>G389+J389</x:f>
        <x:v>0.5</x:v>
      </x:c>
      <x:c r="N389" s="45" t="n">
        <x:f>H389+K389</x:f>
        <x:v>2</x:v>
      </x:c>
      <x:c r="O389" s="45" t="n">
        <x:f>SUM(F389:H389)</x:f>
        <x:v>3</x:v>
      </x:c>
      <x:c r="P389" s="42" t="n">
        <x:f>IF(AND(F389&lt;=F437,F389&lt;=F421,F389&lt;=F405,G389&lt;=G401,G389&lt;=G397,G389&lt;=G393,H389&lt;=H386,H389&lt;=H388,H389&lt;=H387),1,0)</x:f>
        <x:v>0</x:v>
      </x:c>
      <x:c r="Q389" s="42" t="n">
        <x:f>IF(AND(L389&lt;=L437,L389&lt;=L421,L389&lt;=L405,M389&lt;=M401,M389&lt;=M397,M389&lt;=M393,N389&lt;=N386,N389&lt;=N388,N389&lt;=N387),1,0)</x:f>
        <x:v>0</x:v>
      </x:c>
      <x:c r="R389" s="42" t="n">
        <x:v>0</x:v>
      </x:c>
      <x:c r="S389" s="42" t="n">
        <x:v>0</x:v>
      </x:c>
    </x:row>
    <x:row r="390">
      <x:c r="A390" t="n">
        <x:v>7</x:v>
      </x:c>
      <x:c r="B390" t="n">
        <x:v>1</x:v>
      </x:c>
      <x:c r="C390" t="n">
        <x:v>0</x:v>
      </x:c>
      <x:c r="D390" t="n">
        <x:v>1</x:v>
      </x:c>
      <x:c r="E390" t="str">
        <x:v>ele</x:v>
      </x:c>
      <x:c r="F390" s="45" t="n">
        <x:f>(1/2)*$B390+(1/2)*$C390</x:f>
        <x:v>0.5</x:v>
      </x:c>
      <x:c r="G390" s="45" t="n">
        <x:f>1*$D390</x:f>
        <x:v>1</x:v>
      </x:c>
      <x:c r="H390" s="45" t="n">
        <x:f>(1/2)*$B390+(1/2)*$C390</x:f>
        <x:v>0.5</x:v>
      </x:c>
      <x:c r="I390" s="45" t="n">
        <x:f>MAX((1/2)*($C390-$B390),0)</x:f>
        <x:v>0</x:v>
      </x:c>
      <x:c r="J390" s="45" t="n">
        <x:f>0</x:f>
        <x:v>0</x:v>
      </x:c>
      <x:c r="K390" s="45" t="n">
        <x:f>MAX((1/2)*($C390-$B390),0)</x:f>
        <x:v>0</x:v>
      </x:c>
      <x:c r="L390" s="45" t="n">
        <x:f>F390+I390</x:f>
        <x:v>0.5</x:v>
      </x:c>
      <x:c r="M390" s="45" t="n">
        <x:f>G390+J390</x:f>
        <x:v>1</x:v>
      </x:c>
      <x:c r="N390" s="45" t="n">
        <x:f>H390+K390</x:f>
        <x:v>0.5</x:v>
      </x:c>
      <x:c r="O390" s="45" t="n">
        <x:f>SUM(F390:H390)</x:f>
        <x:v>2</x:v>
      </x:c>
      <x:c r="P390" s="42" t="n">
        <x:f>IF(AND(F390&lt;=F438,F390&lt;=F422,F390&lt;=F406,G390&lt;=G398,G390&lt;=G386,G390&lt;=G394,H390&lt;=H393,H390&lt;=H392,H390&lt;=H391),1,0)</x:f>
        <x:v>0</x:v>
      </x:c>
      <x:c r="Q390" s="42" t="n">
        <x:f>IF(AND(L390&lt;=L438,L390&lt;=L422,L390&lt;=L406,M390&lt;=M398,M390&lt;=M386,M390&lt;=M394,N390&lt;=N393,N390&lt;=N392,N390&lt;=N391),1,0)</x:f>
        <x:v>0</x:v>
      </x:c>
      <x:c r="R390" s="42" t="n">
        <x:v>0</x:v>
      </x:c>
      <x:c r="S390" s="42" t="n">
        <x:v>0</x:v>
      </x:c>
    </x:row>
    <x:row r="391">
      <x:c r="A391" t="n">
        <x:v>7</x:v>
      </x:c>
      <x:c r="B391" t="n">
        <x:v>1</x:v>
      </x:c>
      <x:c r="C391" t="n">
        <x:v>0</x:v>
      </x:c>
      <x:c r="D391" t="n">
        <x:v>1</x:v>
      </x:c>
      <x:c r="E391" t="str">
        <x:v>ell</x:v>
      </x:c>
      <x:c r="F391" s="45" t="n">
        <x:f>1*$B391</x:f>
        <x:v>1</x:v>
      </x:c>
      <x:c r="G391" s="45" t="n">
        <x:f>(1/2)*$C391+(3/2)*$D391</x:f>
        <x:v>1.5</x:v>
      </x:c>
      <x:c r="H391" s="45" t="n">
        <x:f>(1/2)*$C391+(3/2)*$D391</x:f>
        <x:v>1.5</x:v>
      </x:c>
      <x:c r="I391" s="45" t="n">
        <x:f>0</x:f>
        <x:v>0</x:v>
      </x:c>
      <x:c r="J391" s="45" t="n">
        <x:f>(1/2)*($C391+$D391)</x:f>
        <x:v>0.5</x:v>
      </x:c>
      <x:c r="K391" s="45" t="n">
        <x:f>(1/2)*($C391+$D391)</x:f>
        <x:v>0.5</x:v>
      </x:c>
      <x:c r="L391" s="45" t="n">
        <x:f>F391+I391</x:f>
        <x:v>1</x:v>
      </x:c>
      <x:c r="M391" s="45" t="n">
        <x:f>G391+J391</x:f>
        <x:v>2</x:v>
      </x:c>
      <x:c r="N391" s="45" t="n">
        <x:f>H391+K391</x:f>
        <x:v>2</x:v>
      </x:c>
      <x:c r="O391" s="45" t="n">
        <x:f>SUM(F391:H391)</x:f>
        <x:v>4</x:v>
      </x:c>
      <x:c r="P391" s="42" t="n">
        <x:f>IF(AND(F391&lt;=F439,F391&lt;=F423,F391&lt;=F407,G391&lt;=G399,G391&lt;=G387,G391&lt;=G395,H391&lt;=H393,H391&lt;=H390,H391&lt;=H392),1,0)</x:f>
        <x:v>0</x:v>
      </x:c>
      <x:c r="Q391" s="42" t="n">
        <x:f>IF(AND(L391&lt;=L439,L391&lt;=L423,L391&lt;=L407,M391&lt;=M399,M391&lt;=M387,M391&lt;=M395,N391&lt;=N393,N391&lt;=N390,N391&lt;=N392),1,0)</x:f>
        <x:v>0</x:v>
      </x:c>
      <x:c r="R391" s="42" t="n">
        <x:v>0</x:v>
      </x:c>
      <x:c r="S391" s="42" t="n">
        <x:v>0</x:v>
      </x:c>
    </x:row>
    <x:row r="392">
      <x:c r="A392" t="n">
        <x:v>7</x:v>
      </x:c>
      <x:c r="B392" t="n">
        <x:v>1</x:v>
      </x:c>
      <x:c r="C392" t="n">
        <x:v>0</x:v>
      </x:c>
      <x:c r="D392" t="n">
        <x:v>1</x:v>
      </x:c>
      <x:c r="E392" t="str">
        <x:v>elo</x:v>
      </x:c>
      <x:c r="F392" s="45" t="n">
        <x:f>1*$B392</x:f>
        <x:v>1</x:v>
      </x:c>
      <x:c r="G392" s="45" t="n">
        <x:f>1*$D392</x:f>
        <x:v>1</x:v>
      </x:c>
      <x:c r="H392" s="45" t="n">
        <x:f>0</x:f>
        <x:v>0</x:v>
      </x:c>
      <x:c r="I392" s="45" t="n">
        <x:f>0</x:f>
        <x:v>0</x:v>
      </x:c>
      <x:c r="J392" s="45" t="n">
        <x:f>0</x:f>
        <x:v>0</x:v>
      </x:c>
      <x:c r="K392" s="45" t="n">
        <x:f>0</x:f>
        <x:v>0</x:v>
      </x:c>
      <x:c r="L392" s="45" t="n">
        <x:f>F392+I392</x:f>
        <x:v>1</x:v>
      </x:c>
      <x:c r="M392" s="45" t="n">
        <x:f>G392+J392</x:f>
        <x:v>1</x:v>
      </x:c>
      <x:c r="N392" s="45" t="n">
        <x:f>H392+K392</x:f>
        <x:v>0</x:v>
      </x:c>
      <x:c r="O392" s="45" t="n">
        <x:f>SUM(F392:H392)</x:f>
        <x:v>2</x:v>
      </x:c>
      <x:c r="P392" s="42" t="n">
        <x:f>IF(AND(F392&lt;=F440,F392&lt;=F424,F392&lt;=F408,G392&lt;=G400,G392&lt;=G388,G392&lt;=G396,H392&lt;=H393,H392&lt;=H390,H392&lt;=H391),1,0)</x:f>
        <x:v>0</x:v>
      </x:c>
      <x:c r="Q392" s="42" t="n">
        <x:f>IF(AND(L392&lt;=L440,L392&lt;=L424,L392&lt;=L408,M392&lt;=M400,M392&lt;=M388,M392&lt;=M396,N392&lt;=N393,N392&lt;=N390,N392&lt;=N391),1,0)</x:f>
        <x:v>1</x:v>
      </x:c>
      <x:c r="R392" s="42" t="n">
        <x:v>0</x:v>
      </x:c>
      <x:c r="S392" s="42" t="n">
        <x:v>1</x:v>
      </x:c>
    </x:row>
    <x:row r="393">
      <x:c r="A393" t="n">
        <x:v>7</x:v>
      </x:c>
      <x:c r="B393" t="n">
        <x:v>1</x:v>
      </x:c>
      <x:c r="C393" t="n">
        <x:v>0</x:v>
      </x:c>
      <x:c r="D393" t="n">
        <x:v>1</x:v>
      </x:c>
      <x:c r="E393" t="str">
        <x:v>elv</x:v>
      </x:c>
      <x:c r="F393" s="45" t="n">
        <x:f>1*$B393</x:f>
        <x:v>1</x:v>
      </x:c>
      <x:c r="G393" s="45" t="n">
        <x:f>1*$D393</x:f>
        <x:v>1</x:v>
      </x:c>
      <x:c r="H393" s="45" t="n">
        <x:f>2*$B393</x:f>
        <x:v>2</x:v>
      </x:c>
      <x:c r="I393" s="45" t="n">
        <x:f>0</x:f>
        <x:v>0</x:v>
      </x:c>
      <x:c r="J393" s="45" t="n">
        <x:f>0</x:f>
        <x:v>0</x:v>
      </x:c>
      <x:c r="K393" s="45" t="n">
        <x:f>0</x:f>
        <x:v>0</x:v>
      </x:c>
      <x:c r="L393" s="45" t="n">
        <x:f>F393+I393</x:f>
        <x:v>1</x:v>
      </x:c>
      <x:c r="M393" s="45" t="n">
        <x:f>G393+J393</x:f>
        <x:v>1</x:v>
      </x:c>
      <x:c r="N393" s="45" t="n">
        <x:f>H393+K393</x:f>
        <x:v>2</x:v>
      </x:c>
      <x:c r="O393" s="45" t="n">
        <x:f>SUM(F393:H393)</x:f>
        <x:v>4</x:v>
      </x:c>
      <x:c r="P393" s="42" t="n">
        <x:f>IF(AND(F393&lt;=F441,F393&lt;=F425,F393&lt;=F409,G393&lt;=G401,G393&lt;=G389,G393&lt;=G397,H393&lt;=H390,H393&lt;=H392,H393&lt;=H391),1,0)</x:f>
        <x:v>0</x:v>
      </x:c>
      <x:c r="Q393" s="42" t="n">
        <x:f>IF(AND(L393&lt;=L441,L393&lt;=L425,L393&lt;=L409,M393&lt;=M401,M393&lt;=M389,M393&lt;=M397,N393&lt;=N390,N393&lt;=N392,N393&lt;=N391),1,0)</x:f>
        <x:v>0</x:v>
      </x:c>
      <x:c r="R393" s="42" t="n">
        <x:v>0</x:v>
      </x:c>
      <x:c r="S393" s="42" t="n">
        <x:v>0</x:v>
      </x:c>
    </x:row>
    <x:row r="394">
      <x:c r="A394" t="n">
        <x:v>7</x:v>
      </x:c>
      <x:c r="B394" t="n">
        <x:v>1</x:v>
      </x:c>
      <x:c r="C394" t="n">
        <x:v>0</x:v>
      </x:c>
      <x:c r="D394" t="n">
        <x:v>1</x:v>
      </x:c>
      <x:c r="E394" t="str">
        <x:v>eoe</x:v>
      </x:c>
      <x:c r="F394" s="45" t="n">
        <x:f>(1/2)*$B394+(1/2)*$C394</x:f>
        <x:v>0.5</x:v>
      </x:c>
      <x:c r="G394" s="45" t="n">
        <x:f>1*$C394+1*$D394</x:f>
        <x:v>1</x:v>
      </x:c>
      <x:c r="H394" s="45" t="n">
        <x:f>(1/2)*$B394+(1/2)*$C394</x:f>
        <x:v>0.5</x:v>
      </x:c>
      <x:c r="I394" s="45" t="n">
        <x:f>MAX((3/2)*$C394+$D394-(1/2)*$B394,0)</x:f>
        <x:v>0.5</x:v>
      </x:c>
      <x:c r="J394" s="45" t="n">
        <x:f>0</x:f>
        <x:v>0</x:v>
      </x:c>
      <x:c r="K394" s="45" t="n">
        <x:f>MAX((3/2)*$C394+$D394-(1/2)*$B394,0)</x:f>
        <x:v>0.5</x:v>
      </x:c>
      <x:c r="L394" s="45" t="n">
        <x:f>F394+I394</x:f>
        <x:v>1</x:v>
      </x:c>
      <x:c r="M394" s="45" t="n">
        <x:f>G394+J394</x:f>
        <x:v>1</x:v>
      </x:c>
      <x:c r="N394" s="45" t="n">
        <x:f>H394+K394</x:f>
        <x:v>1</x:v>
      </x:c>
      <x:c r="O394" s="45" t="n">
        <x:f>SUM(F394:H394)</x:f>
        <x:v>2</x:v>
      </x:c>
      <x:c r="P394" s="42" t="n">
        <x:f>IF(AND(F394&lt;=F442,F394&lt;=F426,F394&lt;=F410,G394&lt;=G398,G394&lt;=G386,G394&lt;=G390,H394&lt;=H397,H394&lt;=H396,H394&lt;=H395),1,0)</x:f>
        <x:v>0</x:v>
      </x:c>
      <x:c r="Q394" s="42" t="n">
        <x:f>IF(AND(L394&lt;=L442,L394&lt;=L426,L394&lt;=L410,M394&lt;=M398,M394&lt;=M386,M394&lt;=M390,N394&lt;=N397,N394&lt;=N396,N394&lt;=N395),1,0)</x:f>
        <x:v>1</x:v>
      </x:c>
      <x:c r="R394" s="42" t="n">
        <x:v>0</x:v>
      </x:c>
      <x:c r="S394" s="42" t="n">
        <x:v>1</x:v>
      </x:c>
    </x:row>
    <x:row r="395">
      <x:c r="A395" t="n">
        <x:v>7</x:v>
      </x:c>
      <x:c r="B395" t="n">
        <x:v>1</x:v>
      </x:c>
      <x:c r="C395" t="n">
        <x:v>0</x:v>
      </x:c>
      <x:c r="D395" t="n">
        <x:v>1</x:v>
      </x:c>
      <x:c r="E395" t="str">
        <x:v>eol</x:v>
      </x:c>
      <x:c r="F395" s="45" t="n">
        <x:f>1*$B395</x:f>
        <x:v>1</x:v>
      </x:c>
      <x:c r="G395" s="45" t="n">
        <x:f>0</x:f>
        <x:v>0</x:v>
      </x:c>
      <x:c r="H395" s="45" t="n">
        <x:f>1*$D395</x:f>
        <x:v>1</x:v>
      </x:c>
      <x:c r="I395" s="45" t="n">
        <x:f>0</x:f>
        <x:v>0</x:v>
      </x:c>
      <x:c r="J395" s="45" t="n">
        <x:f>0</x:f>
        <x:v>0</x:v>
      </x:c>
      <x:c r="K395" s="45" t="n">
        <x:f>0</x:f>
        <x:v>0</x:v>
      </x:c>
      <x:c r="L395" s="45" t="n">
        <x:f>F395+I395</x:f>
        <x:v>1</x:v>
      </x:c>
      <x:c r="M395" s="45" t="n">
        <x:f>G395+J395</x:f>
        <x:v>0</x:v>
      </x:c>
      <x:c r="N395" s="45" t="n">
        <x:f>H395+K395</x:f>
        <x:v>1</x:v>
      </x:c>
      <x:c r="O395" s="45" t="n">
        <x:f>SUM(F395:H395)</x:f>
        <x:v>2</x:v>
      </x:c>
      <x:c r="P395" s="42" t="n">
        <x:f>IF(AND(F395&lt;=F443,F395&lt;=F427,F395&lt;=F411,G395&lt;=G399,G395&lt;=G387,G395&lt;=G391,H395&lt;=H397,H395&lt;=H394,H395&lt;=H396),1,0)</x:f>
        <x:v>0</x:v>
      </x:c>
      <x:c r="Q395" s="42" t="n">
        <x:f>IF(AND(L395&lt;=L443,L395&lt;=L427,L395&lt;=L411,M395&lt;=M399,M395&lt;=M387,M395&lt;=M391,N395&lt;=N397,N395&lt;=N394,N395&lt;=N396),1,0)</x:f>
        <x:v>1</x:v>
      </x:c>
      <x:c r="R395" s="42" t="n">
        <x:v>0</x:v>
      </x:c>
      <x:c r="S395" s="42" t="n">
        <x:v>1</x:v>
      </x:c>
    </x:row>
    <x:row r="396">
      <x:c r="A396" t="n">
        <x:v>7</x:v>
      </x:c>
      <x:c r="B396" t="n">
        <x:v>1</x:v>
      </x:c>
      <x:c r="C396" t="n">
        <x:v>0</x:v>
      </x:c>
      <x:c r="D396" t="n">
        <x:v>1</x:v>
      </x:c>
      <x:c r="E396" t="str">
        <x:v>eoo</x:v>
      </x:c>
      <x:c r="F396" s="45" t="n">
        <x:f>1*$B396</x:f>
        <x:v>1</x:v>
      </x:c>
      <x:c r="G396" s="45" t="n">
        <x:f>(1/2)*$C396+(1/2)*$D396</x:f>
        <x:v>0.5</x:v>
      </x:c>
      <x:c r="H396" s="45" t="n">
        <x:f>(1/2)*$C396+(1/2)*$D396</x:f>
        <x:v>0.5</x:v>
      </x:c>
      <x:c r="I396" s="45" t="n">
        <x:f>0</x:f>
        <x:v>0</x:v>
      </x:c>
      <x:c r="J396" s="45" t="n">
        <x:f>(1/2)*($C396+$D396)</x:f>
        <x:v>0.5</x:v>
      </x:c>
      <x:c r="K396" s="45" t="n">
        <x:f>(1/2)*($C396+$D396)</x:f>
        <x:v>0.5</x:v>
      </x:c>
      <x:c r="L396" s="45" t="n">
        <x:f>F396+I396</x:f>
        <x:v>1</x:v>
      </x:c>
      <x:c r="M396" s="45" t="n">
        <x:f>G396+J396</x:f>
        <x:v>1</x:v>
      </x:c>
      <x:c r="N396" s="45" t="n">
        <x:f>H396+K396</x:f>
        <x:v>1</x:v>
      </x:c>
      <x:c r="O396" s="45" t="n">
        <x:f>SUM(F396:H396)</x:f>
        <x:v>2</x:v>
      </x:c>
      <x:c r="P396" s="42" t="n">
        <x:f>IF(AND(F396&lt;=F444,F396&lt;=F428,F396&lt;=F412,G396&lt;=G400,G396&lt;=G388,G396&lt;=G392,H396&lt;=H397,H396&lt;=H394,H396&lt;=H395),1,0)</x:f>
        <x:v>1</x:v>
      </x:c>
      <x:c r="Q396" s="42" t="n">
        <x:f>IF(AND(L396&lt;=L444,L396&lt;=L428,L396&lt;=L412,M396&lt;=M400,M396&lt;=M388,M396&lt;=M392,N396&lt;=N397,N396&lt;=N394,N396&lt;=N395),1,0)</x:f>
        <x:v>1</x:v>
      </x:c>
      <x:c r="R396" s="42" t="n">
        <x:v>1</x:v>
      </x:c>
      <x:c r="S396" s="42" t="n">
        <x:v>0</x:v>
      </x:c>
    </x:row>
    <x:row r="397">
      <x:c r="A397" t="n">
        <x:v>7</x:v>
      </x:c>
      <x:c r="B397" t="n">
        <x:v>1</x:v>
      </x:c>
      <x:c r="C397" t="n">
        <x:v>0</x:v>
      </x:c>
      <x:c r="D397" t="n">
        <x:v>1</x:v>
      </x:c>
      <x:c r="E397" t="str">
        <x:v>eov</x:v>
      </x:c>
      <x:c r="F397" s="45" t="n">
        <x:f>1*$B397</x:f>
        <x:v>1</x:v>
      </x:c>
      <x:c r="G397" s="45" t="n">
        <x:f>0</x:f>
        <x:v>0</x:v>
      </x:c>
      <x:c r="H397" s="45" t="n">
        <x:f>2*$B397</x:f>
        <x:v>2</x:v>
      </x:c>
      <x:c r="I397" s="45" t="n">
        <x:f>0</x:f>
        <x:v>0</x:v>
      </x:c>
      <x:c r="J397" s="45" t="n">
        <x:f>0</x:f>
        <x:v>0</x:v>
      </x:c>
      <x:c r="K397" s="45" t="n">
        <x:f>0</x:f>
        <x:v>0</x:v>
      </x:c>
      <x:c r="L397" s="45" t="n">
        <x:f>F397+I397</x:f>
        <x:v>1</x:v>
      </x:c>
      <x:c r="M397" s="45" t="n">
        <x:f>G397+J397</x:f>
        <x:v>0</x:v>
      </x:c>
      <x:c r="N397" s="45" t="n">
        <x:f>H397+K397</x:f>
        <x:v>2</x:v>
      </x:c>
      <x:c r="O397" s="45" t="n">
        <x:f>SUM(F397:H397)</x:f>
        <x:v>3</x:v>
      </x:c>
      <x:c r="P397" s="42" t="n">
        <x:f>IF(AND(F397&lt;=F445,F397&lt;=F429,F397&lt;=F413,G397&lt;=G401,G397&lt;=G389,G397&lt;=G393,H397&lt;=H394,H397&lt;=H396,H397&lt;=H395),1,0)</x:f>
        <x:v>0</x:v>
      </x:c>
      <x:c r="Q397" s="42" t="n">
        <x:f>IF(AND(L397&lt;=L445,L397&lt;=L429,L397&lt;=L413,M397&lt;=M401,M397&lt;=M389,M397&lt;=M393,N397&lt;=N394,N397&lt;=N396,N397&lt;=N395),1,0)</x:f>
        <x:v>0</x:v>
      </x:c>
      <x:c r="R397" s="42" t="n">
        <x:v>0</x:v>
      </x:c>
      <x:c r="S397" s="42" t="n">
        <x:v>0</x:v>
      </x:c>
    </x:row>
    <x:row r="398">
      <x:c r="A398" t="n">
        <x:v>7</x:v>
      </x:c>
      <x:c r="B398" t="n">
        <x:v>1</x:v>
      </x:c>
      <x:c r="C398" t="n">
        <x:v>0</x:v>
      </x:c>
      <x:c r="D398" t="n">
        <x:v>1</x:v>
      </x:c>
      <x:c r="E398" t="str">
        <x:v>eve</x:v>
      </x:c>
      <x:c r="F398" s="45" t="n">
        <x:f>(1/2)*$B398+(1/2)*$C398</x:f>
        <x:v>0.5</x:v>
      </x:c>
      <x:c r="G398" s="45" t="n">
        <x:f>2*$B398</x:f>
        <x:v>2</x:v>
      </x:c>
      <x:c r="H398" s="45" t="n">
        <x:f>(1/2)*$B398+(1/2)*$C398</x:f>
        <x:v>0.5</x:v>
      </x:c>
      <x:c r="I398" s="45" t="n">
        <x:f>MAX((1/2)*($C398-$B398),0)</x:f>
        <x:v>0</x:v>
      </x:c>
      <x:c r="J398" s="45" t="n">
        <x:f>0</x:f>
        <x:v>0</x:v>
      </x:c>
      <x:c r="K398" s="45" t="n">
        <x:f>MAX((1/2)*($C398-$B398),0)</x:f>
        <x:v>0</x:v>
      </x:c>
      <x:c r="L398" s="45" t="n">
        <x:f>F398+I398</x:f>
        <x:v>0.5</x:v>
      </x:c>
      <x:c r="M398" s="45" t="n">
        <x:f>G398+J398</x:f>
        <x:v>2</x:v>
      </x:c>
      <x:c r="N398" s="45" t="n">
        <x:f>H398+K398</x:f>
        <x:v>0.5</x:v>
      </x:c>
      <x:c r="O398" s="45" t="n">
        <x:f>SUM(F398:H398)</x:f>
        <x:v>3</x:v>
      </x:c>
      <x:c r="P398" s="42" t="n">
        <x:f>IF(AND(F398&lt;=F446,F398&lt;=F430,F398&lt;=F414,G398&lt;=G386,G398&lt;=G394,G398&lt;=G390,H398&lt;=H401,H398&lt;=H400,H398&lt;=H399),1,0)</x:f>
        <x:v>0</x:v>
      </x:c>
      <x:c r="Q398" s="42" t="n">
        <x:f>IF(AND(L398&lt;=L446,L398&lt;=L430,L398&lt;=L414,M398&lt;=M386,M398&lt;=M394,M398&lt;=M390,N398&lt;=N401,N398&lt;=N400,N398&lt;=N399),1,0)</x:f>
        <x:v>0</x:v>
      </x:c>
      <x:c r="R398" s="42" t="n">
        <x:v>0</x:v>
      </x:c>
      <x:c r="S398" s="42" t="n">
        <x:v>0</x:v>
      </x:c>
    </x:row>
    <x:row r="399">
      <x:c r="A399" t="n">
        <x:v>7</x:v>
      </x:c>
      <x:c r="B399" t="n">
        <x:v>1</x:v>
      </x:c>
      <x:c r="C399" t="n">
        <x:v>0</x:v>
      </x:c>
      <x:c r="D399" t="n">
        <x:v>1</x:v>
      </x:c>
      <x:c r="E399" t="str">
        <x:v>evl</x:v>
      </x:c>
      <x:c r="F399" s="45" t="n">
        <x:f>1*$B399</x:f>
        <x:v>1</x:v>
      </x:c>
      <x:c r="G399" s="45" t="n">
        <x:f>2*$B399</x:f>
        <x:v>2</x:v>
      </x:c>
      <x:c r="H399" s="45" t="n">
        <x:f>1*$D399</x:f>
        <x:v>1</x:v>
      </x:c>
      <x:c r="I399" s="45" t="n">
        <x:f>0</x:f>
        <x:v>0</x:v>
      </x:c>
      <x:c r="J399" s="45" t="n">
        <x:f>0</x:f>
        <x:v>0</x:v>
      </x:c>
      <x:c r="K399" s="45" t="n">
        <x:f>0</x:f>
        <x:v>0</x:v>
      </x:c>
      <x:c r="L399" s="45" t="n">
        <x:f>F399+I399</x:f>
        <x:v>1</x:v>
      </x:c>
      <x:c r="M399" s="45" t="n">
        <x:f>G399+J399</x:f>
        <x:v>2</x:v>
      </x:c>
      <x:c r="N399" s="45" t="n">
        <x:f>H399+K399</x:f>
        <x:v>1</x:v>
      </x:c>
      <x:c r="O399" s="45" t="n">
        <x:f>SUM(F399:H399)</x:f>
        <x:v>4</x:v>
      </x:c>
      <x:c r="P399" s="42" t="n">
        <x:f>IF(AND(F399&lt;=F447,F399&lt;=F431,F399&lt;=F415,G399&lt;=G387,G399&lt;=G395,G399&lt;=G391,H399&lt;=H401,H399&lt;=H398,H399&lt;=H400),1,0)</x:f>
        <x:v>0</x:v>
      </x:c>
      <x:c r="Q399" s="42" t="n">
        <x:f>IF(AND(L399&lt;=L447,L399&lt;=L431,L399&lt;=L415,M399&lt;=M387,M399&lt;=M395,M399&lt;=M391,N399&lt;=N401,N399&lt;=N398,N399&lt;=N400),1,0)</x:f>
        <x:v>0</x:v>
      </x:c>
      <x:c r="R399" s="42" t="n">
        <x:v>0</x:v>
      </x:c>
      <x:c r="S399" s="42" t="n">
        <x:v>0</x:v>
      </x:c>
    </x:row>
    <x:row r="400">
      <x:c r="A400" t="n">
        <x:v>7</x:v>
      </x:c>
      <x:c r="B400" t="n">
        <x:v>1</x:v>
      </x:c>
      <x:c r="C400" t="n">
        <x:v>0</x:v>
      </x:c>
      <x:c r="D400" t="n">
        <x:v>1</x:v>
      </x:c>
      <x:c r="E400" t="str">
        <x:v>evo</x:v>
      </x:c>
      <x:c r="F400" s="45" t="n">
        <x:f>1*$B400</x:f>
        <x:v>1</x:v>
      </x:c>
      <x:c r="G400" s="45" t="n">
        <x:f>2*$B400</x:f>
        <x:v>2</x:v>
      </x:c>
      <x:c r="H400" s="45" t="n">
        <x:f>0</x:f>
        <x:v>0</x:v>
      </x:c>
      <x:c r="I400" s="45" t="n">
        <x:f>0</x:f>
        <x:v>0</x:v>
      </x:c>
      <x:c r="J400" s="45" t="n">
        <x:f>0</x:f>
        <x:v>0</x:v>
      </x:c>
      <x:c r="K400" s="45" t="n">
        <x:f>0</x:f>
        <x:v>0</x:v>
      </x:c>
      <x:c r="L400" s="45" t="n">
        <x:f>F400+I400</x:f>
        <x:v>1</x:v>
      </x:c>
      <x:c r="M400" s="45" t="n">
        <x:f>G400+J400</x:f>
        <x:v>2</x:v>
      </x:c>
      <x:c r="N400" s="45" t="n">
        <x:f>H400+K400</x:f>
        <x:v>0</x:v>
      </x:c>
      <x:c r="O400" s="45" t="n">
        <x:f>SUM(F400:H400)</x:f>
        <x:v>3</x:v>
      </x:c>
      <x:c r="P400" s="42" t="n">
        <x:f>IF(AND(F400&lt;=F448,F400&lt;=F432,F400&lt;=F416,G400&lt;=G388,G400&lt;=G396,G400&lt;=G392,H400&lt;=H401,H400&lt;=H398,H400&lt;=H399),1,0)</x:f>
        <x:v>0</x:v>
      </x:c>
      <x:c r="Q400" s="42" t="n">
        <x:f>IF(AND(L400&lt;=L448,L400&lt;=L432,L400&lt;=L416,M400&lt;=M388,M400&lt;=M396,M400&lt;=M392,N400&lt;=N401,N400&lt;=N398,N400&lt;=N399),1,0)</x:f>
        <x:v>0</x:v>
      </x:c>
      <x:c r="R400" s="42" t="n">
        <x:v>0</x:v>
      </x:c>
      <x:c r="S400" s="42" t="n">
        <x:v>0</x:v>
      </x:c>
    </x:row>
    <x:row r="401">
      <x:c r="A401" t="n">
        <x:v>7</x:v>
      </x:c>
      <x:c r="B401" t="n">
        <x:v>1</x:v>
      </x:c>
      <x:c r="C401" t="n">
        <x:v>0</x:v>
      </x:c>
      <x:c r="D401" t="n">
        <x:v>1</x:v>
      </x:c>
      <x:c r="E401" t="str">
        <x:v>evv</x:v>
      </x:c>
      <x:c r="F401" s="45" t="n">
        <x:f>1*$C401</x:f>
        <x:v>0</x:v>
      </x:c>
      <x:c r="G401" s="45" t="n">
        <x:f>(3/2)*$B401+(1/2)*$C401</x:f>
        <x:v>1.5</x:v>
      </x:c>
      <x:c r="H401" s="45" t="n">
        <x:f>(3/2)*$B401+(1/2)*$C401</x:f>
        <x:v>1.5</x:v>
      </x:c>
      <x:c r="I401" s="45" t="n">
        <x:f>0</x:f>
        <x:v>0</x:v>
      </x:c>
      <x:c r="J401" s="45" t="n">
        <x:f>MAX((3/2)*($C401-$B401),0)</x:f>
        <x:v>0</x:v>
      </x:c>
      <x:c r="K401" s="45" t="n">
        <x:f>MAX((3/2)*($C401-$B401),0)</x:f>
        <x:v>0</x:v>
      </x:c>
      <x:c r="L401" s="45" t="n">
        <x:f>F401+I401</x:f>
        <x:v>0</x:v>
      </x:c>
      <x:c r="M401" s="45" t="n">
        <x:f>G401+J401</x:f>
        <x:v>1.5</x:v>
      </x:c>
      <x:c r="N401" s="45" t="n">
        <x:f>H401+K401</x:f>
        <x:v>1.5</x:v>
      </x:c>
      <x:c r="O401" s="45" t="n">
        <x:f>SUM(F401:H401)</x:f>
        <x:v>3</x:v>
      </x:c>
      <x:c r="P401" s="42" t="n">
        <x:f>IF(AND(F401&lt;=F449,F401&lt;=F433,F401&lt;=F417,G401&lt;=G389,G401&lt;=G397,G401&lt;=G393,H401&lt;=H398,H401&lt;=H400,H401&lt;=H399),1,0)</x:f>
        <x:v>0</x:v>
      </x:c>
      <x:c r="Q401" s="42" t="n">
        <x:f>IF(AND(L401&lt;=L449,L401&lt;=L433,L401&lt;=L417,M401&lt;=M389,M401&lt;=M397,M401&lt;=M393,N401&lt;=N398,N401&lt;=N400,N401&lt;=N399),1,0)</x:f>
        <x:v>0</x:v>
      </x:c>
      <x:c r="R401" s="42" t="n">
        <x:v>0</x:v>
      </x:c>
      <x:c r="S401" s="42" t="n">
        <x:v>0</x:v>
      </x:c>
    </x:row>
    <x:row r="402">
      <x:c r="A402" t="n">
        <x:v>7</x:v>
      </x:c>
      <x:c r="B402" t="n">
        <x:v>1</x:v>
      </x:c>
      <x:c r="C402" t="n">
        <x:v>0</x:v>
      </x:c>
      <x:c r="D402" t="n">
        <x:v>1</x:v>
      </x:c>
      <x:c r="E402" t="str">
        <x:v>lee</x:v>
      </x:c>
      <x:c r="F402" s="45" t="n">
        <x:f>1*$D402</x:f>
        <x:v>1</x:v>
      </x:c>
      <x:c r="G402" s="45" t="n">
        <x:f>(1/2)*$B402+(1/2)*$C402</x:f>
        <x:v>0.5</x:v>
      </x:c>
      <x:c r="H402" s="45" t="n">
        <x:f>(1/2)*$B402+(1/2)*$C402</x:f>
        <x:v>0.5</x:v>
      </x:c>
      <x:c r="I402" s="45" t="n">
        <x:f>0</x:f>
        <x:v>0</x:v>
      </x:c>
      <x:c r="J402" s="45" t="n">
        <x:f>MAX((1/2)*($C402-$B402),0)</x:f>
        <x:v>0</x:v>
      </x:c>
      <x:c r="K402" s="45" t="n">
        <x:f>MAX((1/2)*($C402-$B402),0)</x:f>
        <x:v>0</x:v>
      </x:c>
      <x:c r="L402" s="45" t="n">
        <x:f>F402+I402</x:f>
        <x:v>1</x:v>
      </x:c>
      <x:c r="M402" s="45" t="n">
        <x:f>G402+J402</x:f>
        <x:v>0.5</x:v>
      </x:c>
      <x:c r="N402" s="45" t="n">
        <x:f>H402+K402</x:f>
        <x:v>0.5</x:v>
      </x:c>
      <x:c r="O402" s="45" t="n">
        <x:f>SUM(F402:H402)</x:f>
        <x:v>2</x:v>
      </x:c>
      <x:c r="P402" s="42" t="n">
        <x:f>IF(AND(F402&lt;=F434,F402&lt;=F386,F402&lt;=F418,G402&lt;=G414,G402&lt;=G410,G402&lt;=G406,H402&lt;=H405,H402&lt;=H404,H402&lt;=H403),1,0)</x:f>
        <x:v>0</x:v>
      </x:c>
      <x:c r="Q402" s="42" t="n">
        <x:f>IF(AND(L402&lt;=L434,L402&lt;=L386,L402&lt;=L418,M402&lt;=M414,M402&lt;=M410,M402&lt;=M406,N402&lt;=N405,N402&lt;=N404,N402&lt;=N403),1,0)</x:f>
        <x:v>0</x:v>
      </x:c>
      <x:c r="R402" s="42" t="n">
        <x:v>0</x:v>
      </x:c>
      <x:c r="S402" s="42" t="n">
        <x:v>0</x:v>
      </x:c>
    </x:row>
    <x:row r="403">
      <x:c r="A403" t="n">
        <x:v>7</x:v>
      </x:c>
      <x:c r="B403" t="n">
        <x:v>1</x:v>
      </x:c>
      <x:c r="C403" t="n">
        <x:v>0</x:v>
      </x:c>
      <x:c r="D403" t="n">
        <x:v>1</x:v>
      </x:c>
      <x:c r="E403" t="str">
        <x:v>lel</x:v>
      </x:c>
      <x:c r="F403" s="45" t="n">
        <x:f>(1/2)*$C403+(3/2)*$D403</x:f>
        <x:v>1.5</x:v>
      </x:c>
      <x:c r="G403" s="45" t="n">
        <x:f>1*$B403</x:f>
        <x:v>1</x:v>
      </x:c>
      <x:c r="H403" s="45" t="n">
        <x:f>(1/2)*$C403+(3/2)*$D403</x:f>
        <x:v>1.5</x:v>
      </x:c>
      <x:c r="I403" s="45" t="n">
        <x:f>(1/2)*($C403+$D403)</x:f>
        <x:v>0.5</x:v>
      </x:c>
      <x:c r="J403" s="45" t="n">
        <x:f>0</x:f>
        <x:v>0</x:v>
      </x:c>
      <x:c r="K403" s="45" t="n">
        <x:f>(1/2)*($C403+$D403)</x:f>
        <x:v>0.5</x:v>
      </x:c>
      <x:c r="L403" s="45" t="n">
        <x:f>F403+I403</x:f>
        <x:v>2</x:v>
      </x:c>
      <x:c r="M403" s="45" t="n">
        <x:f>G403+J403</x:f>
        <x:v>1</x:v>
      </x:c>
      <x:c r="N403" s="45" t="n">
        <x:f>H403+K403</x:f>
        <x:v>2</x:v>
      </x:c>
      <x:c r="O403" s="45" t="n">
        <x:f>SUM(F403:H403)</x:f>
        <x:v>4</x:v>
      </x:c>
      <x:c r="P403" s="42" t="n">
        <x:f>IF(AND(F403&lt;=F435,F403&lt;=F387,F403&lt;=F419,G403&lt;=G415,G403&lt;=G411,G403&lt;=G407,H403&lt;=H405,H403&lt;=H402,H403&lt;=H404),1,0)</x:f>
        <x:v>0</x:v>
      </x:c>
      <x:c r="Q403" s="42" t="n">
        <x:f>IF(AND(L403&lt;=L435,L403&lt;=L387,L403&lt;=L419,M403&lt;=M415,M403&lt;=M411,M403&lt;=M407,N403&lt;=N405,N403&lt;=N402,N403&lt;=N404),1,0)</x:f>
        <x:v>0</x:v>
      </x:c>
      <x:c r="R403" s="42" t="n">
        <x:v>0</x:v>
      </x:c>
      <x:c r="S403" s="42" t="n">
        <x:v>0</x:v>
      </x:c>
    </x:row>
    <x:row r="404">
      <x:c r="A404" t="n">
        <x:v>7</x:v>
      </x:c>
      <x:c r="B404" t="n">
        <x:v>1</x:v>
      </x:c>
      <x:c r="C404" t="n">
        <x:v>0</x:v>
      </x:c>
      <x:c r="D404" t="n">
        <x:v>1</x:v>
      </x:c>
      <x:c r="E404" t="str">
        <x:v>leo</x:v>
      </x:c>
      <x:c r="F404" s="45" t="n">
        <x:f>1*$D404</x:f>
        <x:v>1</x:v>
      </x:c>
      <x:c r="G404" s="45" t="n">
        <x:f>1*$B404</x:f>
        <x:v>1</x:v>
      </x:c>
      <x:c r="H404" s="45" t="n">
        <x:f>0</x:f>
        <x:v>0</x:v>
      </x:c>
      <x:c r="I404" s="45" t="n">
        <x:f>0</x:f>
        <x:v>0</x:v>
      </x:c>
      <x:c r="J404" s="45" t="n">
        <x:f>0</x:f>
        <x:v>0</x:v>
      </x:c>
      <x:c r="K404" s="45" t="n">
        <x:f>0</x:f>
        <x:v>0</x:v>
      </x:c>
      <x:c r="L404" s="45" t="n">
        <x:f>F404+I404</x:f>
        <x:v>1</x:v>
      </x:c>
      <x:c r="M404" s="45" t="n">
        <x:f>G404+J404</x:f>
        <x:v>1</x:v>
      </x:c>
      <x:c r="N404" s="45" t="n">
        <x:f>H404+K404</x:f>
        <x:v>0</x:v>
      </x:c>
      <x:c r="O404" s="45" t="n">
        <x:f>SUM(F404:H404)</x:f>
        <x:v>2</x:v>
      </x:c>
      <x:c r="P404" s="42" t="n">
        <x:f>IF(AND(F404&lt;=F436,F404&lt;=F388,F404&lt;=F420,G404&lt;=G416,G404&lt;=G412,G404&lt;=G408,H404&lt;=H405,H404&lt;=H402,H404&lt;=H403),1,0)</x:f>
        <x:v>0</x:v>
      </x:c>
      <x:c r="Q404" s="42" t="n">
        <x:f>IF(AND(L404&lt;=L436,L404&lt;=L388,L404&lt;=L420,M404&lt;=M416,M404&lt;=M412,M404&lt;=M408,N404&lt;=N405,N404&lt;=N402,N404&lt;=N403),1,0)</x:f>
        <x:v>1</x:v>
      </x:c>
      <x:c r="R404" s="42" t="n">
        <x:v>0</x:v>
      </x:c>
      <x:c r="S404" s="42" t="n">
        <x:v>1</x:v>
      </x:c>
    </x:row>
    <x:row r="405">
      <x:c r="A405" t="n">
        <x:v>7</x:v>
      </x:c>
      <x:c r="B405" t="n">
        <x:v>1</x:v>
      </x:c>
      <x:c r="C405" t="n">
        <x:v>0</x:v>
      </x:c>
      <x:c r="D405" t="n">
        <x:v>1</x:v>
      </x:c>
      <x:c r="E405" t="str">
        <x:v>lev</x:v>
      </x:c>
      <x:c r="F405" s="45" t="n">
        <x:f>1*$D405</x:f>
        <x:v>1</x:v>
      </x:c>
      <x:c r="G405" s="45" t="n">
        <x:f>1*$B405</x:f>
        <x:v>1</x:v>
      </x:c>
      <x:c r="H405" s="45" t="n">
        <x:f>2*$B405</x:f>
        <x:v>2</x:v>
      </x:c>
      <x:c r="I405" s="45" t="n">
        <x:f>0</x:f>
        <x:v>0</x:v>
      </x:c>
      <x:c r="J405" s="45" t="n">
        <x:f>0</x:f>
        <x:v>0</x:v>
      </x:c>
      <x:c r="K405" s="45" t="n">
        <x:f>0</x:f>
        <x:v>0</x:v>
      </x:c>
      <x:c r="L405" s="45" t="n">
        <x:f>F405+I405</x:f>
        <x:v>1</x:v>
      </x:c>
      <x:c r="M405" s="45" t="n">
        <x:f>G405+J405</x:f>
        <x:v>1</x:v>
      </x:c>
      <x:c r="N405" s="45" t="n">
        <x:f>H405+K405</x:f>
        <x:v>2</x:v>
      </x:c>
      <x:c r="O405" s="45" t="n">
        <x:f>SUM(F405:H405)</x:f>
        <x:v>4</x:v>
      </x:c>
      <x:c r="P405" s="42" t="n">
        <x:f>IF(AND(F405&lt;=F437,F405&lt;=F389,F405&lt;=F421,G405&lt;=G417,G405&lt;=G413,G405&lt;=G409,H405&lt;=H402,H405&lt;=H404,H405&lt;=H403),1,0)</x:f>
        <x:v>0</x:v>
      </x:c>
      <x:c r="Q405" s="42" t="n">
        <x:f>IF(AND(L405&lt;=L437,L405&lt;=L389,L405&lt;=L421,M405&lt;=M417,M405&lt;=M413,M405&lt;=M409,N405&lt;=N402,N405&lt;=N404,N405&lt;=N403),1,0)</x:f>
        <x:v>0</x:v>
      </x:c>
      <x:c r="R405" s="42" t="n">
        <x:v>0</x:v>
      </x:c>
      <x:c r="S405" s="42" t="n">
        <x:v>0</x:v>
      </x:c>
    </x:row>
    <x:row r="406">
      <x:c r="A406" t="n">
        <x:v>7</x:v>
      </x:c>
      <x:c r="B406" t="n">
        <x:v>1</x:v>
      </x:c>
      <x:c r="C406" t="n">
        <x:v>0</x:v>
      </x:c>
      <x:c r="D406" t="n">
        <x:v>1</x:v>
      </x:c>
      <x:c r="E406" t="str">
        <x:v>lle</x:v>
      </x:c>
      <x:c r="F406" s="45" t="n">
        <x:f>(1/2)*$C406+(3/2)*$D406</x:f>
        <x:v>1.5</x:v>
      </x:c>
      <x:c r="G406" s="45" t="n">
        <x:f>(1/2)*$C406+(3/2)*$D406</x:f>
        <x:v>1.5</x:v>
      </x:c>
      <x:c r="H406" s="45" t="n">
        <x:f>1*$B406</x:f>
        <x:v>1</x:v>
      </x:c>
      <x:c r="I406" s="45" t="n">
        <x:f>(1/2)*($C406+$D406)</x:f>
        <x:v>0.5</x:v>
      </x:c>
      <x:c r="J406" s="45" t="n">
        <x:f>(1/2)*($C406+$D406)</x:f>
        <x:v>0.5</x:v>
      </x:c>
      <x:c r="K406" s="45" t="n">
        <x:f>0</x:f>
        <x:v>0</x:v>
      </x:c>
      <x:c r="L406" s="45" t="n">
        <x:f>F406+I406</x:f>
        <x:v>2</x:v>
      </x:c>
      <x:c r="M406" s="45" t="n">
        <x:f>G406+J406</x:f>
        <x:v>2</x:v>
      </x:c>
      <x:c r="N406" s="45" t="n">
        <x:f>H406+K406</x:f>
        <x:v>1</x:v>
      </x:c>
      <x:c r="O406" s="45" t="n">
        <x:f>SUM(F406:H406)</x:f>
        <x:v>4</x:v>
      </x:c>
      <x:c r="P406" s="42" t="n">
        <x:f>IF(AND(F406&lt;=F438,F406&lt;=F390,F406&lt;=F422,G406&lt;=G414,G406&lt;=G402,G406&lt;=G410,H406&lt;=H409,H406&lt;=H408,H406&lt;=H407),1,0)</x:f>
        <x:v>0</x:v>
      </x:c>
      <x:c r="Q406" s="42" t="n">
        <x:f>IF(AND(L406&lt;=L438,L406&lt;=L390,L406&lt;=L422,M406&lt;=M414,M406&lt;=M402,M406&lt;=M410,N406&lt;=N409,N406&lt;=N408,N406&lt;=N407),1,0)</x:f>
        <x:v>0</x:v>
      </x:c>
      <x:c r="R406" s="42" t="n">
        <x:v>0</x:v>
      </x:c>
      <x:c r="S406" s="42" t="n">
        <x:v>0</x:v>
      </x:c>
    </x:row>
    <x:row r="407">
      <x:c r="A407" t="n">
        <x:v>7</x:v>
      </x:c>
      <x:c r="B407" t="n">
        <x:v>1</x:v>
      </x:c>
      <x:c r="C407" t="n">
        <x:v>0</x:v>
      </x:c>
      <x:c r="D407" t="n">
        <x:v>1</x:v>
      </x:c>
      <x:c r="E407" t="str">
        <x:v>lll</x:v>
      </x:c>
      <x:c r="F407" s="45" t="n">
        <x:f>1*$C407+2*$D407</x:f>
        <x:v>2</x:v>
      </x:c>
      <x:c r="G407" s="45" t="n">
        <x:f>1*$C407+2*$D407</x:f>
        <x:v>2</x:v>
      </x:c>
      <x:c r="H407" s="45" t="n">
        <x:f>1*$C407+2*$D407</x:f>
        <x:v>2</x:v>
      </x:c>
      <x:c r="I407" s="45" t="n">
        <x:f>$C407+$D407</x:f>
        <x:v>1</x:v>
      </x:c>
      <x:c r="J407" s="45" t="n">
        <x:f>$C407+$D407</x:f>
        <x:v>1</x:v>
      </x:c>
      <x:c r="K407" s="45" t="n">
        <x:f>$C407+$D407</x:f>
        <x:v>1</x:v>
      </x:c>
      <x:c r="L407" s="45" t="n">
        <x:f>F407+I407</x:f>
        <x:v>3</x:v>
      </x:c>
      <x:c r="M407" s="45" t="n">
        <x:f>G407+J407</x:f>
        <x:v>3</x:v>
      </x:c>
      <x:c r="N407" s="45" t="n">
        <x:f>H407+K407</x:f>
        <x:v>3</x:v>
      </x:c>
      <x:c r="O407" s="45" t="n">
        <x:f>SUM(F407:H407)</x:f>
        <x:v>6</x:v>
      </x:c>
      <x:c r="P407" s="42" t="n">
        <x:f>IF(AND(F407&lt;=F439,F407&lt;=F391,F407&lt;=F423,G407&lt;=G415,G407&lt;=G403,G407&lt;=G411,H407&lt;=H409,H407&lt;=H406,H407&lt;=H408),1,0)</x:f>
        <x:v>0</x:v>
      </x:c>
      <x:c r="Q407" s="42" t="n">
        <x:f>IF(AND(L407&lt;=L439,L407&lt;=L391,L407&lt;=L423,M407&lt;=M415,M407&lt;=M403,M407&lt;=M411,N407&lt;=N409,N407&lt;=N406,N407&lt;=N408),1,0)</x:f>
        <x:v>0</x:v>
      </x:c>
      <x:c r="R407" s="42" t="n">
        <x:v>0</x:v>
      </x:c>
      <x:c r="S407" s="42" t="n">
        <x:v>0</x:v>
      </x:c>
    </x:row>
    <x:row r="408">
      <x:c r="A408" t="n">
        <x:v>7</x:v>
      </x:c>
      <x:c r="B408" t="n">
        <x:v>1</x:v>
      </x:c>
      <x:c r="C408" t="n">
        <x:v>0</x:v>
      </x:c>
      <x:c r="D408" t="n">
        <x:v>1</x:v>
      </x:c>
      <x:c r="E408" t="str">
        <x:v>llo</x:v>
      </x:c>
      <x:c r="F408" s="45" t="n">
        <x:f>(1/2)*$C408+(3/2)*$D408</x:f>
        <x:v>1.5</x:v>
      </x:c>
      <x:c r="G408" s="45" t="n">
        <x:f>(1/2)*$C408+(3/2)*$D408</x:f>
        <x:v>1.5</x:v>
      </x:c>
      <x:c r="H408" s="45" t="n">
        <x:f>0</x:f>
        <x:v>0</x:v>
      </x:c>
      <x:c r="I408" s="45" t="n">
        <x:f>(1/2)*($C408+$D408)</x:f>
        <x:v>0.5</x:v>
      </x:c>
      <x:c r="J408" s="45" t="n">
        <x:f>(1/2)*($C408+$D408)</x:f>
        <x:v>0.5</x:v>
      </x:c>
      <x:c r="K408" s="45" t="n">
        <x:f>0</x:f>
        <x:v>0</x:v>
      </x:c>
      <x:c r="L408" s="45" t="n">
        <x:f>F408+I408</x:f>
        <x:v>2</x:v>
      </x:c>
      <x:c r="M408" s="45" t="n">
        <x:f>G408+J408</x:f>
        <x:v>2</x:v>
      </x:c>
      <x:c r="N408" s="45" t="n">
        <x:f>H408+K408</x:f>
        <x:v>0</x:v>
      </x:c>
      <x:c r="O408" s="45" t="n">
        <x:f>SUM(F408:H408)</x:f>
        <x:v>3</x:v>
      </x:c>
      <x:c r="P408" s="42" t="n">
        <x:f>IF(AND(F408&lt;=F440,F408&lt;=F392,F408&lt;=F424,G408&lt;=G416,G408&lt;=G404,G408&lt;=G412,H408&lt;=H409,H408&lt;=H406,H408&lt;=H407),1,0)</x:f>
        <x:v>0</x:v>
      </x:c>
      <x:c r="Q408" s="42" t="n">
        <x:f>IF(AND(L408&lt;=L440,L408&lt;=L392,L408&lt;=L424,M408&lt;=M416,M408&lt;=M404,M408&lt;=M412,N408&lt;=N409,N408&lt;=N406,N408&lt;=N407),1,0)</x:f>
        <x:v>0</x:v>
      </x:c>
      <x:c r="R408" s="42" t="n">
        <x:v>0</x:v>
      </x:c>
      <x:c r="S408" s="42" t="n">
        <x:v>0</x:v>
      </x:c>
    </x:row>
    <x:row r="409">
      <x:c r="A409" t="n">
        <x:v>7</x:v>
      </x:c>
      <x:c r="B409" t="n">
        <x:v>1</x:v>
      </x:c>
      <x:c r="C409" t="n">
        <x:v>0</x:v>
      </x:c>
      <x:c r="D409" t="n">
        <x:v>1</x:v>
      </x:c>
      <x:c r="E409" t="str">
        <x:v>llv</x:v>
      </x:c>
      <x:c r="F409" s="45" t="n">
        <x:f>(1/2)*$C409+(3/2)*$D409</x:f>
        <x:v>1.5</x:v>
      </x:c>
      <x:c r="G409" s="45" t="n">
        <x:f>(1/2)*$C409+(3/2)*$D409</x:f>
        <x:v>1.5</x:v>
      </x:c>
      <x:c r="H409" s="45" t="n">
        <x:f>2*$B409</x:f>
        <x:v>2</x:v>
      </x:c>
      <x:c r="I409" s="45" t="n">
        <x:f>(1/2)*($C409+$D409)</x:f>
        <x:v>0.5</x:v>
      </x:c>
      <x:c r="J409" s="45" t="n">
        <x:f>(1/2)*($C409+$D409)</x:f>
        <x:v>0.5</x:v>
      </x:c>
      <x:c r="K409" s="45" t="n">
        <x:f>0</x:f>
        <x:v>0</x:v>
      </x:c>
      <x:c r="L409" s="45" t="n">
        <x:f>F409+I409</x:f>
        <x:v>2</x:v>
      </x:c>
      <x:c r="M409" s="45" t="n">
        <x:f>G409+J409</x:f>
        <x:v>2</x:v>
      </x:c>
      <x:c r="N409" s="45" t="n">
        <x:f>H409+K409</x:f>
        <x:v>2</x:v>
      </x:c>
      <x:c r="O409" s="45" t="n">
        <x:f>SUM(F409:H409)</x:f>
        <x:v>5</x:v>
      </x:c>
      <x:c r="P409" s="42" t="n">
        <x:f>IF(AND(F409&lt;=F441,F409&lt;=F393,F409&lt;=F425,G409&lt;=G417,G409&lt;=G405,G409&lt;=G413,H409&lt;=H406,H409&lt;=H408,H409&lt;=H407),1,0)</x:f>
        <x:v>0</x:v>
      </x:c>
      <x:c r="Q409" s="42" t="n">
        <x:f>IF(AND(L409&lt;=L441,L409&lt;=L393,L409&lt;=L425,M409&lt;=M417,M409&lt;=M405,M409&lt;=M413,N409&lt;=N406,N409&lt;=N408,N409&lt;=N407),1,0)</x:f>
        <x:v>0</x:v>
      </x:c>
      <x:c r="R409" s="42" t="n">
        <x:v>0</x:v>
      </x:c>
      <x:c r="S409" s="42" t="n">
        <x:v>0</x:v>
      </x:c>
    </x:row>
    <x:row r="410">
      <x:c r="A410" t="n">
        <x:v>7</x:v>
      </x:c>
      <x:c r="B410" t="n">
        <x:v>1</x:v>
      </x:c>
      <x:c r="C410" t="n">
        <x:v>0</x:v>
      </x:c>
      <x:c r="D410" t="n">
        <x:v>1</x:v>
      </x:c>
      <x:c r="E410" t="str">
        <x:v>loe</x:v>
      </x:c>
      <x:c r="F410" s="45" t="n">
        <x:f>1*$D410</x:f>
        <x:v>1</x:v>
      </x:c>
      <x:c r="G410" s="45" t="n">
        <x:f>0</x:f>
        <x:v>0</x:v>
      </x:c>
      <x:c r="H410" s="45" t="n">
        <x:f>1*$B410</x:f>
        <x:v>1</x:v>
      </x:c>
      <x:c r="I410" s="45" t="n">
        <x:f>0</x:f>
        <x:v>0</x:v>
      </x:c>
      <x:c r="J410" s="45" t="n">
        <x:f>0</x:f>
        <x:v>0</x:v>
      </x:c>
      <x:c r="K410" s="45" t="n">
        <x:f>0</x:f>
        <x:v>0</x:v>
      </x:c>
      <x:c r="L410" s="45" t="n">
        <x:f>F410+I410</x:f>
        <x:v>1</x:v>
      </x:c>
      <x:c r="M410" s="45" t="n">
        <x:f>G410+J410</x:f>
        <x:v>0</x:v>
      </x:c>
      <x:c r="N410" s="45" t="n">
        <x:f>H410+K410</x:f>
        <x:v>1</x:v>
      </x:c>
      <x:c r="O410" s="45" t="n">
        <x:f>SUM(F410:H410)</x:f>
        <x:v>2</x:v>
      </x:c>
      <x:c r="P410" s="42" t="n">
        <x:f>IF(AND(F410&lt;=F442,F410&lt;=F394,F410&lt;=F426,G410&lt;=G414,G410&lt;=G402,G410&lt;=G406,H410&lt;=H413,H410&lt;=H412,H410&lt;=H411),1,0)</x:f>
        <x:v>0</x:v>
      </x:c>
      <x:c r="Q410" s="42" t="n">
        <x:f>IF(AND(L410&lt;=L442,L410&lt;=L394,L410&lt;=L426,M410&lt;=M414,M410&lt;=M402,M410&lt;=M406,N410&lt;=N413,N410&lt;=N412,N410&lt;=N411),1,0)</x:f>
        <x:v>1</x:v>
      </x:c>
      <x:c r="R410" s="42" t="n">
        <x:v>0</x:v>
      </x:c>
      <x:c r="S410" s="42" t="n">
        <x:v>1</x:v>
      </x:c>
    </x:row>
    <x:row r="411">
      <x:c r="A411" t="n">
        <x:v>7</x:v>
      </x:c>
      <x:c r="B411" t="n">
        <x:v>1</x:v>
      </x:c>
      <x:c r="C411" t="n">
        <x:v>0</x:v>
      </x:c>
      <x:c r="D411" t="n">
        <x:v>1</x:v>
      </x:c>
      <x:c r="E411" t="str">
        <x:v>lol</x:v>
      </x:c>
      <x:c r="F411" s="45" t="n">
        <x:f>(1/2)*$C411+(3/2)*$D411</x:f>
        <x:v>1.5</x:v>
      </x:c>
      <x:c r="G411" s="45" t="n">
        <x:f>0</x:f>
        <x:v>0</x:v>
      </x:c>
      <x:c r="H411" s="45" t="n">
        <x:f>(1/2)*$C411+(3/2)*$D411</x:f>
        <x:v>1.5</x:v>
      </x:c>
      <x:c r="I411" s="45" t="n">
        <x:f>(1/2)*($C411+$D411)</x:f>
        <x:v>0.5</x:v>
      </x:c>
      <x:c r="J411" s="45" t="n">
        <x:f>0</x:f>
        <x:v>0</x:v>
      </x:c>
      <x:c r="K411" s="45" t="n">
        <x:f>(1/2)*($C411+$D411)</x:f>
        <x:v>0.5</x:v>
      </x:c>
      <x:c r="L411" s="45" t="n">
        <x:f>F411+I411</x:f>
        <x:v>2</x:v>
      </x:c>
      <x:c r="M411" s="45" t="n">
        <x:f>G411+J411</x:f>
        <x:v>0</x:v>
      </x:c>
      <x:c r="N411" s="45" t="n">
        <x:f>H411+K411</x:f>
        <x:v>2</x:v>
      </x:c>
      <x:c r="O411" s="45" t="n">
        <x:f>SUM(F411:H411)</x:f>
        <x:v>3</x:v>
      </x:c>
      <x:c r="P411" s="42" t="n">
        <x:f>IF(AND(F411&lt;=F443,F411&lt;=F395,F411&lt;=F427,G411&lt;=G415,G411&lt;=G403,G411&lt;=G407,H411&lt;=H413,H411&lt;=H410,H411&lt;=H412),1,0)</x:f>
        <x:v>0</x:v>
      </x:c>
      <x:c r="Q411" s="42" t="n">
        <x:f>IF(AND(L411&lt;=L443,L411&lt;=L395,L411&lt;=L427,M411&lt;=M415,M411&lt;=M403,M411&lt;=M407,N411&lt;=N413,N411&lt;=N410,N411&lt;=N412),1,0)</x:f>
        <x:v>0</x:v>
      </x:c>
      <x:c r="R411" s="42" t="n">
        <x:v>0</x:v>
      </x:c>
      <x:c r="S411" s="42" t="n">
        <x:v>0</x:v>
      </x:c>
    </x:row>
    <x:row r="412">
      <x:c r="A412" t="n">
        <x:v>7</x:v>
      </x:c>
      <x:c r="B412" t="n">
        <x:v>1</x:v>
      </x:c>
      <x:c r="C412" t="n">
        <x:v>0</x:v>
      </x:c>
      <x:c r="D412" t="n">
        <x:v>1</x:v>
      </x:c>
      <x:c r="E412" t="str">
        <x:v>loo</x:v>
      </x:c>
      <x:c r="F412" s="45" t="n">
        <x:f>1*$C412+2*$D412</x:f>
        <x:v>2</x:v>
      </x:c>
      <x:c r="G412" s="45" t="n">
        <x:f>(1/2)*$C412+(1/2)*$D412</x:f>
        <x:v>0.5</x:v>
      </x:c>
      <x:c r="H412" s="45" t="n">
        <x:f>(1/2)*$C412+(1/2)*$D412</x:f>
        <x:v>0.5</x:v>
      </x:c>
      <x:c r="I412" s="45" t="n">
        <x:f>0</x:f>
        <x:v>0</x:v>
      </x:c>
      <x:c r="J412" s="45" t="n">
        <x:f>(3/2)*($C412+$D412)</x:f>
        <x:v>1.5</x:v>
      </x:c>
      <x:c r="K412" s="45" t="n">
        <x:f>(3/2)*($C412+$D412)</x:f>
        <x:v>1.5</x:v>
      </x:c>
      <x:c r="L412" s="45" t="n">
        <x:f>F412+I412</x:f>
        <x:v>2</x:v>
      </x:c>
      <x:c r="M412" s="45" t="n">
        <x:f>G412+J412</x:f>
        <x:v>2</x:v>
      </x:c>
      <x:c r="N412" s="45" t="n">
        <x:f>H412+K412</x:f>
        <x:v>2</x:v>
      </x:c>
      <x:c r="O412" s="45" t="n">
        <x:f>SUM(F412:H412)</x:f>
        <x:v>3</x:v>
      </x:c>
      <x:c r="P412" s="42" t="n">
        <x:f>IF(AND(F412&lt;=F444,F412&lt;=F396,F412&lt;=F428,G412&lt;=G416,G412&lt;=G404,G412&lt;=G408,H412&lt;=H413,H412&lt;=H410,H412&lt;=H411),1,0)</x:f>
        <x:v>0</x:v>
      </x:c>
      <x:c r="Q412" s="42" t="n">
        <x:f>IF(AND(L412&lt;=L444,L412&lt;=L396,L412&lt;=L428,M412&lt;=M416,M412&lt;=M404,M412&lt;=M408,N412&lt;=N413,N412&lt;=N410,N412&lt;=N411),1,0)</x:f>
        <x:v>0</x:v>
      </x:c>
      <x:c r="R412" s="42" t="n">
        <x:v>0</x:v>
      </x:c>
      <x:c r="S412" s="42" t="n">
        <x:v>0</x:v>
      </x:c>
    </x:row>
    <x:row r="413">
      <x:c r="A413" t="n">
        <x:v>7</x:v>
      </x:c>
      <x:c r="B413" t="n">
        <x:v>1</x:v>
      </x:c>
      <x:c r="C413" t="n">
        <x:v>0</x:v>
      </x:c>
      <x:c r="D413" t="n">
        <x:v>1</x:v>
      </x:c>
      <x:c r="E413" t="str">
        <x:v>lov</x:v>
      </x:c>
      <x:c r="F413" s="45" t="n">
        <x:f>1*$D413</x:f>
        <x:v>1</x:v>
      </x:c>
      <x:c r="G413" s="45" t="n">
        <x:f>0</x:f>
        <x:v>0</x:v>
      </x:c>
      <x:c r="H413" s="45" t="n">
        <x:f>2*$B413</x:f>
        <x:v>2</x:v>
      </x:c>
      <x:c r="I413" s="45" t="n">
        <x:f>0</x:f>
        <x:v>0</x:v>
      </x:c>
      <x:c r="J413" s="45" t="n">
        <x:f>0</x:f>
        <x:v>0</x:v>
      </x:c>
      <x:c r="K413" s="45" t="n">
        <x:f>0</x:f>
        <x:v>0</x:v>
      </x:c>
      <x:c r="L413" s="45" t="n">
        <x:f>F413+I413</x:f>
        <x:v>1</x:v>
      </x:c>
      <x:c r="M413" s="45" t="n">
        <x:f>G413+J413</x:f>
        <x:v>0</x:v>
      </x:c>
      <x:c r="N413" s="45" t="n">
        <x:f>H413+K413</x:f>
        <x:v>2</x:v>
      </x:c>
      <x:c r="O413" s="45" t="n">
        <x:f>SUM(F413:H413)</x:f>
        <x:v>3</x:v>
      </x:c>
      <x:c r="P413" s="42" t="n">
        <x:f>IF(AND(F413&lt;=F445,F413&lt;=F397,F413&lt;=F429,G413&lt;=G417,G413&lt;=G405,G413&lt;=G409,H413&lt;=H410,H413&lt;=H412,H413&lt;=H411),1,0)</x:f>
        <x:v>0</x:v>
      </x:c>
      <x:c r="Q413" s="42" t="n">
        <x:f>IF(AND(L413&lt;=L445,L413&lt;=L397,L413&lt;=L429,M413&lt;=M417,M413&lt;=M405,M413&lt;=M409,N413&lt;=N410,N413&lt;=N412,N413&lt;=N411),1,0)</x:f>
        <x:v>0</x:v>
      </x:c>
      <x:c r="R413" s="42" t="n">
        <x:v>0</x:v>
      </x:c>
      <x:c r="S413" s="42" t="n">
        <x:v>0</x:v>
      </x:c>
    </x:row>
    <x:row r="414">
      <x:c r="A414" t="n">
        <x:v>7</x:v>
      </x:c>
      <x:c r="B414" t="n">
        <x:v>1</x:v>
      </x:c>
      <x:c r="C414" t="n">
        <x:v>0</x:v>
      </x:c>
      <x:c r="D414" t="n">
        <x:v>1</x:v>
      </x:c>
      <x:c r="E414" t="str">
        <x:v>lve</x:v>
      </x:c>
      <x:c r="F414" s="45" t="n">
        <x:f>1*$D414</x:f>
        <x:v>1</x:v>
      </x:c>
      <x:c r="G414" s="45" t="n">
        <x:f>2*$B414</x:f>
        <x:v>2</x:v>
      </x:c>
      <x:c r="H414" s="45" t="n">
        <x:f>1*$B414</x:f>
        <x:v>1</x:v>
      </x:c>
      <x:c r="I414" s="45" t="n">
        <x:f>0</x:f>
        <x:v>0</x:v>
      </x:c>
      <x:c r="J414" s="45" t="n">
        <x:f>0</x:f>
        <x:v>0</x:v>
      </x:c>
      <x:c r="K414" s="45" t="n">
        <x:f>0</x:f>
        <x:v>0</x:v>
      </x:c>
      <x:c r="L414" s="45" t="n">
        <x:f>F414+I414</x:f>
        <x:v>1</x:v>
      </x:c>
      <x:c r="M414" s="45" t="n">
        <x:f>G414+J414</x:f>
        <x:v>2</x:v>
      </x:c>
      <x:c r="N414" s="45" t="n">
        <x:f>H414+K414</x:f>
        <x:v>1</x:v>
      </x:c>
      <x:c r="O414" s="45" t="n">
        <x:f>SUM(F414:H414)</x:f>
        <x:v>4</x:v>
      </x:c>
      <x:c r="P414" s="42" t="n">
        <x:f>IF(AND(F414&lt;=F446,F414&lt;=F398,F414&lt;=F430,G414&lt;=G402,G414&lt;=G410,G414&lt;=G406,H414&lt;=H417,H414&lt;=H416,H414&lt;=H415),1,0)</x:f>
        <x:v>0</x:v>
      </x:c>
      <x:c r="Q414" s="42" t="n">
        <x:f>IF(AND(L414&lt;=L446,L414&lt;=L398,L414&lt;=L430,M414&lt;=M402,M414&lt;=M410,M414&lt;=M406,N414&lt;=N417,N414&lt;=N416,N414&lt;=N415),1,0)</x:f>
        <x:v>0</x:v>
      </x:c>
      <x:c r="R414" s="42" t="n">
        <x:v>0</x:v>
      </x:c>
      <x:c r="S414" s="42" t="n">
        <x:v>0</x:v>
      </x:c>
    </x:row>
    <x:row r="415">
      <x:c r="A415" t="n">
        <x:v>7</x:v>
      </x:c>
      <x:c r="B415" t="n">
        <x:v>1</x:v>
      </x:c>
      <x:c r="C415" t="n">
        <x:v>0</x:v>
      </x:c>
      <x:c r="D415" t="n">
        <x:v>1</x:v>
      </x:c>
      <x:c r="E415" t="str">
        <x:v>lvl</x:v>
      </x:c>
      <x:c r="F415" s="45" t="n">
        <x:f>(1/2)*$C415+(3/2)*$D415</x:f>
        <x:v>1.5</x:v>
      </x:c>
      <x:c r="G415" s="45" t="n">
        <x:f>2*$B415</x:f>
        <x:v>2</x:v>
      </x:c>
      <x:c r="H415" s="45" t="n">
        <x:f>(1/2)*$C415+(3/2)*$D415</x:f>
        <x:v>1.5</x:v>
      </x:c>
      <x:c r="I415" s="45" t="n">
        <x:f>(1/2)*($C415+$D415)</x:f>
        <x:v>0.5</x:v>
      </x:c>
      <x:c r="J415" s="45" t="n">
        <x:f>0</x:f>
        <x:v>0</x:v>
      </x:c>
      <x:c r="K415" s="45" t="n">
        <x:f>(1/2)*($C415+$D415)</x:f>
        <x:v>0.5</x:v>
      </x:c>
      <x:c r="L415" s="45" t="n">
        <x:f>F415+I415</x:f>
        <x:v>2</x:v>
      </x:c>
      <x:c r="M415" s="45" t="n">
        <x:f>G415+J415</x:f>
        <x:v>2</x:v>
      </x:c>
      <x:c r="N415" s="45" t="n">
        <x:f>H415+K415</x:f>
        <x:v>2</x:v>
      </x:c>
      <x:c r="O415" s="45" t="n">
        <x:f>SUM(F415:H415)</x:f>
        <x:v>5</x:v>
      </x:c>
      <x:c r="P415" s="42" t="n">
        <x:f>IF(AND(F415&lt;=F447,F415&lt;=F399,F415&lt;=F431,G415&lt;=G403,G415&lt;=G411,G415&lt;=G407,H415&lt;=H417,H415&lt;=H414,H415&lt;=H416),1,0)</x:f>
        <x:v>0</x:v>
      </x:c>
      <x:c r="Q415" s="42" t="n">
        <x:f>IF(AND(L415&lt;=L447,L415&lt;=L399,L415&lt;=L431,M415&lt;=M403,M415&lt;=M411,M415&lt;=M407,N415&lt;=N417,N415&lt;=N414,N415&lt;=N416),1,0)</x:f>
        <x:v>0</x:v>
      </x:c>
      <x:c r="R415" s="42" t="n">
        <x:v>0</x:v>
      </x:c>
      <x:c r="S415" s="42" t="n">
        <x:v>0</x:v>
      </x:c>
    </x:row>
    <x:row r="416">
      <x:c r="A416" t="n">
        <x:v>7</x:v>
      </x:c>
      <x:c r="B416" t="n">
        <x:v>1</x:v>
      </x:c>
      <x:c r="C416" t="n">
        <x:v>0</x:v>
      </x:c>
      <x:c r="D416" t="n">
        <x:v>1</x:v>
      </x:c>
      <x:c r="E416" t="str">
        <x:v>lvo</x:v>
      </x:c>
      <x:c r="F416" s="45" t="n">
        <x:f>1*$D416</x:f>
        <x:v>1</x:v>
      </x:c>
      <x:c r="G416" s="45" t="n">
        <x:f>2*$B416</x:f>
        <x:v>2</x:v>
      </x:c>
      <x:c r="H416" s="45" t="n">
        <x:f>0</x:f>
        <x:v>0</x:v>
      </x:c>
      <x:c r="I416" s="45" t="n">
        <x:f>0</x:f>
        <x:v>0</x:v>
      </x:c>
      <x:c r="J416" s="45" t="n">
        <x:f>0</x:f>
        <x:v>0</x:v>
      </x:c>
      <x:c r="K416" s="45" t="n">
        <x:f>0</x:f>
        <x:v>0</x:v>
      </x:c>
      <x:c r="L416" s="45" t="n">
        <x:f>F416+I416</x:f>
        <x:v>1</x:v>
      </x:c>
      <x:c r="M416" s="45" t="n">
        <x:f>G416+J416</x:f>
        <x:v>2</x:v>
      </x:c>
      <x:c r="N416" s="45" t="n">
        <x:f>H416+K416</x:f>
        <x:v>0</x:v>
      </x:c>
      <x:c r="O416" s="45" t="n">
        <x:f>SUM(F416:H416)</x:f>
        <x:v>3</x:v>
      </x:c>
      <x:c r="P416" s="42" t="n">
        <x:f>IF(AND(F416&lt;=F448,F416&lt;=F400,F416&lt;=F432,G416&lt;=G404,G416&lt;=G412,G416&lt;=G408,H416&lt;=H417,H416&lt;=H414,H416&lt;=H415),1,0)</x:f>
        <x:v>0</x:v>
      </x:c>
      <x:c r="Q416" s="42" t="n">
        <x:f>IF(AND(L416&lt;=L448,L416&lt;=L400,L416&lt;=L432,M416&lt;=M404,M416&lt;=M412,M416&lt;=M408,N416&lt;=N417,N416&lt;=N414,N416&lt;=N415),1,0)</x:f>
        <x:v>0</x:v>
      </x:c>
      <x:c r="R416" s="42" t="n">
        <x:v>0</x:v>
      </x:c>
      <x:c r="S416" s="42" t="n">
        <x:v>0</x:v>
      </x:c>
    </x:row>
    <x:row r="417">
      <x:c r="A417" t="n">
        <x:v>7</x:v>
      </x:c>
      <x:c r="B417" t="n">
        <x:v>1</x:v>
      </x:c>
      <x:c r="C417" t="n">
        <x:v>0</x:v>
      </x:c>
      <x:c r="D417" t="n">
        <x:v>1</x:v>
      </x:c>
      <x:c r="E417" t="str">
        <x:v>lvv</x:v>
      </x:c>
      <x:c r="F417" s="45" t="n">
        <x:f>1*$D417</x:f>
        <x:v>1</x:v>
      </x:c>
      <x:c r="G417" s="45" t="n">
        <x:f>(3/2)*$B417+(1/2)*$C417</x:f>
        <x:v>1.5</x:v>
      </x:c>
      <x:c r="H417" s="45" t="n">
        <x:f>(3/2)*$B417+(1/2)*$C417</x:f>
        <x:v>1.5</x:v>
      </x:c>
      <x:c r="I417" s="45" t="n">
        <x:f>0</x:f>
        <x:v>0</x:v>
      </x:c>
      <x:c r="J417" s="45" t="n">
        <x:f>MAX((1/2)*($C417-$B417),0)</x:f>
        <x:v>0</x:v>
      </x:c>
      <x:c r="K417" s="45" t="n">
        <x:f>MAX((1/2)*($C417-$B417),0)</x:f>
        <x:v>0</x:v>
      </x:c>
      <x:c r="L417" s="45" t="n">
        <x:f>F417+I417</x:f>
        <x:v>1</x:v>
      </x:c>
      <x:c r="M417" s="45" t="n">
        <x:f>G417+J417</x:f>
        <x:v>1.5</x:v>
      </x:c>
      <x:c r="N417" s="45" t="n">
        <x:f>H417+K417</x:f>
        <x:v>1.5</x:v>
      </x:c>
      <x:c r="O417" s="45" t="n">
        <x:f>SUM(F417:H417)</x:f>
        <x:v>4</x:v>
      </x:c>
      <x:c r="P417" s="42" t="n">
        <x:f>IF(AND(F417&lt;=F449,F417&lt;=F401,F417&lt;=F433,G417&lt;=G405,G417&lt;=G413,G417&lt;=G409,H417&lt;=H414,H417&lt;=H416,H417&lt;=H415),1,0)</x:f>
        <x:v>0</x:v>
      </x:c>
      <x:c r="Q417" s="42" t="n">
        <x:f>IF(AND(L417&lt;=L449,L417&lt;=L401,L417&lt;=L433,M417&lt;=M405,M417&lt;=M413,M417&lt;=M409,N417&lt;=N414,N417&lt;=N416,N417&lt;=N415),1,0)</x:f>
        <x:v>0</x:v>
      </x:c>
      <x:c r="R417" s="42" t="n">
        <x:v>0</x:v>
      </x:c>
      <x:c r="S417" s="42" t="n">
        <x:v>0</x:v>
      </x:c>
    </x:row>
    <x:row r="418">
      <x:c r="A418" t="n">
        <x:v>7</x:v>
      </x:c>
      <x:c r="B418" t="n">
        <x:v>1</x:v>
      </x:c>
      <x:c r="C418" t="n">
        <x:v>0</x:v>
      </x:c>
      <x:c r="D418" t="n">
        <x:v>1</x:v>
      </x:c>
      <x:c r="E418" t="str">
        <x:v>oee</x:v>
      </x:c>
      <x:c r="F418" s="45" t="n">
        <x:f>1*$C418+1*$D418</x:f>
        <x:v>1</x:v>
      </x:c>
      <x:c r="G418" s="45" t="n">
        <x:f>(1/2)*$B418+(1/2)*$C418</x:f>
        <x:v>0.5</x:v>
      </x:c>
      <x:c r="H418" s="45" t="n">
        <x:f>(1/2)*$B418+(1/2)*$C418</x:f>
        <x:v>0.5</x:v>
      </x:c>
      <x:c r="I418" s="45" t="n">
        <x:f>0</x:f>
        <x:v>0</x:v>
      </x:c>
      <x:c r="J418" s="45" t="n">
        <x:f>MAX((3/2)*$C418+$D418-(1/2)*$B418,0)</x:f>
        <x:v>0.5</x:v>
      </x:c>
      <x:c r="K418" s="45" t="n">
        <x:f>MAX((3/2)*$C418+$D418-(1/2)*$B418,0)</x:f>
        <x:v>0.5</x:v>
      </x:c>
      <x:c r="L418" s="45" t="n">
        <x:f>F418+I418</x:f>
        <x:v>1</x:v>
      </x:c>
      <x:c r="M418" s="45" t="n">
        <x:f>G418+J418</x:f>
        <x:v>1</x:v>
      </x:c>
      <x:c r="N418" s="45" t="n">
        <x:f>H418+K418</x:f>
        <x:v>1</x:v>
      </x:c>
      <x:c r="O418" s="45" t="n">
        <x:f>SUM(F418:H418)</x:f>
        <x:v>2</x:v>
      </x:c>
      <x:c r="P418" s="42" t="n">
        <x:f>IF(AND(F418&lt;=F434,F418&lt;=F386,F418&lt;=F402,G418&lt;=G430,G418&lt;=G426,G418&lt;=G422,H418&lt;=H421,H418&lt;=H420,H418&lt;=H419),1,0)</x:f>
        <x:v>0</x:v>
      </x:c>
      <x:c r="Q418" s="42" t="n">
        <x:f>IF(AND(L418&lt;=L434,L418&lt;=L386,L418&lt;=L402,M418&lt;=M430,M418&lt;=M426,M418&lt;=M422,N418&lt;=N421,N418&lt;=N420,N418&lt;=N419),1,0)</x:f>
        <x:v>1</x:v>
      </x:c>
      <x:c r="R418" s="42" t="n">
        <x:v>0</x:v>
      </x:c>
      <x:c r="S418" s="42" t="n">
        <x:v>1</x:v>
      </x:c>
    </x:row>
    <x:row r="419">
      <x:c r="A419" t="n">
        <x:v>7</x:v>
      </x:c>
      <x:c r="B419" t="n">
        <x:v>1</x:v>
      </x:c>
      <x:c r="C419" t="n">
        <x:v>0</x:v>
      </x:c>
      <x:c r="D419" t="n">
        <x:v>1</x:v>
      </x:c>
      <x:c r="E419" t="str">
        <x:v>oel</x:v>
      </x:c>
      <x:c r="F419" s="45" t="n">
        <x:f>0</x:f>
        <x:v>0</x:v>
      </x:c>
      <x:c r="G419" s="45" t="n">
        <x:f>1*$B419</x:f>
        <x:v>1</x:v>
      </x:c>
      <x:c r="H419" s="45" t="n">
        <x:f>1*$D419</x:f>
        <x:v>1</x:v>
      </x:c>
      <x:c r="I419" s="45" t="n">
        <x:f>0</x:f>
        <x:v>0</x:v>
      </x:c>
      <x:c r="J419" s="45" t="n">
        <x:f>0</x:f>
        <x:v>0</x:v>
      </x:c>
      <x:c r="K419" s="45" t="n">
        <x:f>0</x:f>
        <x:v>0</x:v>
      </x:c>
      <x:c r="L419" s="45" t="n">
        <x:f>F419+I419</x:f>
        <x:v>0</x:v>
      </x:c>
      <x:c r="M419" s="45" t="n">
        <x:f>G419+J419</x:f>
        <x:v>1</x:v>
      </x:c>
      <x:c r="N419" s="45" t="n">
        <x:f>H419+K419</x:f>
        <x:v>1</x:v>
      </x:c>
      <x:c r="O419" s="45" t="n">
        <x:f>SUM(F419:H419)</x:f>
        <x:v>2</x:v>
      </x:c>
      <x:c r="P419" s="42" t="n">
        <x:f>IF(AND(F419&lt;=F435,F419&lt;=F387,F419&lt;=F403,G419&lt;=G431,G419&lt;=G427,G419&lt;=G423,H419&lt;=H421,H419&lt;=H418,H419&lt;=H420),1,0)</x:f>
        <x:v>0</x:v>
      </x:c>
      <x:c r="Q419" s="42" t="n">
        <x:f>IF(AND(L419&lt;=L435,L419&lt;=L387,L419&lt;=L403,M419&lt;=M431,M419&lt;=M427,M419&lt;=M423,N419&lt;=N421,N419&lt;=N418,N419&lt;=N420),1,0)</x:f>
        <x:v>1</x:v>
      </x:c>
      <x:c r="R419" s="42" t="n">
        <x:v>0</x:v>
      </x:c>
      <x:c r="S419" s="42" t="n">
        <x:v>1</x:v>
      </x:c>
    </x:row>
    <x:row r="420">
      <x:c r="A420" t="n">
        <x:v>7</x:v>
      </x:c>
      <x:c r="B420" t="n">
        <x:v>1</x:v>
      </x:c>
      <x:c r="C420" t="n">
        <x:v>0</x:v>
      </x:c>
      <x:c r="D420" t="n">
        <x:v>1</x:v>
      </x:c>
      <x:c r="E420" t="str">
        <x:v>oeo</x:v>
      </x:c>
      <x:c r="F420" s="45" t="n">
        <x:f>(1/2)*$C420+(1/2)*$D420</x:f>
        <x:v>0.5</x:v>
      </x:c>
      <x:c r="G420" s="45" t="n">
        <x:f>1*$B420</x:f>
        <x:v>1</x:v>
      </x:c>
      <x:c r="H420" s="45" t="n">
        <x:f>(1/2)*$C420+(1/2)*$D420</x:f>
        <x:v>0.5</x:v>
      </x:c>
      <x:c r="I420" s="45" t="n">
        <x:f>(1/2)*($C420+$D420)</x:f>
        <x:v>0.5</x:v>
      </x:c>
      <x:c r="J420" s="45" t="n">
        <x:f>0</x:f>
        <x:v>0</x:v>
      </x:c>
      <x:c r="K420" s="45" t="n">
        <x:f>(1/2)*($C420+$D420)</x:f>
        <x:v>0.5</x:v>
      </x:c>
      <x:c r="L420" s="45" t="n">
        <x:f>F420+I420</x:f>
        <x:v>1</x:v>
      </x:c>
      <x:c r="M420" s="45" t="n">
        <x:f>G420+J420</x:f>
        <x:v>1</x:v>
      </x:c>
      <x:c r="N420" s="45" t="n">
        <x:f>H420+K420</x:f>
        <x:v>1</x:v>
      </x:c>
      <x:c r="O420" s="45" t="n">
        <x:f>SUM(F420:H420)</x:f>
        <x:v>2</x:v>
      </x:c>
      <x:c r="P420" s="42" t="n">
        <x:f>IF(AND(F420&lt;=F436,F420&lt;=F388,F420&lt;=F404,G420&lt;=G432,G420&lt;=G428,G420&lt;=G424,H420&lt;=H421,H420&lt;=H418,H420&lt;=H419),1,0)</x:f>
        <x:v>1</x:v>
      </x:c>
      <x:c r="Q420" s="42" t="n">
        <x:f>IF(AND(L420&lt;=L436,L420&lt;=L388,L420&lt;=L404,M420&lt;=M432,M420&lt;=M428,M420&lt;=M424,N420&lt;=N421,N420&lt;=N418,N420&lt;=N419),1,0)</x:f>
        <x:v>1</x:v>
      </x:c>
      <x:c r="R420" s="42" t="n">
        <x:v>1</x:v>
      </x:c>
      <x:c r="S420" s="42" t="n">
        <x:v>0</x:v>
      </x:c>
    </x:row>
    <x:row r="421">
      <x:c r="A421" t="n">
        <x:v>7</x:v>
      </x:c>
      <x:c r="B421" t="n">
        <x:v>1</x:v>
      </x:c>
      <x:c r="C421" t="n">
        <x:v>0</x:v>
      </x:c>
      <x:c r="D421" t="n">
        <x:v>1</x:v>
      </x:c>
      <x:c r="E421" t="str">
        <x:v>oev</x:v>
      </x:c>
      <x:c r="F421" s="45" t="n">
        <x:f>0</x:f>
        <x:v>0</x:v>
      </x:c>
      <x:c r="G421" s="45" t="n">
        <x:f>1*$B421</x:f>
        <x:v>1</x:v>
      </x:c>
      <x:c r="H421" s="45" t="n">
        <x:f>2*$B421</x:f>
        <x:v>2</x:v>
      </x:c>
      <x:c r="I421" s="45" t="n">
        <x:f>0</x:f>
        <x:v>0</x:v>
      </x:c>
      <x:c r="J421" s="45" t="n">
        <x:f>0</x:f>
        <x:v>0</x:v>
      </x:c>
      <x:c r="K421" s="45" t="n">
        <x:f>0</x:f>
        <x:v>0</x:v>
      </x:c>
      <x:c r="L421" s="45" t="n">
        <x:f>F421+I421</x:f>
        <x:v>0</x:v>
      </x:c>
      <x:c r="M421" s="45" t="n">
        <x:f>G421+J421</x:f>
        <x:v>1</x:v>
      </x:c>
      <x:c r="N421" s="45" t="n">
        <x:f>H421+K421</x:f>
        <x:v>2</x:v>
      </x:c>
      <x:c r="O421" s="45" t="n">
        <x:f>SUM(F421:H421)</x:f>
        <x:v>3</x:v>
      </x:c>
      <x:c r="P421" s="42" t="n">
        <x:f>IF(AND(F421&lt;=F437,F421&lt;=F389,F421&lt;=F405,G421&lt;=G433,G421&lt;=G429,G421&lt;=G425,H421&lt;=H418,H421&lt;=H420,H421&lt;=H419),1,0)</x:f>
        <x:v>0</x:v>
      </x:c>
      <x:c r="Q421" s="42" t="n">
        <x:f>IF(AND(L421&lt;=L437,L421&lt;=L389,L421&lt;=L405,M421&lt;=M433,M421&lt;=M429,M421&lt;=M425,N421&lt;=N418,N421&lt;=N420,N421&lt;=N419),1,0)</x:f>
        <x:v>0</x:v>
      </x:c>
      <x:c r="R421" s="42" t="n">
        <x:v>0</x:v>
      </x:c>
      <x:c r="S421" s="42" t="n">
        <x:v>0</x:v>
      </x:c>
    </x:row>
    <x:row r="422">
      <x:c r="A422" t="n">
        <x:v>7</x:v>
      </x:c>
      <x:c r="B422" t="n">
        <x:v>1</x:v>
      </x:c>
      <x:c r="C422" t="n">
        <x:v>0</x:v>
      </x:c>
      <x:c r="D422" t="n">
        <x:v>1</x:v>
      </x:c>
      <x:c r="E422" t="str">
        <x:v>ole</x:v>
      </x:c>
      <x:c r="F422" s="45" t="n">
        <x:f>0</x:f>
        <x:v>0</x:v>
      </x:c>
      <x:c r="G422" s="45" t="n">
        <x:f>1*$D422</x:f>
        <x:v>1</x:v>
      </x:c>
      <x:c r="H422" s="45" t="n">
        <x:f>1*$B422</x:f>
        <x:v>1</x:v>
      </x:c>
      <x:c r="I422" s="45" t="n">
        <x:f>0</x:f>
        <x:v>0</x:v>
      </x:c>
      <x:c r="J422" s="45" t="n">
        <x:f>0</x:f>
        <x:v>0</x:v>
      </x:c>
      <x:c r="K422" s="45" t="n">
        <x:f>0</x:f>
        <x:v>0</x:v>
      </x:c>
      <x:c r="L422" s="45" t="n">
        <x:f>F422+I422</x:f>
        <x:v>0</x:v>
      </x:c>
      <x:c r="M422" s="45" t="n">
        <x:f>G422+J422</x:f>
        <x:v>1</x:v>
      </x:c>
      <x:c r="N422" s="45" t="n">
        <x:f>H422+K422</x:f>
        <x:v>1</x:v>
      </x:c>
      <x:c r="O422" s="45" t="n">
        <x:f>SUM(F422:H422)</x:f>
        <x:v>2</x:v>
      </x:c>
      <x:c r="P422" s="42" t="n">
        <x:f>IF(AND(F422&lt;=F438,F422&lt;=F390,F422&lt;=F406,G422&lt;=G430,G422&lt;=G418,G422&lt;=G426,H422&lt;=H425,H422&lt;=H424,H422&lt;=H423),1,0)</x:f>
        <x:v>0</x:v>
      </x:c>
      <x:c r="Q422" s="42" t="n">
        <x:f>IF(AND(L422&lt;=L438,L422&lt;=L390,L422&lt;=L406,M422&lt;=M430,M422&lt;=M418,M422&lt;=M426,N422&lt;=N425,N422&lt;=N424,N422&lt;=N423),1,0)</x:f>
        <x:v>1</x:v>
      </x:c>
      <x:c r="R422" s="42" t="n">
        <x:v>0</x:v>
      </x:c>
      <x:c r="S422" s="42" t="n">
        <x:v>1</x:v>
      </x:c>
    </x:row>
    <x:row r="423">
      <x:c r="A423" t="n">
        <x:v>7</x:v>
      </x:c>
      <x:c r="B423" t="n">
        <x:v>1</x:v>
      </x:c>
      <x:c r="C423" t="n">
        <x:v>0</x:v>
      </x:c>
      <x:c r="D423" t="n">
        <x:v>1</x:v>
      </x:c>
      <x:c r="E423" t="str">
        <x:v>oll</x:v>
      </x:c>
      <x:c r="F423" s="45" t="n">
        <x:f>0</x:f>
        <x:v>0</x:v>
      </x:c>
      <x:c r="G423" s="45" t="n">
        <x:f>(1/2)*$C423+(3/2)*$D423</x:f>
        <x:v>1.5</x:v>
      </x:c>
      <x:c r="H423" s="45" t="n">
        <x:f>(1/2)*$C423+(3/2)*$D423</x:f>
        <x:v>1.5</x:v>
      </x:c>
      <x:c r="I423" s="45" t="n">
        <x:f>0</x:f>
        <x:v>0</x:v>
      </x:c>
      <x:c r="J423" s="45" t="n">
        <x:f>(1/2)*($C423+$D423)</x:f>
        <x:v>0.5</x:v>
      </x:c>
      <x:c r="K423" s="45" t="n">
        <x:f>(1/2)*($C423+$D423)</x:f>
        <x:v>0.5</x:v>
      </x:c>
      <x:c r="L423" s="45" t="n">
        <x:f>F423+I423</x:f>
        <x:v>0</x:v>
      </x:c>
      <x:c r="M423" s="45" t="n">
        <x:f>G423+J423</x:f>
        <x:v>2</x:v>
      </x:c>
      <x:c r="N423" s="45" t="n">
        <x:f>H423+K423</x:f>
        <x:v>2</x:v>
      </x:c>
      <x:c r="O423" s="45" t="n">
        <x:f>SUM(F423:H423)</x:f>
        <x:v>3</x:v>
      </x:c>
      <x:c r="P423" s="42" t="n">
        <x:f>IF(AND(F423&lt;=F439,F423&lt;=F391,F423&lt;=F407,G423&lt;=G431,G423&lt;=G419,G423&lt;=G427,H423&lt;=H425,H423&lt;=H422,H423&lt;=H424),1,0)</x:f>
        <x:v>0</x:v>
      </x:c>
      <x:c r="Q423" s="42" t="n">
        <x:f>IF(AND(L423&lt;=L439,L423&lt;=L391,L423&lt;=L407,M423&lt;=M431,M423&lt;=M419,M423&lt;=M427,N423&lt;=N425,N423&lt;=N422,N423&lt;=N424),1,0)</x:f>
        <x:v>0</x:v>
      </x:c>
      <x:c r="R423" s="42" t="n">
        <x:v>0</x:v>
      </x:c>
      <x:c r="S423" s="42" t="n">
        <x:v>0</x:v>
      </x:c>
    </x:row>
    <x:row r="424">
      <x:c r="A424" t="n">
        <x:v>7</x:v>
      </x:c>
      <x:c r="B424" t="n">
        <x:v>1</x:v>
      </x:c>
      <x:c r="C424" t="n">
        <x:v>0</x:v>
      </x:c>
      <x:c r="D424" t="n">
        <x:v>1</x:v>
      </x:c>
      <x:c r="E424" t="str">
        <x:v>olo</x:v>
      </x:c>
      <x:c r="F424" s="45" t="n">
        <x:f>(1/2)*$C424+(1/2)*$D424</x:f>
        <x:v>0.5</x:v>
      </x:c>
      <x:c r="G424" s="45" t="n">
        <x:f>1*$C424+2*$D424</x:f>
        <x:v>2</x:v>
      </x:c>
      <x:c r="H424" s="45" t="n">
        <x:f>(1/2)*$C424+(1/2)*$D424</x:f>
        <x:v>0.5</x:v>
      </x:c>
      <x:c r="I424" s="45" t="n">
        <x:f>(3/2)*($C424+$D424)</x:f>
        <x:v>1.5</x:v>
      </x:c>
      <x:c r="J424" s="45" t="n">
        <x:f>0</x:f>
        <x:v>0</x:v>
      </x:c>
      <x:c r="K424" s="45" t="n">
        <x:f>(3/2)*($C424+$D424)</x:f>
        <x:v>1.5</x:v>
      </x:c>
      <x:c r="L424" s="45" t="n">
        <x:f>F424+I424</x:f>
        <x:v>2</x:v>
      </x:c>
      <x:c r="M424" s="45" t="n">
        <x:f>G424+J424</x:f>
        <x:v>2</x:v>
      </x:c>
      <x:c r="N424" s="45" t="n">
        <x:f>H424+K424</x:f>
        <x:v>2</x:v>
      </x:c>
      <x:c r="O424" s="45" t="n">
        <x:f>SUM(F424:H424)</x:f>
        <x:v>3</x:v>
      </x:c>
      <x:c r="P424" s="42" t="n">
        <x:f>IF(AND(F424&lt;=F440,F424&lt;=F392,F424&lt;=F408,G424&lt;=G432,G424&lt;=G420,G424&lt;=G428,H424&lt;=H425,H424&lt;=H422,H424&lt;=H423),1,0)</x:f>
        <x:v>0</x:v>
      </x:c>
      <x:c r="Q424" s="42" t="n">
        <x:f>IF(AND(L424&lt;=L440,L424&lt;=L392,L424&lt;=L408,M424&lt;=M432,M424&lt;=M420,M424&lt;=M428,N424&lt;=N425,N424&lt;=N422,N424&lt;=N423),1,0)</x:f>
        <x:v>0</x:v>
      </x:c>
      <x:c r="R424" s="42" t="n">
        <x:v>0</x:v>
      </x:c>
      <x:c r="S424" s="42" t="n">
        <x:v>0</x:v>
      </x:c>
    </x:row>
    <x:row r="425">
      <x:c r="A425" t="n">
        <x:v>7</x:v>
      </x:c>
      <x:c r="B425" t="n">
        <x:v>1</x:v>
      </x:c>
      <x:c r="C425" t="n">
        <x:v>0</x:v>
      </x:c>
      <x:c r="D425" t="n">
        <x:v>1</x:v>
      </x:c>
      <x:c r="E425" t="str">
        <x:v>olv</x:v>
      </x:c>
      <x:c r="F425" s="45" t="n">
        <x:f>0</x:f>
        <x:v>0</x:v>
      </x:c>
      <x:c r="G425" s="45" t="n">
        <x:f>1*$D425</x:f>
        <x:v>1</x:v>
      </x:c>
      <x:c r="H425" s="45" t="n">
        <x:f>2*$B425</x:f>
        <x:v>2</x:v>
      </x:c>
      <x:c r="I425" s="45" t="n">
        <x:f>0</x:f>
        <x:v>0</x:v>
      </x:c>
      <x:c r="J425" s="45" t="n">
        <x:f>0</x:f>
        <x:v>0</x:v>
      </x:c>
      <x:c r="K425" s="45" t="n">
        <x:f>0</x:f>
        <x:v>0</x:v>
      </x:c>
      <x:c r="L425" s="45" t="n">
        <x:f>F425+I425</x:f>
        <x:v>0</x:v>
      </x:c>
      <x:c r="M425" s="45" t="n">
        <x:f>G425+J425</x:f>
        <x:v>1</x:v>
      </x:c>
      <x:c r="N425" s="45" t="n">
        <x:f>H425+K425</x:f>
        <x:v>2</x:v>
      </x:c>
      <x:c r="O425" s="45" t="n">
        <x:f>SUM(F425:H425)</x:f>
        <x:v>3</x:v>
      </x:c>
      <x:c r="P425" s="42" t="n">
        <x:f>IF(AND(F425&lt;=F441,F425&lt;=F393,F425&lt;=F409,G425&lt;=G433,G425&lt;=G421,G425&lt;=G429,H425&lt;=H422,H425&lt;=H424,H425&lt;=H423),1,0)</x:f>
        <x:v>0</x:v>
      </x:c>
      <x:c r="Q425" s="42" t="n">
        <x:f>IF(AND(L425&lt;=L441,L425&lt;=L393,L425&lt;=L409,M425&lt;=M433,M425&lt;=M421,M425&lt;=M429,N425&lt;=N422,N425&lt;=N424,N425&lt;=N423),1,0)</x:f>
        <x:v>0</x:v>
      </x:c>
      <x:c r="R425" s="42" t="n">
        <x:v>0</x:v>
      </x:c>
      <x:c r="S425" s="42" t="n">
        <x:v>0</x:v>
      </x:c>
    </x:row>
    <x:row r="426">
      <x:c r="A426" t="n">
        <x:v>7</x:v>
      </x:c>
      <x:c r="B426" t="n">
        <x:v>1</x:v>
      </x:c>
      <x:c r="C426" t="n">
        <x:v>0</x:v>
      </x:c>
      <x:c r="D426" t="n">
        <x:v>1</x:v>
      </x:c>
      <x:c r="E426" t="str">
        <x:v>ooe</x:v>
      </x:c>
      <x:c r="F426" s="45" t="n">
        <x:f>(1/2)*$C426+(1/2)*$D426</x:f>
        <x:v>0.5</x:v>
      </x:c>
      <x:c r="G426" s="45" t="n">
        <x:f>(1/2)*$C426+(1/2)*$D426</x:f>
        <x:v>0.5</x:v>
      </x:c>
      <x:c r="H426" s="45" t="n">
        <x:f>1*$B426</x:f>
        <x:v>1</x:v>
      </x:c>
      <x:c r="I426" s="45" t="n">
        <x:f>(1/2)*($C426+$D426)</x:f>
        <x:v>0.5</x:v>
      </x:c>
      <x:c r="J426" s="45" t="n">
        <x:f>(1/2)*($C426+$D426)</x:f>
        <x:v>0.5</x:v>
      </x:c>
      <x:c r="K426" s="45" t="n">
        <x:f>0</x:f>
        <x:v>0</x:v>
      </x:c>
      <x:c r="L426" s="45" t="n">
        <x:f>F426+I426</x:f>
        <x:v>1</x:v>
      </x:c>
      <x:c r="M426" s="45" t="n">
        <x:f>G426+J426</x:f>
        <x:v>1</x:v>
      </x:c>
      <x:c r="N426" s="45" t="n">
        <x:f>H426+K426</x:f>
        <x:v>1</x:v>
      </x:c>
      <x:c r="O426" s="45" t="n">
        <x:f>SUM(F426:H426)</x:f>
        <x:v>2</x:v>
      </x:c>
      <x:c r="P426" s="42" t="n">
        <x:f>IF(AND(F426&lt;=F442,F426&lt;=F394,F426&lt;=F410,G426&lt;=G430,G426&lt;=G418,G426&lt;=G422,H426&lt;=H429,H426&lt;=H428,H426&lt;=H427),1,0)</x:f>
        <x:v>1</x:v>
      </x:c>
      <x:c r="Q426" s="42" t="n">
        <x:f>IF(AND(L426&lt;=L442,L426&lt;=L394,L426&lt;=L410,M426&lt;=M430,M426&lt;=M418,M426&lt;=M422,N426&lt;=N429,N426&lt;=N428,N426&lt;=N427),1,0)</x:f>
        <x:v>1</x:v>
      </x:c>
      <x:c r="R426" s="42" t="n">
        <x:v>1</x:v>
      </x:c>
      <x:c r="S426" s="42" t="n">
        <x:v>0</x:v>
      </x:c>
    </x:row>
    <x:row r="427">
      <x:c r="A427" t="n">
        <x:v>7</x:v>
      </x:c>
      <x:c r="B427" t="n">
        <x:v>1</x:v>
      </x:c>
      <x:c r="C427" t="n">
        <x:v>0</x:v>
      </x:c>
      <x:c r="D427" t="n">
        <x:v>1</x:v>
      </x:c>
      <x:c r="E427" t="str">
        <x:v>ool</x:v>
      </x:c>
      <x:c r="F427" s="45" t="n">
        <x:f>(1/2)*$C427+(1/2)*$D427</x:f>
        <x:v>0.5</x:v>
      </x:c>
      <x:c r="G427" s="45" t="n">
        <x:f>(1/2)*$C427+(1/2)*$D427</x:f>
        <x:v>0.5</x:v>
      </x:c>
      <x:c r="H427" s="45" t="n">
        <x:f>1*$C427+2*$D427</x:f>
        <x:v>2</x:v>
      </x:c>
      <x:c r="I427" s="45" t="n">
        <x:f>(3/2)*($C427+$D427)</x:f>
        <x:v>1.5</x:v>
      </x:c>
      <x:c r="J427" s="45" t="n">
        <x:f>(3/2)*($C427+$D427)</x:f>
        <x:v>1.5</x:v>
      </x:c>
      <x:c r="K427" s="45" t="n">
        <x:f>0</x:f>
        <x:v>0</x:v>
      </x:c>
      <x:c r="L427" s="45" t="n">
        <x:f>F427+I427</x:f>
        <x:v>2</x:v>
      </x:c>
      <x:c r="M427" s="45" t="n">
        <x:f>G427+J427</x:f>
        <x:v>2</x:v>
      </x:c>
      <x:c r="N427" s="45" t="n">
        <x:f>H427+K427</x:f>
        <x:v>2</x:v>
      </x:c>
      <x:c r="O427" s="45" t="n">
        <x:f>SUM(F427:H427)</x:f>
        <x:v>3</x:v>
      </x:c>
      <x:c r="P427" s="42" t="n">
        <x:f>IF(AND(F427&lt;=F443,F427&lt;=F395,F427&lt;=F411,G427&lt;=G431,G427&lt;=G419,G427&lt;=G423,H427&lt;=H429,H427&lt;=H426,H427&lt;=H428),1,0)</x:f>
        <x:v>0</x:v>
      </x:c>
      <x:c r="Q427" s="42" t="n">
        <x:f>IF(AND(L427&lt;=L443,L427&lt;=L395,L427&lt;=L411,M427&lt;=M431,M427&lt;=M419,M427&lt;=M423,N427&lt;=N429,N427&lt;=N426,N427&lt;=N428),1,0)</x:f>
        <x:v>0</x:v>
      </x:c>
      <x:c r="R427" s="42" t="n">
        <x:v>0</x:v>
      </x:c>
      <x:c r="S427" s="42" t="n">
        <x:v>0</x:v>
      </x:c>
    </x:row>
    <x:row r="428">
      <x:c r="A428" t="n">
        <x:v>7</x:v>
      </x:c>
      <x:c r="B428" t="n">
        <x:v>1</x:v>
      </x:c>
      <x:c r="C428" t="n">
        <x:v>0</x:v>
      </x:c>
      <x:c r="D428" t="n">
        <x:v>1</x:v>
      </x:c>
      <x:c r="E428" t="str">
        <x:v>ooo</x:v>
      </x:c>
      <x:c r="F428" s="45" t="n">
        <x:f>1*$C428+1*$D428</x:f>
        <x:v>1</x:v>
      </x:c>
      <x:c r="G428" s="45" t="n">
        <x:f>1*$C428+1*$D428</x:f>
        <x:v>1</x:v>
      </x:c>
      <x:c r="H428" s="45" t="n">
        <x:f>1*$C428+1*$D428</x:f>
        <x:v>1</x:v>
      </x:c>
      <x:c r="I428" s="45" t="n">
        <x:f>$C428+$D428</x:f>
        <x:v>1</x:v>
      </x:c>
      <x:c r="J428" s="45" t="n">
        <x:f>$C428+$D428</x:f>
        <x:v>1</x:v>
      </x:c>
      <x:c r="K428" s="45" t="n">
        <x:f>$C428+$D428</x:f>
        <x:v>1</x:v>
      </x:c>
      <x:c r="L428" s="45" t="n">
        <x:f>F428+I428</x:f>
        <x:v>2</x:v>
      </x:c>
      <x:c r="M428" s="45" t="n">
        <x:f>G428+J428</x:f>
        <x:v>2</x:v>
      </x:c>
      <x:c r="N428" s="45" t="n">
        <x:f>H428+K428</x:f>
        <x:v>2</x:v>
      </x:c>
      <x:c r="O428" s="45" t="n">
        <x:f>SUM(F428:H428)</x:f>
        <x:v>3</x:v>
      </x:c>
      <x:c r="P428" s="42" t="n">
        <x:f>IF(AND(F428&lt;=F444,F428&lt;=F396,F428&lt;=F412,G428&lt;=G432,G428&lt;=G420,G428&lt;=G424,H428&lt;=H429,H428&lt;=H426,H428&lt;=H427),1,0)</x:f>
        <x:v>1</x:v>
      </x:c>
      <x:c r="Q428" s="42" t="n">
        <x:f>IF(AND(L428&lt;=L444,L428&lt;=L396,L428&lt;=L412,M428&lt;=M432,M428&lt;=M420,M428&lt;=M424,N428&lt;=N429,N428&lt;=N426,N428&lt;=N427),1,0)</x:f>
        <x:v>0</x:v>
      </x:c>
      <x:c r="R428" s="42" t="n">
        <x:v>1</x:v>
      </x:c>
      <x:c r="S428" s="42" t="n">
        <x:v>0</x:v>
      </x:c>
    </x:row>
    <x:row r="429">
      <x:c r="A429" t="n">
        <x:v>7</x:v>
      </x:c>
      <x:c r="B429" t="n">
        <x:v>1</x:v>
      </x:c>
      <x:c r="C429" t="n">
        <x:v>0</x:v>
      </x:c>
      <x:c r="D429" t="n">
        <x:v>1</x:v>
      </x:c>
      <x:c r="E429" t="str">
        <x:v>oov</x:v>
      </x:c>
      <x:c r="F429" s="45" t="n">
        <x:f>(1/2)*$C429+(1/2)*$D429</x:f>
        <x:v>0.5</x:v>
      </x:c>
      <x:c r="G429" s="45" t="n">
        <x:f>(1/2)*$C429+(1/2)*$D429</x:f>
        <x:v>0.5</x:v>
      </x:c>
      <x:c r="H429" s="45" t="n">
        <x:f>2*$B429</x:f>
        <x:v>2</x:v>
      </x:c>
      <x:c r="I429" s="45" t="n">
        <x:f>(1/2)*($C429+$D429)</x:f>
        <x:v>0.5</x:v>
      </x:c>
      <x:c r="J429" s="45" t="n">
        <x:f>(1/2)*($C429+$D429)</x:f>
        <x:v>0.5</x:v>
      </x:c>
      <x:c r="K429" s="45" t="n">
        <x:f>0</x:f>
        <x:v>0</x:v>
      </x:c>
      <x:c r="L429" s="45" t="n">
        <x:f>F429+I429</x:f>
        <x:v>1</x:v>
      </x:c>
      <x:c r="M429" s="45" t="n">
        <x:f>G429+J429</x:f>
        <x:v>1</x:v>
      </x:c>
      <x:c r="N429" s="45" t="n">
        <x:f>H429+K429</x:f>
        <x:v>2</x:v>
      </x:c>
      <x:c r="O429" s="45" t="n">
        <x:f>SUM(F429:H429)</x:f>
        <x:v>3</x:v>
      </x:c>
      <x:c r="P429" s="42" t="n">
        <x:f>IF(AND(F429&lt;=F445,F429&lt;=F397,F429&lt;=F413,G429&lt;=G433,G429&lt;=G421,G429&lt;=G425,H429&lt;=H426,H429&lt;=H428,H429&lt;=H427),1,0)</x:f>
        <x:v>0</x:v>
      </x:c>
      <x:c r="Q429" s="42" t="n">
        <x:f>IF(AND(L429&lt;=L445,L429&lt;=L397,L429&lt;=L413,M429&lt;=M433,M429&lt;=M421,M429&lt;=M425,N429&lt;=N426,N429&lt;=N428,N429&lt;=N427),1,0)</x:f>
        <x:v>0</x:v>
      </x:c>
      <x:c r="R429" s="42" t="n">
        <x:v>0</x:v>
      </x:c>
      <x:c r="S429" s="42" t="n">
        <x:v>0</x:v>
      </x:c>
    </x:row>
    <x:row r="430">
      <x:c r="A430" t="n">
        <x:v>7</x:v>
      </x:c>
      <x:c r="B430" t="n">
        <x:v>1</x:v>
      </x:c>
      <x:c r="C430" t="n">
        <x:v>0</x:v>
      </x:c>
      <x:c r="D430" t="n">
        <x:v>1</x:v>
      </x:c>
      <x:c r="E430" t="str">
        <x:v>ove</x:v>
      </x:c>
      <x:c r="F430" s="45" t="n">
        <x:f>0</x:f>
        <x:v>0</x:v>
      </x:c>
      <x:c r="G430" s="45" t="n">
        <x:f>2*$B430</x:f>
        <x:v>2</x:v>
      </x:c>
      <x:c r="H430" s="45" t="n">
        <x:f>1*$B430</x:f>
        <x:v>1</x:v>
      </x:c>
      <x:c r="I430" s="45" t="n">
        <x:f>0</x:f>
        <x:v>0</x:v>
      </x:c>
      <x:c r="J430" s="45" t="n">
        <x:f>0</x:f>
        <x:v>0</x:v>
      </x:c>
      <x:c r="K430" s="45" t="n">
        <x:f>0</x:f>
        <x:v>0</x:v>
      </x:c>
      <x:c r="L430" s="45" t="n">
        <x:f>F430+I430</x:f>
        <x:v>0</x:v>
      </x:c>
      <x:c r="M430" s="45" t="n">
        <x:f>G430+J430</x:f>
        <x:v>2</x:v>
      </x:c>
      <x:c r="N430" s="45" t="n">
        <x:f>H430+K430</x:f>
        <x:v>1</x:v>
      </x:c>
      <x:c r="O430" s="45" t="n">
        <x:f>SUM(F430:H430)</x:f>
        <x:v>3</x:v>
      </x:c>
      <x:c r="P430" s="42" t="n">
        <x:f>IF(AND(F430&lt;=F446,F430&lt;=F398,F430&lt;=F414,G430&lt;=G418,G430&lt;=G426,G430&lt;=G422,H430&lt;=H433,H430&lt;=H432,H430&lt;=H431),1,0)</x:f>
        <x:v>0</x:v>
      </x:c>
      <x:c r="Q430" s="42" t="n">
        <x:f>IF(AND(L430&lt;=L446,L430&lt;=L398,L430&lt;=L414,M430&lt;=M418,M430&lt;=M426,M430&lt;=M422,N430&lt;=N433,N430&lt;=N432,N430&lt;=N431),1,0)</x:f>
        <x:v>0</x:v>
      </x:c>
      <x:c r="R430" s="42" t="n">
        <x:v>0</x:v>
      </x:c>
      <x:c r="S430" s="42" t="n">
        <x:v>0</x:v>
      </x:c>
    </x:row>
    <x:row r="431">
      <x:c r="A431" t="n">
        <x:v>7</x:v>
      </x:c>
      <x:c r="B431" t="n">
        <x:v>1</x:v>
      </x:c>
      <x:c r="C431" t="n">
        <x:v>0</x:v>
      </x:c>
      <x:c r="D431" t="n">
        <x:v>1</x:v>
      </x:c>
      <x:c r="E431" t="str">
        <x:v>ovl</x:v>
      </x:c>
      <x:c r="F431" s="45" t="n">
        <x:f>0</x:f>
        <x:v>0</x:v>
      </x:c>
      <x:c r="G431" s="45" t="n">
        <x:f>2*$B431</x:f>
        <x:v>2</x:v>
      </x:c>
      <x:c r="H431" s="45" t="n">
        <x:f>1*$D431</x:f>
        <x:v>1</x:v>
      </x:c>
      <x:c r="I431" s="45" t="n">
        <x:f>0</x:f>
        <x:v>0</x:v>
      </x:c>
      <x:c r="J431" s="45" t="n">
        <x:f>0</x:f>
        <x:v>0</x:v>
      </x:c>
      <x:c r="K431" s="45" t="n">
        <x:f>0</x:f>
        <x:v>0</x:v>
      </x:c>
      <x:c r="L431" s="45" t="n">
        <x:f>F431+I431</x:f>
        <x:v>0</x:v>
      </x:c>
      <x:c r="M431" s="45" t="n">
        <x:f>G431+J431</x:f>
        <x:v>2</x:v>
      </x:c>
      <x:c r="N431" s="45" t="n">
        <x:f>H431+K431</x:f>
        <x:v>1</x:v>
      </x:c>
      <x:c r="O431" s="45" t="n">
        <x:f>SUM(F431:H431)</x:f>
        <x:v>3</x:v>
      </x:c>
      <x:c r="P431" s="42" t="n">
        <x:f>IF(AND(F431&lt;=F447,F431&lt;=F399,F431&lt;=F415,G431&lt;=G419,G431&lt;=G427,G431&lt;=G423,H431&lt;=H433,H431&lt;=H430,H431&lt;=H432),1,0)</x:f>
        <x:v>0</x:v>
      </x:c>
      <x:c r="Q431" s="42" t="n">
        <x:f>IF(AND(L431&lt;=L447,L431&lt;=L399,L431&lt;=L415,M431&lt;=M419,M431&lt;=M427,M431&lt;=M423,N431&lt;=N433,N431&lt;=N430,N431&lt;=N432),1,0)</x:f>
        <x:v>0</x:v>
      </x:c>
      <x:c r="R431" s="42" t="n">
        <x:v>0</x:v>
      </x:c>
      <x:c r="S431" s="42" t="n">
        <x:v>0</x:v>
      </x:c>
    </x:row>
    <x:row r="432">
      <x:c r="A432" t="n">
        <x:v>7</x:v>
      </x:c>
      <x:c r="B432" t="n">
        <x:v>1</x:v>
      </x:c>
      <x:c r="C432" t="n">
        <x:v>0</x:v>
      </x:c>
      <x:c r="D432" t="n">
        <x:v>1</x:v>
      </x:c>
      <x:c r="E432" t="str">
        <x:v>ovo</x:v>
      </x:c>
      <x:c r="F432" s="45" t="n">
        <x:f>(1/2)*$C432+(1/2)*$D432</x:f>
        <x:v>0.5</x:v>
      </x:c>
      <x:c r="G432" s="45" t="n">
        <x:f>2*$B432</x:f>
        <x:v>2</x:v>
      </x:c>
      <x:c r="H432" s="45" t="n">
        <x:f>(1/2)*$C432+(1/2)*$D432</x:f>
        <x:v>0.5</x:v>
      </x:c>
      <x:c r="I432" s="45" t="n">
        <x:f>(1/2)*($C432+$D432)</x:f>
        <x:v>0.5</x:v>
      </x:c>
      <x:c r="J432" s="45" t="n">
        <x:f>0</x:f>
        <x:v>0</x:v>
      </x:c>
      <x:c r="K432" s="45" t="n">
        <x:f>(1/2)*($C432+$D432)</x:f>
        <x:v>0.5</x:v>
      </x:c>
      <x:c r="L432" s="45" t="n">
        <x:f>F432+I432</x:f>
        <x:v>1</x:v>
      </x:c>
      <x:c r="M432" s="45" t="n">
        <x:f>G432+J432</x:f>
        <x:v>2</x:v>
      </x:c>
      <x:c r="N432" s="45" t="n">
        <x:f>H432+K432</x:f>
        <x:v>1</x:v>
      </x:c>
      <x:c r="O432" s="45" t="n">
        <x:f>SUM(F432:H432)</x:f>
        <x:v>3</x:v>
      </x:c>
      <x:c r="P432" s="42" t="n">
        <x:f>IF(AND(F432&lt;=F448,F432&lt;=F400,F432&lt;=F416,G432&lt;=G420,G432&lt;=G428,G432&lt;=G424,H432&lt;=H433,H432&lt;=H430,H432&lt;=H431),1,0)</x:f>
        <x:v>0</x:v>
      </x:c>
      <x:c r="Q432" s="42" t="n">
        <x:f>IF(AND(L432&lt;=L448,L432&lt;=L400,L432&lt;=L416,M432&lt;=M420,M432&lt;=M428,M432&lt;=M424,N432&lt;=N433,N432&lt;=N430,N432&lt;=N431),1,0)</x:f>
        <x:v>0</x:v>
      </x:c>
      <x:c r="R432" s="42" t="n">
        <x:v>0</x:v>
      </x:c>
      <x:c r="S432" s="42" t="n">
        <x:v>0</x:v>
      </x:c>
    </x:row>
    <x:row r="433">
      <x:c r="A433" t="n">
        <x:v>7</x:v>
      </x:c>
      <x:c r="B433" t="n">
        <x:v>1</x:v>
      </x:c>
      <x:c r="C433" t="n">
        <x:v>0</x:v>
      </x:c>
      <x:c r="D433" t="n">
        <x:v>1</x:v>
      </x:c>
      <x:c r="E433" t="str">
        <x:v>ovv</x:v>
      </x:c>
      <x:c r="F433" s="45" t="n">
        <x:f>0</x:f>
        <x:v>0</x:v>
      </x:c>
      <x:c r="G433" s="45" t="n">
        <x:f>(3/2)*$B433+(1/2)*$C433</x:f>
        <x:v>1.5</x:v>
      </x:c>
      <x:c r="H433" s="45" t="n">
        <x:f>(3/2)*$B433+(1/2)*$C433</x:f>
        <x:v>1.5</x:v>
      </x:c>
      <x:c r="I433" s="45" t="n">
        <x:f>0</x:f>
        <x:v>0</x:v>
      </x:c>
      <x:c r="J433" s="45" t="n">
        <x:f>MAX((1/2)*($C433-$B433),0)</x:f>
        <x:v>0</x:v>
      </x:c>
      <x:c r="K433" s="45" t="n">
        <x:f>MAX((1/2)*($C433-$B433),0)</x:f>
        <x:v>0</x:v>
      </x:c>
      <x:c r="L433" s="45" t="n">
        <x:f>F433+I433</x:f>
        <x:v>0</x:v>
      </x:c>
      <x:c r="M433" s="45" t="n">
        <x:f>G433+J433</x:f>
        <x:v>1.5</x:v>
      </x:c>
      <x:c r="N433" s="45" t="n">
        <x:f>H433+K433</x:f>
        <x:v>1.5</x:v>
      </x:c>
      <x:c r="O433" s="45" t="n">
        <x:f>SUM(F433:H433)</x:f>
        <x:v>3</x:v>
      </x:c>
      <x:c r="P433" s="42" t="n">
        <x:f>IF(AND(F433&lt;=F449,F433&lt;=F401,F433&lt;=F417,G433&lt;=G421,G433&lt;=G429,G433&lt;=G425,H433&lt;=H430,H433&lt;=H432,H433&lt;=H431),1,0)</x:f>
        <x:v>0</x:v>
      </x:c>
      <x:c r="Q433" s="42" t="n">
        <x:f>IF(AND(L433&lt;=L449,L433&lt;=L401,L433&lt;=L417,M433&lt;=M421,M433&lt;=M429,M433&lt;=M425,N433&lt;=N430,N433&lt;=N432,N433&lt;=N431),1,0)</x:f>
        <x:v>0</x:v>
      </x:c>
      <x:c r="R433" s="42" t="n">
        <x:v>0</x:v>
      </x:c>
      <x:c r="S433" s="42" t="n">
        <x:v>0</x:v>
      </x:c>
    </x:row>
    <x:row r="434">
      <x:c r="A434" t="n">
        <x:v>7</x:v>
      </x:c>
      <x:c r="B434" t="n">
        <x:v>1</x:v>
      </x:c>
      <x:c r="C434" t="n">
        <x:v>0</x:v>
      </x:c>
      <x:c r="D434" t="n">
        <x:v>1</x:v>
      </x:c>
      <x:c r="E434" t="str">
        <x:v>vee</x:v>
      </x:c>
      <x:c r="F434" s="45" t="n">
        <x:f>2*$B434</x:f>
        <x:v>2</x:v>
      </x:c>
      <x:c r="G434" s="45" t="n">
        <x:f>(1/2)*$B434+(1/2)*$C434</x:f>
        <x:v>0.5</x:v>
      </x:c>
      <x:c r="H434" s="45" t="n">
        <x:f>(1/2)*$B434+(1/2)*$C434</x:f>
        <x:v>0.5</x:v>
      </x:c>
      <x:c r="I434" s="45" t="n">
        <x:f>0</x:f>
        <x:v>0</x:v>
      </x:c>
      <x:c r="J434" s="45" t="n">
        <x:f>MAX((1/2)*($C434-$B434),0)</x:f>
        <x:v>0</x:v>
      </x:c>
      <x:c r="K434" s="45" t="n">
        <x:f>MAX((1/2)*($C434-$B434),0)</x:f>
        <x:v>0</x:v>
      </x:c>
      <x:c r="L434" s="45" t="n">
        <x:f>F434+I434</x:f>
        <x:v>2</x:v>
      </x:c>
      <x:c r="M434" s="45" t="n">
        <x:f>G434+J434</x:f>
        <x:v>0.5</x:v>
      </x:c>
      <x:c r="N434" s="45" t="n">
        <x:f>H434+K434</x:f>
        <x:v>0.5</x:v>
      </x:c>
      <x:c r="O434" s="45" t="n">
        <x:f>SUM(F434:H434)</x:f>
        <x:v>3</x:v>
      </x:c>
      <x:c r="P434" s="42" t="n">
        <x:f>IF(AND(F434&lt;=F386,F434&lt;=F418,F434&lt;=F402,G434&lt;=G446,G434&lt;=G442,G434&lt;=G438,H434&lt;=H437,H434&lt;=H436,H434&lt;=H435),1,0)</x:f>
        <x:v>0</x:v>
      </x:c>
      <x:c r="Q434" s="42" t="n">
        <x:f>IF(AND(L434&lt;=L386,L434&lt;=L418,L434&lt;=L402,M434&lt;=M446,M434&lt;=M442,M434&lt;=M438,N434&lt;=N437,N434&lt;=N436,N434&lt;=N435),1,0)</x:f>
        <x:v>0</x:v>
      </x:c>
      <x:c r="R434" s="42" t="n">
        <x:v>0</x:v>
      </x:c>
      <x:c r="S434" s="42" t="n">
        <x:v>0</x:v>
      </x:c>
    </x:row>
    <x:row r="435">
      <x:c r="A435" t="n">
        <x:v>7</x:v>
      </x:c>
      <x:c r="B435" t="n">
        <x:v>1</x:v>
      </x:c>
      <x:c r="C435" t="n">
        <x:v>0</x:v>
      </x:c>
      <x:c r="D435" t="n">
        <x:v>1</x:v>
      </x:c>
      <x:c r="E435" t="str">
        <x:v>vel</x:v>
      </x:c>
      <x:c r="F435" s="45" t="n">
        <x:f>2*$B435</x:f>
        <x:v>2</x:v>
      </x:c>
      <x:c r="G435" s="45" t="n">
        <x:f>1*$B435</x:f>
        <x:v>1</x:v>
      </x:c>
      <x:c r="H435" s="45" t="n">
        <x:f>1*$D435</x:f>
        <x:v>1</x:v>
      </x:c>
      <x:c r="I435" s="45" t="n">
        <x:f>0</x:f>
        <x:v>0</x:v>
      </x:c>
      <x:c r="J435" s="45" t="n">
        <x:f>0</x:f>
        <x:v>0</x:v>
      </x:c>
      <x:c r="K435" s="45" t="n">
        <x:f>0</x:f>
        <x:v>0</x:v>
      </x:c>
      <x:c r="L435" s="45" t="n">
        <x:f>F435+I435</x:f>
        <x:v>2</x:v>
      </x:c>
      <x:c r="M435" s="45" t="n">
        <x:f>G435+J435</x:f>
        <x:v>1</x:v>
      </x:c>
      <x:c r="N435" s="45" t="n">
        <x:f>H435+K435</x:f>
        <x:v>1</x:v>
      </x:c>
      <x:c r="O435" s="45" t="n">
        <x:f>SUM(F435:H435)</x:f>
        <x:v>4</x:v>
      </x:c>
      <x:c r="P435" s="42" t="n">
        <x:f>IF(AND(F435&lt;=F387,F435&lt;=F419,F435&lt;=F403,G435&lt;=G447,G435&lt;=G443,G435&lt;=G439,H435&lt;=H437,H435&lt;=H434,H435&lt;=H436),1,0)</x:f>
        <x:v>0</x:v>
      </x:c>
      <x:c r="Q435" s="42" t="n">
        <x:f>IF(AND(L435&lt;=L387,L435&lt;=L419,L435&lt;=L403,M435&lt;=M447,M435&lt;=M443,M435&lt;=M439,N435&lt;=N437,N435&lt;=N434,N435&lt;=N436),1,0)</x:f>
        <x:v>0</x:v>
      </x:c>
      <x:c r="R435" s="42" t="n">
        <x:v>0</x:v>
      </x:c>
      <x:c r="S435" s="42" t="n">
        <x:v>0</x:v>
      </x:c>
    </x:row>
    <x:row r="436">
      <x:c r="A436" t="n">
        <x:v>7</x:v>
      </x:c>
      <x:c r="B436" t="n">
        <x:v>1</x:v>
      </x:c>
      <x:c r="C436" t="n">
        <x:v>0</x:v>
      </x:c>
      <x:c r="D436" t="n">
        <x:v>1</x:v>
      </x:c>
      <x:c r="E436" t="str">
        <x:v>veo</x:v>
      </x:c>
      <x:c r="F436" s="45" t="n">
        <x:f>2*$B436</x:f>
        <x:v>2</x:v>
      </x:c>
      <x:c r="G436" s="45" t="n">
        <x:f>1*$B436</x:f>
        <x:v>1</x:v>
      </x:c>
      <x:c r="H436" s="45" t="n">
        <x:f>0</x:f>
        <x:v>0</x:v>
      </x:c>
      <x:c r="I436" s="45" t="n">
        <x:f>0</x:f>
        <x:v>0</x:v>
      </x:c>
      <x:c r="J436" s="45" t="n">
        <x:f>0</x:f>
        <x:v>0</x:v>
      </x:c>
      <x:c r="K436" s="45" t="n">
        <x:f>0</x:f>
        <x:v>0</x:v>
      </x:c>
      <x:c r="L436" s="45" t="n">
        <x:f>F436+I436</x:f>
        <x:v>2</x:v>
      </x:c>
      <x:c r="M436" s="45" t="n">
        <x:f>G436+J436</x:f>
        <x:v>1</x:v>
      </x:c>
      <x:c r="N436" s="45" t="n">
        <x:f>H436+K436</x:f>
        <x:v>0</x:v>
      </x:c>
      <x:c r="O436" s="45" t="n">
        <x:f>SUM(F436:H436)</x:f>
        <x:v>3</x:v>
      </x:c>
      <x:c r="P436" s="42" t="n">
        <x:f>IF(AND(F436&lt;=F388,F436&lt;=F420,F436&lt;=F404,G436&lt;=G448,G436&lt;=G444,G436&lt;=G440,H436&lt;=H437,H436&lt;=H434,H436&lt;=H435),1,0)</x:f>
        <x:v>0</x:v>
      </x:c>
      <x:c r="Q436" s="42" t="n">
        <x:f>IF(AND(L436&lt;=L388,L436&lt;=L420,L436&lt;=L404,M436&lt;=M448,M436&lt;=M444,M436&lt;=M440,N436&lt;=N437,N436&lt;=N434,N436&lt;=N435),1,0)</x:f>
        <x:v>0</x:v>
      </x:c>
      <x:c r="R436" s="42" t="n">
        <x:v>0</x:v>
      </x:c>
      <x:c r="S436" s="42" t="n">
        <x:v>0</x:v>
      </x:c>
    </x:row>
    <x:row r="437">
      <x:c r="A437" t="n">
        <x:v>7</x:v>
      </x:c>
      <x:c r="B437" t="n">
        <x:v>1</x:v>
      </x:c>
      <x:c r="C437" t="n">
        <x:v>0</x:v>
      </x:c>
      <x:c r="D437" t="n">
        <x:v>1</x:v>
      </x:c>
      <x:c r="E437" t="str">
        <x:v>vev</x:v>
      </x:c>
      <x:c r="F437" s="45" t="n">
        <x:f>(3/2)*$B437+(1/2)*$C437</x:f>
        <x:v>1.5</x:v>
      </x:c>
      <x:c r="G437" s="45" t="n">
        <x:f>1*$C437</x:f>
        <x:v>0</x:v>
      </x:c>
      <x:c r="H437" s="45" t="n">
        <x:f>(3/2)*$B437+(1/2)*$C437</x:f>
        <x:v>1.5</x:v>
      </x:c>
      <x:c r="I437" s="45" t="n">
        <x:f>MAX((3/2)*($C437-$B437),0)</x:f>
        <x:v>0</x:v>
      </x:c>
      <x:c r="J437" s="45" t="n">
        <x:f>0</x:f>
        <x:v>0</x:v>
      </x:c>
      <x:c r="K437" s="45" t="n">
        <x:f>MAX((3/2)*($C437-$B437),0)</x:f>
        <x:v>0</x:v>
      </x:c>
      <x:c r="L437" s="45" t="n">
        <x:f>F437+I437</x:f>
        <x:v>1.5</x:v>
      </x:c>
      <x:c r="M437" s="45" t="n">
        <x:f>G437+J437</x:f>
        <x:v>0</x:v>
      </x:c>
      <x:c r="N437" s="45" t="n">
        <x:f>H437+K437</x:f>
        <x:v>1.5</x:v>
      </x:c>
      <x:c r="O437" s="45" t="n">
        <x:f>SUM(F437:H437)</x:f>
        <x:v>3</x:v>
      </x:c>
      <x:c r="P437" s="42" t="n">
        <x:f>IF(AND(F437&lt;=F389,F437&lt;=F421,F437&lt;=F405,G437&lt;=G449,G437&lt;=G445,G437&lt;=G441,H437&lt;=H434,H437&lt;=H436,H437&lt;=H435),1,0)</x:f>
        <x:v>0</x:v>
      </x:c>
      <x:c r="Q437" s="42" t="n">
        <x:f>IF(AND(L437&lt;=L389,L437&lt;=L421,L437&lt;=L405,M437&lt;=M449,M437&lt;=M445,M437&lt;=M441,N437&lt;=N434,N437&lt;=N436,N437&lt;=N435),1,0)</x:f>
        <x:v>0</x:v>
      </x:c>
      <x:c r="R437" s="42" t="n">
        <x:v>0</x:v>
      </x:c>
      <x:c r="S437" s="42" t="n">
        <x:v>0</x:v>
      </x:c>
    </x:row>
    <x:row r="438">
      <x:c r="A438" t="n">
        <x:v>7</x:v>
      </x:c>
      <x:c r="B438" t="n">
        <x:v>1</x:v>
      </x:c>
      <x:c r="C438" t="n">
        <x:v>0</x:v>
      </x:c>
      <x:c r="D438" t="n">
        <x:v>1</x:v>
      </x:c>
      <x:c r="E438" t="str">
        <x:v>vle</x:v>
      </x:c>
      <x:c r="F438" s="45" t="n">
        <x:f>2*$B438</x:f>
        <x:v>2</x:v>
      </x:c>
      <x:c r="G438" s="45" t="n">
        <x:f>1*$D438</x:f>
        <x:v>1</x:v>
      </x:c>
      <x:c r="H438" s="45" t="n">
        <x:f>1*$B438</x:f>
        <x:v>1</x:v>
      </x:c>
      <x:c r="I438" s="45" t="n">
        <x:f>0</x:f>
        <x:v>0</x:v>
      </x:c>
      <x:c r="J438" s="45" t="n">
        <x:f>0</x:f>
        <x:v>0</x:v>
      </x:c>
      <x:c r="K438" s="45" t="n">
        <x:f>0</x:f>
        <x:v>0</x:v>
      </x:c>
      <x:c r="L438" s="45" t="n">
        <x:f>F438+I438</x:f>
        <x:v>2</x:v>
      </x:c>
      <x:c r="M438" s="45" t="n">
        <x:f>G438+J438</x:f>
        <x:v>1</x:v>
      </x:c>
      <x:c r="N438" s="45" t="n">
        <x:f>H438+K438</x:f>
        <x:v>1</x:v>
      </x:c>
      <x:c r="O438" s="45" t="n">
        <x:f>SUM(F438:H438)</x:f>
        <x:v>4</x:v>
      </x:c>
      <x:c r="P438" s="42" t="n">
        <x:f>IF(AND(F438&lt;=F390,F438&lt;=F422,F438&lt;=F406,G438&lt;=G446,G438&lt;=G434,G438&lt;=G442,H438&lt;=H441,H438&lt;=H440,H438&lt;=H439),1,0)</x:f>
        <x:v>0</x:v>
      </x:c>
      <x:c r="Q438" s="42" t="n">
        <x:f>IF(AND(L438&lt;=L390,L438&lt;=L422,L438&lt;=L406,M438&lt;=M446,M438&lt;=M434,M438&lt;=M442,N438&lt;=N441,N438&lt;=N440,N438&lt;=N439),1,0)</x:f>
        <x:v>0</x:v>
      </x:c>
      <x:c r="R438" s="42" t="n">
        <x:v>0</x:v>
      </x:c>
      <x:c r="S438" s="42" t="n">
        <x:v>0</x:v>
      </x:c>
    </x:row>
    <x:row r="439">
      <x:c r="A439" t="n">
        <x:v>7</x:v>
      </x:c>
      <x:c r="B439" t="n">
        <x:v>1</x:v>
      </x:c>
      <x:c r="C439" t="n">
        <x:v>0</x:v>
      </x:c>
      <x:c r="D439" t="n">
        <x:v>1</x:v>
      </x:c>
      <x:c r="E439" t="str">
        <x:v>vll</x:v>
      </x:c>
      <x:c r="F439" s="45" t="n">
        <x:f>2*$B439</x:f>
        <x:v>2</x:v>
      </x:c>
      <x:c r="G439" s="45" t="n">
        <x:f>(1/2)*$C439+(3/2)*$D439</x:f>
        <x:v>1.5</x:v>
      </x:c>
      <x:c r="H439" s="45" t="n">
        <x:f>(1/2)*$C439+(3/2)*$D439</x:f>
        <x:v>1.5</x:v>
      </x:c>
      <x:c r="I439" s="45" t="n">
        <x:f>0</x:f>
        <x:v>0</x:v>
      </x:c>
      <x:c r="J439" s="45" t="n">
        <x:f>(1/2)*($C439+$D439)</x:f>
        <x:v>0.5</x:v>
      </x:c>
      <x:c r="K439" s="45" t="n">
        <x:f>(1/2)*($C439+$D439)</x:f>
        <x:v>0.5</x:v>
      </x:c>
      <x:c r="L439" s="45" t="n">
        <x:f>F439+I439</x:f>
        <x:v>2</x:v>
      </x:c>
      <x:c r="M439" s="45" t="n">
        <x:f>G439+J439</x:f>
        <x:v>2</x:v>
      </x:c>
      <x:c r="N439" s="45" t="n">
        <x:f>H439+K439</x:f>
        <x:v>2</x:v>
      </x:c>
      <x:c r="O439" s="45" t="n">
        <x:f>SUM(F439:H439)</x:f>
        <x:v>5</x:v>
      </x:c>
      <x:c r="P439" s="42" t="n">
        <x:f>IF(AND(F439&lt;=F391,F439&lt;=F423,F439&lt;=F407,G439&lt;=G447,G439&lt;=G435,G439&lt;=G443,H439&lt;=H441,H439&lt;=H438,H439&lt;=H440),1,0)</x:f>
        <x:v>0</x:v>
      </x:c>
      <x:c r="Q439" s="42" t="n">
        <x:f>IF(AND(L439&lt;=L391,L439&lt;=L423,L439&lt;=L407,M439&lt;=M447,M439&lt;=M435,M439&lt;=M443,N439&lt;=N441,N439&lt;=N438,N439&lt;=N440),1,0)</x:f>
        <x:v>0</x:v>
      </x:c>
      <x:c r="R439" s="42" t="n">
        <x:v>0</x:v>
      </x:c>
      <x:c r="S439" s="42" t="n">
        <x:v>0</x:v>
      </x:c>
    </x:row>
    <x:row r="440">
      <x:c r="A440" t="n">
        <x:v>7</x:v>
      </x:c>
      <x:c r="B440" t="n">
        <x:v>1</x:v>
      </x:c>
      <x:c r="C440" t="n">
        <x:v>0</x:v>
      </x:c>
      <x:c r="D440" t="n">
        <x:v>1</x:v>
      </x:c>
      <x:c r="E440" t="str">
        <x:v>vlo</x:v>
      </x:c>
      <x:c r="F440" s="45" t="n">
        <x:f>2*$B440</x:f>
        <x:v>2</x:v>
      </x:c>
      <x:c r="G440" s="45" t="n">
        <x:f>1*$D440</x:f>
        <x:v>1</x:v>
      </x:c>
      <x:c r="H440" s="45" t="n">
        <x:f>0</x:f>
        <x:v>0</x:v>
      </x:c>
      <x:c r="I440" s="45" t="n">
        <x:f>0</x:f>
        <x:v>0</x:v>
      </x:c>
      <x:c r="J440" s="45" t="n">
        <x:f>0</x:f>
        <x:v>0</x:v>
      </x:c>
      <x:c r="K440" s="45" t="n">
        <x:f>0</x:f>
        <x:v>0</x:v>
      </x:c>
      <x:c r="L440" s="45" t="n">
        <x:f>F440+I440</x:f>
        <x:v>2</x:v>
      </x:c>
      <x:c r="M440" s="45" t="n">
        <x:f>G440+J440</x:f>
        <x:v>1</x:v>
      </x:c>
      <x:c r="N440" s="45" t="n">
        <x:f>H440+K440</x:f>
        <x:v>0</x:v>
      </x:c>
      <x:c r="O440" s="45" t="n">
        <x:f>SUM(F440:H440)</x:f>
        <x:v>3</x:v>
      </x:c>
      <x:c r="P440" s="42" t="n">
        <x:f>IF(AND(F440&lt;=F392,F440&lt;=F424,F440&lt;=F408,G440&lt;=G448,G440&lt;=G436,G440&lt;=G444,H440&lt;=H441,H440&lt;=H438,H440&lt;=H439),1,0)</x:f>
        <x:v>0</x:v>
      </x:c>
      <x:c r="Q440" s="42" t="n">
        <x:f>IF(AND(L440&lt;=L392,L440&lt;=L424,L440&lt;=L408,M440&lt;=M448,M440&lt;=M436,M440&lt;=M444,N440&lt;=N441,N440&lt;=N438,N440&lt;=N439),1,0)</x:f>
        <x:v>0</x:v>
      </x:c>
      <x:c r="R440" s="42" t="n">
        <x:v>0</x:v>
      </x:c>
      <x:c r="S440" s="42" t="n">
        <x:v>0</x:v>
      </x:c>
    </x:row>
    <x:row r="441">
      <x:c r="A441" t="n">
        <x:v>7</x:v>
      </x:c>
      <x:c r="B441" t="n">
        <x:v>1</x:v>
      </x:c>
      <x:c r="C441" t="n">
        <x:v>0</x:v>
      </x:c>
      <x:c r="D441" t="n">
        <x:v>1</x:v>
      </x:c>
      <x:c r="E441" t="str">
        <x:v>vlv</x:v>
      </x:c>
      <x:c r="F441" s="45" t="n">
        <x:f>(3/2)*$B441+(1/2)*$C441</x:f>
        <x:v>1.5</x:v>
      </x:c>
      <x:c r="G441" s="45" t="n">
        <x:f>1*$D441</x:f>
        <x:v>1</x:v>
      </x:c>
      <x:c r="H441" s="45" t="n">
        <x:f>(3/2)*$B441+(1/2)*$C441</x:f>
        <x:v>1.5</x:v>
      </x:c>
      <x:c r="I441" s="45" t="n">
        <x:f>MAX((1/2)*($C441-$B441),0)</x:f>
        <x:v>0</x:v>
      </x:c>
      <x:c r="J441" s="45" t="n">
        <x:f>0</x:f>
        <x:v>0</x:v>
      </x:c>
      <x:c r="K441" s="45" t="n">
        <x:f>MAX((1/2)*($C441-$B441),0)</x:f>
        <x:v>0</x:v>
      </x:c>
      <x:c r="L441" s="45" t="n">
        <x:f>F441+I441</x:f>
        <x:v>1.5</x:v>
      </x:c>
      <x:c r="M441" s="45" t="n">
        <x:f>G441+J441</x:f>
        <x:v>1</x:v>
      </x:c>
      <x:c r="N441" s="45" t="n">
        <x:f>H441+K441</x:f>
        <x:v>1.5</x:v>
      </x:c>
      <x:c r="O441" s="45" t="n">
        <x:f>SUM(F441:H441)</x:f>
        <x:v>4</x:v>
      </x:c>
      <x:c r="P441" s="42" t="n">
        <x:f>IF(AND(F441&lt;=F393,F441&lt;=F425,F441&lt;=F409,G441&lt;=G449,G441&lt;=G437,G441&lt;=G445,H441&lt;=H438,H441&lt;=H440,H441&lt;=H439),1,0)</x:f>
        <x:v>0</x:v>
      </x:c>
      <x:c r="Q441" s="42" t="n">
        <x:f>IF(AND(L441&lt;=L393,L441&lt;=L425,L441&lt;=L409,M441&lt;=M449,M441&lt;=M437,M441&lt;=M445,N441&lt;=N438,N441&lt;=N440,N441&lt;=N439),1,0)</x:f>
        <x:v>0</x:v>
      </x:c>
      <x:c r="R441" s="42" t="n">
        <x:v>0</x:v>
      </x:c>
      <x:c r="S441" s="42" t="n">
        <x:v>0</x:v>
      </x:c>
    </x:row>
    <x:row r="442">
      <x:c r="A442" t="n">
        <x:v>7</x:v>
      </x:c>
      <x:c r="B442" t="n">
        <x:v>1</x:v>
      </x:c>
      <x:c r="C442" t="n">
        <x:v>0</x:v>
      </x:c>
      <x:c r="D442" t="n">
        <x:v>1</x:v>
      </x:c>
      <x:c r="E442" t="str">
        <x:v>voe</x:v>
      </x:c>
      <x:c r="F442" s="45" t="n">
        <x:f>2*$B442</x:f>
        <x:v>2</x:v>
      </x:c>
      <x:c r="G442" s="45" t="n">
        <x:f>0</x:f>
        <x:v>0</x:v>
      </x:c>
      <x:c r="H442" s="45" t="n">
        <x:f>1*$B442</x:f>
        <x:v>1</x:v>
      </x:c>
      <x:c r="I442" s="45" t="n">
        <x:f>0</x:f>
        <x:v>0</x:v>
      </x:c>
      <x:c r="J442" s="45" t="n">
        <x:f>0</x:f>
        <x:v>0</x:v>
      </x:c>
      <x:c r="K442" s="45" t="n">
        <x:f>0</x:f>
        <x:v>0</x:v>
      </x:c>
      <x:c r="L442" s="45" t="n">
        <x:f>F442+I442</x:f>
        <x:v>2</x:v>
      </x:c>
      <x:c r="M442" s="45" t="n">
        <x:f>G442+J442</x:f>
        <x:v>0</x:v>
      </x:c>
      <x:c r="N442" s="45" t="n">
        <x:f>H442+K442</x:f>
        <x:v>1</x:v>
      </x:c>
      <x:c r="O442" s="45" t="n">
        <x:f>SUM(F442:H442)</x:f>
        <x:v>3</x:v>
      </x:c>
      <x:c r="P442" s="42" t="n">
        <x:f>IF(AND(F442&lt;=F394,F442&lt;=F426,F442&lt;=F410,G442&lt;=G446,G442&lt;=G434,G442&lt;=G438,H442&lt;=H445,H442&lt;=H444,H442&lt;=H443),1,0)</x:f>
        <x:v>0</x:v>
      </x:c>
      <x:c r="Q442" s="42" t="n">
        <x:f>IF(AND(L442&lt;=L394,L442&lt;=L426,L442&lt;=L410,M442&lt;=M446,M442&lt;=M434,M442&lt;=M438,N442&lt;=N445,N442&lt;=N444,N442&lt;=N443),1,0)</x:f>
        <x:v>0</x:v>
      </x:c>
      <x:c r="R442" s="42" t="n">
        <x:v>0</x:v>
      </x:c>
      <x:c r="S442" s="42" t="n">
        <x:v>0</x:v>
      </x:c>
    </x:row>
    <x:row r="443">
      <x:c r="A443" t="n">
        <x:v>7</x:v>
      </x:c>
      <x:c r="B443" t="n">
        <x:v>1</x:v>
      </x:c>
      <x:c r="C443" t="n">
        <x:v>0</x:v>
      </x:c>
      <x:c r="D443" t="n">
        <x:v>1</x:v>
      </x:c>
      <x:c r="E443" t="str">
        <x:v>vol</x:v>
      </x:c>
      <x:c r="F443" s="45" t="n">
        <x:f>2*$B443</x:f>
        <x:v>2</x:v>
      </x:c>
      <x:c r="G443" s="45" t="n">
        <x:f>0</x:f>
        <x:v>0</x:v>
      </x:c>
      <x:c r="H443" s="45" t="n">
        <x:f>1*$D443</x:f>
        <x:v>1</x:v>
      </x:c>
      <x:c r="I443" s="45" t="n">
        <x:f>0</x:f>
        <x:v>0</x:v>
      </x:c>
      <x:c r="J443" s="45" t="n">
        <x:f>0</x:f>
        <x:v>0</x:v>
      </x:c>
      <x:c r="K443" s="45" t="n">
        <x:f>0</x:f>
        <x:v>0</x:v>
      </x:c>
      <x:c r="L443" s="45" t="n">
        <x:f>F443+I443</x:f>
        <x:v>2</x:v>
      </x:c>
      <x:c r="M443" s="45" t="n">
        <x:f>G443+J443</x:f>
        <x:v>0</x:v>
      </x:c>
      <x:c r="N443" s="45" t="n">
        <x:f>H443+K443</x:f>
        <x:v>1</x:v>
      </x:c>
      <x:c r="O443" s="45" t="n">
        <x:f>SUM(F443:H443)</x:f>
        <x:v>3</x:v>
      </x:c>
      <x:c r="P443" s="42" t="n">
        <x:f>IF(AND(F443&lt;=F395,F443&lt;=F427,F443&lt;=F411,G443&lt;=G447,G443&lt;=G435,G443&lt;=G439,H443&lt;=H445,H443&lt;=H442,H443&lt;=H444),1,0)</x:f>
        <x:v>0</x:v>
      </x:c>
      <x:c r="Q443" s="42" t="n">
        <x:f>IF(AND(L443&lt;=L395,L443&lt;=L427,L443&lt;=L411,M443&lt;=M447,M443&lt;=M435,M443&lt;=M439,N443&lt;=N445,N443&lt;=N442,N443&lt;=N444),1,0)</x:f>
        <x:v>0</x:v>
      </x:c>
      <x:c r="R443" s="42" t="n">
        <x:v>0</x:v>
      </x:c>
      <x:c r="S443" s="42" t="n">
        <x:v>0</x:v>
      </x:c>
    </x:row>
    <x:row r="444">
      <x:c r="A444" t="n">
        <x:v>7</x:v>
      </x:c>
      <x:c r="B444" t="n">
        <x:v>1</x:v>
      </x:c>
      <x:c r="C444" t="n">
        <x:v>0</x:v>
      </x:c>
      <x:c r="D444" t="n">
        <x:v>1</x:v>
      </x:c>
      <x:c r="E444" t="str">
        <x:v>voo</x:v>
      </x:c>
      <x:c r="F444" s="45" t="n">
        <x:f>2*$B444</x:f>
        <x:v>2</x:v>
      </x:c>
      <x:c r="G444" s="45" t="n">
        <x:f>(1/2)*$C444+(1/2)*$D444</x:f>
        <x:v>0.5</x:v>
      </x:c>
      <x:c r="H444" s="45" t="n">
        <x:f>(1/2)*$C444+(1/2)*$D444</x:f>
        <x:v>0.5</x:v>
      </x:c>
      <x:c r="I444" s="45" t="n">
        <x:f>0</x:f>
        <x:v>0</x:v>
      </x:c>
      <x:c r="J444" s="45" t="n">
        <x:f>(1/2)*($C444+$D444)</x:f>
        <x:v>0.5</x:v>
      </x:c>
      <x:c r="K444" s="45" t="n">
        <x:f>(1/2)*($C444+$D444)</x:f>
        <x:v>0.5</x:v>
      </x:c>
      <x:c r="L444" s="45" t="n">
        <x:f>F444+I444</x:f>
        <x:v>2</x:v>
      </x:c>
      <x:c r="M444" s="45" t="n">
        <x:f>G444+J444</x:f>
        <x:v>1</x:v>
      </x:c>
      <x:c r="N444" s="45" t="n">
        <x:f>H444+K444</x:f>
        <x:v>1</x:v>
      </x:c>
      <x:c r="O444" s="45" t="n">
        <x:f>SUM(F444:H444)</x:f>
        <x:v>3</x:v>
      </x:c>
      <x:c r="P444" s="42" t="n">
        <x:f>IF(AND(F444&lt;=F396,F444&lt;=F428,F444&lt;=F412,G444&lt;=G448,G444&lt;=G436,G444&lt;=G440,H444&lt;=H445,H444&lt;=H442,H444&lt;=H443),1,0)</x:f>
        <x:v>0</x:v>
      </x:c>
      <x:c r="Q444" s="42" t="n">
        <x:f>IF(AND(L444&lt;=L396,L444&lt;=L428,L444&lt;=L412,M444&lt;=M448,M444&lt;=M436,M444&lt;=M440,N444&lt;=N445,N444&lt;=N442,N444&lt;=N443),1,0)</x:f>
        <x:v>0</x:v>
      </x:c>
      <x:c r="R444" s="42" t="n">
        <x:v>0</x:v>
      </x:c>
      <x:c r="S444" s="42" t="n">
        <x:v>0</x:v>
      </x:c>
    </x:row>
    <x:row r="445">
      <x:c r="A445" t="n">
        <x:v>7</x:v>
      </x:c>
      <x:c r="B445" t="n">
        <x:v>1</x:v>
      </x:c>
      <x:c r="C445" t="n">
        <x:v>0</x:v>
      </x:c>
      <x:c r="D445" t="n">
        <x:v>1</x:v>
      </x:c>
      <x:c r="E445" t="str">
        <x:v>vov</x:v>
      </x:c>
      <x:c r="F445" s="45" t="n">
        <x:f>(3/2)*$B445+(1/2)*$C445</x:f>
        <x:v>1.5</x:v>
      </x:c>
      <x:c r="G445" s="45" t="n">
        <x:f>0</x:f>
        <x:v>0</x:v>
      </x:c>
      <x:c r="H445" s="45" t="n">
        <x:f>(3/2)*$B445+(1/2)*$C445</x:f>
        <x:v>1.5</x:v>
      </x:c>
      <x:c r="I445" s="45" t="n">
        <x:f>MAX((1/2)*($C445-$B445),0)</x:f>
        <x:v>0</x:v>
      </x:c>
      <x:c r="J445" s="45" t="n">
        <x:f>0</x:f>
        <x:v>0</x:v>
      </x:c>
      <x:c r="K445" s="45" t="n">
        <x:f>MAX((1/2)*($C445-$B445),0)</x:f>
        <x:v>0</x:v>
      </x:c>
      <x:c r="L445" s="45" t="n">
        <x:f>F445+I445</x:f>
        <x:v>1.5</x:v>
      </x:c>
      <x:c r="M445" s="45" t="n">
        <x:f>G445+J445</x:f>
        <x:v>0</x:v>
      </x:c>
      <x:c r="N445" s="45" t="n">
        <x:f>H445+K445</x:f>
        <x:v>1.5</x:v>
      </x:c>
      <x:c r="O445" s="45" t="n">
        <x:f>SUM(F445:H445)</x:f>
        <x:v>3</x:v>
      </x:c>
      <x:c r="P445" s="42" t="n">
        <x:f>IF(AND(F445&lt;=F397,F445&lt;=F429,F445&lt;=F413,G445&lt;=G449,G445&lt;=G437,G445&lt;=G441,H445&lt;=H442,H445&lt;=H444,H445&lt;=H443),1,0)</x:f>
        <x:v>0</x:v>
      </x:c>
      <x:c r="Q445" s="42" t="n">
        <x:f>IF(AND(L445&lt;=L397,L445&lt;=L429,L445&lt;=L413,M445&lt;=M449,M445&lt;=M437,M445&lt;=M441,N445&lt;=N442,N445&lt;=N444,N445&lt;=N443),1,0)</x:f>
        <x:v>0</x:v>
      </x:c>
      <x:c r="R445" s="42" t="n">
        <x:v>0</x:v>
      </x:c>
      <x:c r="S445" s="42" t="n">
        <x:v>0</x:v>
      </x:c>
    </x:row>
    <x:row r="446">
      <x:c r="A446" t="n">
        <x:v>7</x:v>
      </x:c>
      <x:c r="B446" t="n">
        <x:v>1</x:v>
      </x:c>
      <x:c r="C446" t="n">
        <x:v>0</x:v>
      </x:c>
      <x:c r="D446" t="n">
        <x:v>1</x:v>
      </x:c>
      <x:c r="E446" t="str">
        <x:v>vve</x:v>
      </x:c>
      <x:c r="F446" s="45" t="n">
        <x:f>(3/2)*$B446+(1/2)*$C446</x:f>
        <x:v>1.5</x:v>
      </x:c>
      <x:c r="G446" s="45" t="n">
        <x:f>(3/2)*$B446+(1/2)*$C446</x:f>
        <x:v>1.5</x:v>
      </x:c>
      <x:c r="H446" s="45" t="n">
        <x:f>1*$C446</x:f>
        <x:v>0</x:v>
      </x:c>
      <x:c r="I446" s="45" t="n">
        <x:f>MAX((3/2)*($C446-$B446),0)</x:f>
        <x:v>0</x:v>
      </x:c>
      <x:c r="J446" s="45" t="n">
        <x:f>MAX((3/2)*($C446-$B446),0)</x:f>
        <x:v>0</x:v>
      </x:c>
      <x:c r="K446" s="45" t="n">
        <x:f>0</x:f>
        <x:v>0</x:v>
      </x:c>
      <x:c r="L446" s="45" t="n">
        <x:f>F446+I446</x:f>
        <x:v>1.5</x:v>
      </x:c>
      <x:c r="M446" s="45" t="n">
        <x:f>G446+J446</x:f>
        <x:v>1.5</x:v>
      </x:c>
      <x:c r="N446" s="45" t="n">
        <x:f>H446+K446</x:f>
        <x:v>0</x:v>
      </x:c>
      <x:c r="O446" s="45" t="n">
        <x:f>SUM(F446:H446)</x:f>
        <x:v>3</x:v>
      </x:c>
      <x:c r="P446" s="42" t="n">
        <x:f>IF(AND(F446&lt;=F398,F446&lt;=F430,F446&lt;=F414,G446&lt;=G434,G446&lt;=G442,G446&lt;=G438,H446&lt;=H449,H446&lt;=H448,H446&lt;=H447),1,0)</x:f>
        <x:v>0</x:v>
      </x:c>
      <x:c r="Q446" s="42" t="n">
        <x:f>IF(AND(L446&lt;=L398,L446&lt;=L430,L446&lt;=L414,M446&lt;=M434,M446&lt;=M442,M446&lt;=M438,N446&lt;=N449,N446&lt;=N448,N446&lt;=N447),1,0)</x:f>
        <x:v>0</x:v>
      </x:c>
      <x:c r="R446" s="42" t="n">
        <x:v>0</x:v>
      </x:c>
      <x:c r="S446" s="42" t="n">
        <x:v>0</x:v>
      </x:c>
    </x:row>
    <x:row r="447">
      <x:c r="A447" t="n">
        <x:v>7</x:v>
      </x:c>
      <x:c r="B447" t="n">
        <x:v>1</x:v>
      </x:c>
      <x:c r="C447" t="n">
        <x:v>0</x:v>
      </x:c>
      <x:c r="D447" t="n">
        <x:v>1</x:v>
      </x:c>
      <x:c r="E447" t="str">
        <x:v>vvl</x:v>
      </x:c>
      <x:c r="F447" s="45" t="n">
        <x:f>(3/2)*$B447+(1/2)*$C447</x:f>
        <x:v>1.5</x:v>
      </x:c>
      <x:c r="G447" s="45" t="n">
        <x:f>(3/2)*$B447+(1/2)*$C447</x:f>
        <x:v>1.5</x:v>
      </x:c>
      <x:c r="H447" s="45" t="n">
        <x:f>1*$D447</x:f>
        <x:v>1</x:v>
      </x:c>
      <x:c r="I447" s="45" t="n">
        <x:f>MAX((1/2)*($C447-$B447),0)</x:f>
        <x:v>0</x:v>
      </x:c>
      <x:c r="J447" s="45" t="n">
        <x:f>MAX((1/2)*($C447-$B447),0)</x:f>
        <x:v>0</x:v>
      </x:c>
      <x:c r="K447" s="45" t="n">
        <x:f>0</x:f>
        <x:v>0</x:v>
      </x:c>
      <x:c r="L447" s="45" t="n">
        <x:f>F447+I447</x:f>
        <x:v>1.5</x:v>
      </x:c>
      <x:c r="M447" s="45" t="n">
        <x:f>G447+J447</x:f>
        <x:v>1.5</x:v>
      </x:c>
      <x:c r="N447" s="45" t="n">
        <x:f>H447+K447</x:f>
        <x:v>1</x:v>
      </x:c>
      <x:c r="O447" s="45" t="n">
        <x:f>SUM(F447:H447)</x:f>
        <x:v>4</x:v>
      </x:c>
      <x:c r="P447" s="42" t="n">
        <x:f>IF(AND(F447&lt;=F399,F447&lt;=F431,F447&lt;=F415,G447&lt;=G435,G447&lt;=G443,G447&lt;=G439,H447&lt;=H449,H447&lt;=H446,H447&lt;=H448),1,0)</x:f>
        <x:v>0</x:v>
      </x:c>
      <x:c r="Q447" s="42" t="n">
        <x:f>IF(AND(L447&lt;=L399,L447&lt;=L431,L447&lt;=L415,M447&lt;=M435,M447&lt;=M443,M447&lt;=M439,N447&lt;=N449,N447&lt;=N446,N447&lt;=N448),1,0)</x:f>
        <x:v>0</x:v>
      </x:c>
      <x:c r="R447" s="42" t="n">
        <x:v>0</x:v>
      </x:c>
      <x:c r="S447" s="42" t="n">
        <x:v>0</x:v>
      </x:c>
    </x:row>
    <x:row r="448">
      <x:c r="A448" t="n">
        <x:v>7</x:v>
      </x:c>
      <x:c r="B448" t="n">
        <x:v>1</x:v>
      </x:c>
      <x:c r="C448" t="n">
        <x:v>0</x:v>
      </x:c>
      <x:c r="D448" t="n">
        <x:v>1</x:v>
      </x:c>
      <x:c r="E448" t="str">
        <x:v>vvo</x:v>
      </x:c>
      <x:c r="F448" s="45" t="n">
        <x:f>(3/2)*$B448+(1/2)*$C448</x:f>
        <x:v>1.5</x:v>
      </x:c>
      <x:c r="G448" s="45" t="n">
        <x:f>(3/2)*$B448+(1/2)*$C448</x:f>
        <x:v>1.5</x:v>
      </x:c>
      <x:c r="H448" s="45" t="n">
        <x:f>0</x:f>
        <x:v>0</x:v>
      </x:c>
      <x:c r="I448" s="45" t="n">
        <x:f>MAX((1/2)*($C448-$B448),0)</x:f>
        <x:v>0</x:v>
      </x:c>
      <x:c r="J448" s="45" t="n">
        <x:f>MAX((1/2)*($C448-$B448),0)</x:f>
        <x:v>0</x:v>
      </x:c>
      <x:c r="K448" s="45" t="n">
        <x:f>0</x:f>
        <x:v>0</x:v>
      </x:c>
      <x:c r="L448" s="45" t="n">
        <x:f>F448+I448</x:f>
        <x:v>1.5</x:v>
      </x:c>
      <x:c r="M448" s="45" t="n">
        <x:f>G448+J448</x:f>
        <x:v>1.5</x:v>
      </x:c>
      <x:c r="N448" s="45" t="n">
        <x:f>H448+K448</x:f>
        <x:v>0</x:v>
      </x:c>
      <x:c r="O448" s="45" t="n">
        <x:f>SUM(F448:H448)</x:f>
        <x:v>3</x:v>
      </x:c>
      <x:c r="P448" s="42" t="n">
        <x:f>IF(AND(F448&lt;=F400,F448&lt;=F432,F448&lt;=F416,G448&lt;=G436,G448&lt;=G444,G448&lt;=G440,H448&lt;=H449,H448&lt;=H446,H448&lt;=H447),1,0)</x:f>
        <x:v>0</x:v>
      </x:c>
      <x:c r="Q448" s="42" t="n">
        <x:f>IF(AND(L448&lt;=L400,L448&lt;=L432,L448&lt;=L416,M448&lt;=M436,M448&lt;=M444,M448&lt;=M440,N448&lt;=N449,N448&lt;=N446,N448&lt;=N447),1,0)</x:f>
        <x:v>0</x:v>
      </x:c>
      <x:c r="R448" s="42" t="n">
        <x:v>0</x:v>
      </x:c>
      <x:c r="S448" s="42" t="n">
        <x:v>0</x:v>
      </x:c>
    </x:row>
    <x:row r="449">
      <x:c r="A449" t="n">
        <x:v>7</x:v>
      </x:c>
      <x:c r="B449" t="n">
        <x:v>1</x:v>
      </x:c>
      <x:c r="C449" t="n">
        <x:v>0</x:v>
      </x:c>
      <x:c r="D449" t="n">
        <x:v>1</x:v>
      </x:c>
      <x:c r="E449" t="str">
        <x:v>vvv</x:v>
      </x:c>
      <x:c r="F449" s="45" t="n">
        <x:f>1*$B449+1*$C449</x:f>
        <x:v>1</x:v>
      </x:c>
      <x:c r="G449" s="45" t="n">
        <x:f>1*$B449+1*$C449</x:f>
        <x:v>1</x:v>
      </x:c>
      <x:c r="H449" s="45" t="n">
        <x:f>1*$B449+1*$C449</x:f>
        <x:v>1</x:v>
      </x:c>
      <x:c r="I449" s="45" t="n">
        <x:f>MAX($C449-$B449,0)</x:f>
        <x:v>0</x:v>
      </x:c>
      <x:c r="J449" s="45" t="n">
        <x:f>MAX($C449-$B449,0)</x:f>
        <x:v>0</x:v>
      </x:c>
      <x:c r="K449" s="45" t="n">
        <x:f>MAX($C449-$B449,0)</x:f>
        <x:v>0</x:v>
      </x:c>
      <x:c r="L449" s="45" t="n">
        <x:f>F449+I449</x:f>
        <x:v>1</x:v>
      </x:c>
      <x:c r="M449" s="45" t="n">
        <x:f>G449+J449</x:f>
        <x:v>1</x:v>
      </x:c>
      <x:c r="N449" s="45" t="n">
        <x:f>H449+K449</x:f>
        <x:v>1</x:v>
      </x:c>
      <x:c r="O449" s="45" t="n">
        <x:f>SUM(F449:H449)</x:f>
        <x:v>3</x:v>
      </x:c>
      <x:c r="P449" s="42" t="n">
        <x:f>IF(AND(F449&lt;=F401,F449&lt;=F433,F449&lt;=F417,G449&lt;=G437,G449&lt;=G445,G449&lt;=G441,H449&lt;=H446,H449&lt;=H448,H449&lt;=H447),1,0)</x:f>
        <x:v>0</x:v>
      </x:c>
      <x:c r="Q449" s="42" t="n">
        <x:f>IF(AND(L449&lt;=L401,L449&lt;=L433,L449&lt;=L417,M449&lt;=M437,M449&lt;=M445,M449&lt;=M441,N449&lt;=N446,N449&lt;=N448,N449&lt;=N447),1,0)</x:f>
        <x:v>0</x:v>
      </x:c>
      <x:c r="R449" s="42" t="n">
        <x:v>0</x:v>
      </x:c>
      <x:c r="S449" s="42" t="n">
        <x:v>0</x:v>
      </x:c>
    </x:row>
    <x:row r="450">
      <x:c r="A450" t="n">
        <x:v>8</x:v>
      </x:c>
      <x:c r="B450" t="n">
        <x:v>1</x:v>
      </x:c>
      <x:c r="C450" t="n">
        <x:v>1</x:v>
      </x:c>
      <x:c r="D450" t="n">
        <x:v>1</x:v>
      </x:c>
      <x:c r="E450" t="str">
        <x:v>eee</x:v>
      </x:c>
      <x:c r="F450" s="45" t="n">
        <x:f>(1/3)*$B450+1*$C450+(1/3)*$D450</x:f>
        <x:v>1.6666666666666665</x:v>
      </x:c>
      <x:c r="G450" s="45" t="n">
        <x:f>(1/3)*$B450+1*$C450+(1/3)*$D450</x:f>
        <x:v>1.6666666666666665</x:v>
      </x:c>
      <x:c r="H450" s="45" t="n">
        <x:f>(1/3)*$B450+1*$C450+(1/3)*$D450</x:f>
        <x:v>1.6666666666666665</x:v>
      </x:c>
      <x:c r="I450" s="45" t="n">
        <x:f>MAX($C450+(2/3)*$D450-(1/3)*$B450,0)</x:f>
        <x:v>1.3333333333333333</x:v>
      </x:c>
      <x:c r="J450" s="45" t="n">
        <x:f>MAX($C450+(2/3)*$D450-(1/3)*$B450,0)</x:f>
        <x:v>1.3333333333333333</x:v>
      </x:c>
      <x:c r="K450" s="45" t="n">
        <x:f>MAX($C450+(2/3)*$D450-(1/3)*$B450,0)</x:f>
        <x:v>1.3333333333333333</x:v>
      </x:c>
      <x:c r="L450" s="45" t="n">
        <x:f>F450+I450</x:f>
        <x:v>3</x:v>
      </x:c>
      <x:c r="M450" s="45" t="n">
        <x:f>G450+J450</x:f>
        <x:v>3</x:v>
      </x:c>
      <x:c r="N450" s="45" t="n">
        <x:f>H450+K450</x:f>
        <x:v>3</x:v>
      </x:c>
      <x:c r="O450" s="45" t="n">
        <x:f>SUM(F450:H450)</x:f>
        <x:v>5</x:v>
      </x:c>
      <x:c r="P450" s="42" t="n">
        <x:f>IF(AND(F450&lt;=F498,F450&lt;=F482,F450&lt;=F466,G450&lt;=G462,G450&lt;=G458,G450&lt;=G454,H450&lt;=H453,H450&lt;=H452,H450&lt;=H451),1,0)</x:f>
        <x:v>0</x:v>
      </x:c>
      <x:c r="Q450" s="42" t="n">
        <x:f>IF(AND(L450&lt;=L498,L450&lt;=L482,L450&lt;=L466,M450&lt;=M462,M450&lt;=M458,M450&lt;=M454,N450&lt;=N453,N450&lt;=N452,N450&lt;=N451),1,0)</x:f>
        <x:v>0</x:v>
      </x:c>
      <x:c r="R450" s="42" t="n">
        <x:v>0</x:v>
      </x:c>
      <x:c r="S450" s="42" t="n">
        <x:v>0</x:v>
      </x:c>
    </x:row>
    <x:row r="451">
      <x:c r="A451" t="n">
        <x:v>8</x:v>
      </x:c>
      <x:c r="B451" t="n">
        <x:v>1</x:v>
      </x:c>
      <x:c r="C451" t="n">
        <x:v>1</x:v>
      </x:c>
      <x:c r="D451" t="n">
        <x:v>1</x:v>
      </x:c>
      <x:c r="E451" t="str">
        <x:v>eel</x:v>
      </x:c>
      <x:c r="F451" s="45" t="n">
        <x:f>(1/2)*$B451+(1/2)*$C451</x:f>
        <x:v>1</x:v>
      </x:c>
      <x:c r="G451" s="45" t="n">
        <x:f>(1/2)*$B451+(1/2)*$C451</x:f>
        <x:v>1</x:v>
      </x:c>
      <x:c r="H451" s="45" t="n">
        <x:f>1*$D451</x:f>
        <x:v>1</x:v>
      </x:c>
      <x:c r="I451" s="45" t="n">
        <x:f>MAX((1/2)*($C451-$B451),0)</x:f>
        <x:v>0</x:v>
      </x:c>
      <x:c r="J451" s="45" t="n">
        <x:f>MAX((1/2)*($C451-$B451),0)</x:f>
        <x:v>0</x:v>
      </x:c>
      <x:c r="K451" s="45" t="n">
        <x:f>0</x:f>
        <x:v>0</x:v>
      </x:c>
      <x:c r="L451" s="45" t="n">
        <x:f>F451+I451</x:f>
        <x:v>1</x:v>
      </x:c>
      <x:c r="M451" s="45" t="n">
        <x:f>G451+J451</x:f>
        <x:v>1</x:v>
      </x:c>
      <x:c r="N451" s="45" t="n">
        <x:f>H451+K451</x:f>
        <x:v>1</x:v>
      </x:c>
      <x:c r="O451" s="45" t="n">
        <x:f>SUM(F451:H451)</x:f>
        <x:v>3</x:v>
      </x:c>
      <x:c r="P451" s="42" t="n">
        <x:f>IF(AND(F451&lt;=F499,F451&lt;=F483,F451&lt;=F467,G451&lt;=G463,G451&lt;=G459,G451&lt;=G455,H451&lt;=H453,H451&lt;=H450,H451&lt;=H452),1,0)</x:f>
        <x:v>0</x:v>
      </x:c>
      <x:c r="Q451" s="42" t="n">
        <x:f>IF(AND(L451&lt;=L499,L451&lt;=L483,L451&lt;=L467,M451&lt;=M463,M451&lt;=M459,M451&lt;=M455,N451&lt;=N453,N451&lt;=N450,N451&lt;=N452),1,0)</x:f>
        <x:v>0</x:v>
      </x:c>
      <x:c r="R451" s="42" t="n">
        <x:v>0</x:v>
      </x:c>
      <x:c r="S451" s="42" t="n">
        <x:v>0</x:v>
      </x:c>
    </x:row>
    <x:row r="452">
      <x:c r="A452" t="n">
        <x:v>8</x:v>
      </x:c>
      <x:c r="B452" t="n">
        <x:v>1</x:v>
      </x:c>
      <x:c r="C452" t="n">
        <x:v>1</x:v>
      </x:c>
      <x:c r="D452" t="n">
        <x:v>1</x:v>
      </x:c>
      <x:c r="E452" t="str">
        <x:v>eeo</x:v>
      </x:c>
      <x:c r="F452" s="45" t="n">
        <x:f>(1/2)*$B452+(1/2)*$C452</x:f>
        <x:v>1</x:v>
      </x:c>
      <x:c r="G452" s="45" t="n">
        <x:f>(1/2)*$B452+(1/2)*$C452</x:f>
        <x:v>1</x:v>
      </x:c>
      <x:c r="H452" s="45" t="n">
        <x:f>1*$C452+1*$D452</x:f>
        <x:v>2</x:v>
      </x:c>
      <x:c r="I452" s="45" t="n">
        <x:f>MAX((3/2)*$C452+$D452-(1/2)*$B452,0)</x:f>
        <x:v>2</x:v>
      </x:c>
      <x:c r="J452" s="45" t="n">
        <x:f>MAX((3/2)*$C452+$D452-(1/2)*$B452,0)</x:f>
        <x:v>2</x:v>
      </x:c>
      <x:c r="K452" s="45" t="n">
        <x:f>0</x:f>
        <x:v>0</x:v>
      </x:c>
      <x:c r="L452" s="45" t="n">
        <x:f>F452+I452</x:f>
        <x:v>3</x:v>
      </x:c>
      <x:c r="M452" s="45" t="n">
        <x:f>G452+J452</x:f>
        <x:v>3</x:v>
      </x:c>
      <x:c r="N452" s="45" t="n">
        <x:f>H452+K452</x:f>
        <x:v>2</x:v>
      </x:c>
      <x:c r="O452" s="45" t="n">
        <x:f>SUM(F452:H452)</x:f>
        <x:v>4</x:v>
      </x:c>
      <x:c r="P452" s="42" t="n">
        <x:f>IF(AND(F452&lt;=F500,F452&lt;=F484,F452&lt;=F468,G452&lt;=G464,G452&lt;=G460,G452&lt;=G456,H452&lt;=H453,H452&lt;=H450,H452&lt;=H451),1,0)</x:f>
        <x:v>0</x:v>
      </x:c>
      <x:c r="Q452" s="42" t="n">
        <x:f>IF(AND(L452&lt;=L500,L452&lt;=L484,L452&lt;=L468,M452&lt;=M464,M452&lt;=M460,M452&lt;=M456,N452&lt;=N453,N452&lt;=N450,N452&lt;=N451),1,0)</x:f>
        <x:v>0</x:v>
      </x:c>
      <x:c r="R452" s="42" t="n">
        <x:v>0</x:v>
      </x:c>
      <x:c r="S452" s="42" t="n">
        <x:v>0</x:v>
      </x:c>
    </x:row>
    <x:row r="453">
      <x:c r="A453" t="n">
        <x:v>8</x:v>
      </x:c>
      <x:c r="B453" t="n">
        <x:v>1</x:v>
      </x:c>
      <x:c r="C453" t="n">
        <x:v>1</x:v>
      </x:c>
      <x:c r="D453" t="n">
        <x:v>1</x:v>
      </x:c>
      <x:c r="E453" t="str">
        <x:v>eev</x:v>
      </x:c>
      <x:c r="F453" s="45" t="n">
        <x:f>(1/2)*$B453+(1/2)*$C453</x:f>
        <x:v>1</x:v>
      </x:c>
      <x:c r="G453" s="45" t="n">
        <x:f>(1/2)*$B453+(1/2)*$C453</x:f>
        <x:v>1</x:v>
      </x:c>
      <x:c r="H453" s="45" t="n">
        <x:f>2*$B453</x:f>
        <x:v>2</x:v>
      </x:c>
      <x:c r="I453" s="45" t="n">
        <x:f>MAX((1/2)*($C453-$B453),0)</x:f>
        <x:v>0</x:v>
      </x:c>
      <x:c r="J453" s="45" t="n">
        <x:f>MAX((1/2)*($C453-$B453),0)</x:f>
        <x:v>0</x:v>
      </x:c>
      <x:c r="K453" s="45" t="n">
        <x:f>0</x:f>
        <x:v>0</x:v>
      </x:c>
      <x:c r="L453" s="45" t="n">
        <x:f>F453+I453</x:f>
        <x:v>1</x:v>
      </x:c>
      <x:c r="M453" s="45" t="n">
        <x:f>G453+J453</x:f>
        <x:v>1</x:v>
      </x:c>
      <x:c r="N453" s="45" t="n">
        <x:f>H453+K453</x:f>
        <x:v>2</x:v>
      </x:c>
      <x:c r="O453" s="45" t="n">
        <x:f>SUM(F453:H453)</x:f>
        <x:v>4</x:v>
      </x:c>
      <x:c r="P453" s="42" t="n">
        <x:f>IF(AND(F453&lt;=F501,F453&lt;=F485,F453&lt;=F469,G453&lt;=G465,G453&lt;=G461,G453&lt;=G457,H453&lt;=H450,H453&lt;=H452,H453&lt;=H451),1,0)</x:f>
        <x:v>0</x:v>
      </x:c>
      <x:c r="Q453" s="42" t="n">
        <x:f>IF(AND(L453&lt;=L501,L453&lt;=L485,L453&lt;=L469,M453&lt;=M465,M453&lt;=M461,M453&lt;=M457,N453&lt;=N450,N453&lt;=N452,N453&lt;=N451),1,0)</x:f>
        <x:v>0</x:v>
      </x:c>
      <x:c r="R453" s="42" t="n">
        <x:v>0</x:v>
      </x:c>
      <x:c r="S453" s="42" t="n">
        <x:v>0</x:v>
      </x:c>
    </x:row>
    <x:row r="454">
      <x:c r="A454" t="n">
        <x:v>8</x:v>
      </x:c>
      <x:c r="B454" t="n">
        <x:v>1</x:v>
      </x:c>
      <x:c r="C454" t="n">
        <x:v>1</x:v>
      </x:c>
      <x:c r="D454" t="n">
        <x:v>1</x:v>
      </x:c>
      <x:c r="E454" t="str">
        <x:v>ele</x:v>
      </x:c>
      <x:c r="F454" s="45" t="n">
        <x:f>(1/2)*$B454+(1/2)*$C454</x:f>
        <x:v>1</x:v>
      </x:c>
      <x:c r="G454" s="45" t="n">
        <x:f>1*$D454</x:f>
        <x:v>1</x:v>
      </x:c>
      <x:c r="H454" s="45" t="n">
        <x:f>(1/2)*$B454+(1/2)*$C454</x:f>
        <x:v>1</x:v>
      </x:c>
      <x:c r="I454" s="45" t="n">
        <x:f>MAX((1/2)*($C454-$B454),0)</x:f>
        <x:v>0</x:v>
      </x:c>
      <x:c r="J454" s="45" t="n">
        <x:f>0</x:f>
        <x:v>0</x:v>
      </x:c>
      <x:c r="K454" s="45" t="n">
        <x:f>MAX((1/2)*($C454-$B454),0)</x:f>
        <x:v>0</x:v>
      </x:c>
      <x:c r="L454" s="45" t="n">
        <x:f>F454+I454</x:f>
        <x:v>1</x:v>
      </x:c>
      <x:c r="M454" s="45" t="n">
        <x:f>G454+J454</x:f>
        <x:v>1</x:v>
      </x:c>
      <x:c r="N454" s="45" t="n">
        <x:f>H454+K454</x:f>
        <x:v>1</x:v>
      </x:c>
      <x:c r="O454" s="45" t="n">
        <x:f>SUM(F454:H454)</x:f>
        <x:v>3</x:v>
      </x:c>
      <x:c r="P454" s="42" t="n">
        <x:f>IF(AND(F454&lt;=F502,F454&lt;=F486,F454&lt;=F470,G454&lt;=G462,G454&lt;=G450,G454&lt;=G458,H454&lt;=H457,H454&lt;=H456,H454&lt;=H455),1,0)</x:f>
        <x:v>0</x:v>
      </x:c>
      <x:c r="Q454" s="42" t="n">
        <x:f>IF(AND(L454&lt;=L502,L454&lt;=L486,L454&lt;=L470,M454&lt;=M462,M454&lt;=M450,M454&lt;=M458,N454&lt;=N457,N454&lt;=N456,N454&lt;=N455),1,0)</x:f>
        <x:v>0</x:v>
      </x:c>
      <x:c r="R454" s="42" t="n">
        <x:v>0</x:v>
      </x:c>
      <x:c r="S454" s="42" t="n">
        <x:v>0</x:v>
      </x:c>
    </x:row>
    <x:row r="455">
      <x:c r="A455" t="n">
        <x:v>8</x:v>
      </x:c>
      <x:c r="B455" t="n">
        <x:v>1</x:v>
      </x:c>
      <x:c r="C455" t="n">
        <x:v>1</x:v>
      </x:c>
      <x:c r="D455" t="n">
        <x:v>1</x:v>
      </x:c>
      <x:c r="E455" t="str">
        <x:v>ell</x:v>
      </x:c>
      <x:c r="F455" s="45" t="n">
        <x:f>1*$B455</x:f>
        <x:v>1</x:v>
      </x:c>
      <x:c r="G455" s="45" t="n">
        <x:f>(1/2)*$C455+(3/2)*$D455</x:f>
        <x:v>2</x:v>
      </x:c>
      <x:c r="H455" s="45" t="n">
        <x:f>(1/2)*$C455+(3/2)*$D455</x:f>
        <x:v>2</x:v>
      </x:c>
      <x:c r="I455" s="45" t="n">
        <x:f>0</x:f>
        <x:v>0</x:v>
      </x:c>
      <x:c r="J455" s="45" t="n">
        <x:f>(1/2)*($C455+$D455)</x:f>
        <x:v>1</x:v>
      </x:c>
      <x:c r="K455" s="45" t="n">
        <x:f>(1/2)*($C455+$D455)</x:f>
        <x:v>1</x:v>
      </x:c>
      <x:c r="L455" s="45" t="n">
        <x:f>F455+I455</x:f>
        <x:v>1</x:v>
      </x:c>
      <x:c r="M455" s="45" t="n">
        <x:f>G455+J455</x:f>
        <x:v>3</x:v>
      </x:c>
      <x:c r="N455" s="45" t="n">
        <x:f>H455+K455</x:f>
        <x:v>3</x:v>
      </x:c>
      <x:c r="O455" s="45" t="n">
        <x:f>SUM(F455:H455)</x:f>
        <x:v>5</x:v>
      </x:c>
      <x:c r="P455" s="42" t="n">
        <x:f>IF(AND(F455&lt;=F503,F455&lt;=F487,F455&lt;=F471,G455&lt;=G463,G455&lt;=G451,G455&lt;=G459,H455&lt;=H457,H455&lt;=H454,H455&lt;=H456),1,0)</x:f>
        <x:v>0</x:v>
      </x:c>
      <x:c r="Q455" s="42" t="n">
        <x:f>IF(AND(L455&lt;=L503,L455&lt;=L487,L455&lt;=L471,M455&lt;=M463,M455&lt;=M451,M455&lt;=M459,N455&lt;=N457,N455&lt;=N454,N455&lt;=N456),1,0)</x:f>
        <x:v>0</x:v>
      </x:c>
      <x:c r="R455" s="42" t="n">
        <x:v>0</x:v>
      </x:c>
      <x:c r="S455" s="42" t="n">
        <x:v>0</x:v>
      </x:c>
    </x:row>
    <x:row r="456">
      <x:c r="A456" t="n">
        <x:v>8</x:v>
      </x:c>
      <x:c r="B456" t="n">
        <x:v>1</x:v>
      </x:c>
      <x:c r="C456" t="n">
        <x:v>1</x:v>
      </x:c>
      <x:c r="D456" t="n">
        <x:v>1</x:v>
      </x:c>
      <x:c r="E456" t="str">
        <x:v>elo</x:v>
      </x:c>
      <x:c r="F456" s="45" t="n">
        <x:f>1*$B456</x:f>
        <x:v>1</x:v>
      </x:c>
      <x:c r="G456" s="45" t="n">
        <x:f>1*$D456</x:f>
        <x:v>1</x:v>
      </x:c>
      <x:c r="H456" s="45" t="n">
        <x:f>0</x:f>
        <x:v>0</x:v>
      </x:c>
      <x:c r="I456" s="45" t="n">
        <x:f>0</x:f>
        <x:v>0</x:v>
      </x:c>
      <x:c r="J456" s="45" t="n">
        <x:f>0</x:f>
        <x:v>0</x:v>
      </x:c>
      <x:c r="K456" s="45" t="n">
        <x:f>0</x:f>
        <x:v>0</x:v>
      </x:c>
      <x:c r="L456" s="45" t="n">
        <x:f>F456+I456</x:f>
        <x:v>1</x:v>
      </x:c>
      <x:c r="M456" s="45" t="n">
        <x:f>G456+J456</x:f>
        <x:v>1</x:v>
      </x:c>
      <x:c r="N456" s="45" t="n">
        <x:f>H456+K456</x:f>
        <x:v>0</x:v>
      </x:c>
      <x:c r="O456" s="45" t="n">
        <x:f>SUM(F456:H456)</x:f>
        <x:v>2</x:v>
      </x:c>
      <x:c r="P456" s="42" t="n">
        <x:f>IF(AND(F456&lt;=F504,F456&lt;=F488,F456&lt;=F472,G456&lt;=G464,G456&lt;=G452,G456&lt;=G460,H456&lt;=H457,H456&lt;=H454,H456&lt;=H455),1,0)</x:f>
        <x:v>1</x:v>
      </x:c>
      <x:c r="Q456" s="42" t="n">
        <x:f>IF(AND(L456&lt;=L504,L456&lt;=L488,L456&lt;=L472,M456&lt;=M464,M456&lt;=M452,M456&lt;=M460,N456&lt;=N457,N456&lt;=N454,N456&lt;=N455),1,0)</x:f>
        <x:v>1</x:v>
      </x:c>
      <x:c r="R456" s="42" t="n">
        <x:v>1</x:v>
      </x:c>
      <x:c r="S456" s="42" t="n">
        <x:v>1</x:v>
      </x:c>
    </x:row>
    <x:row r="457">
      <x:c r="A457" t="n">
        <x:v>8</x:v>
      </x:c>
      <x:c r="B457" t="n">
        <x:v>1</x:v>
      </x:c>
      <x:c r="C457" t="n">
        <x:v>1</x:v>
      </x:c>
      <x:c r="D457" t="n">
        <x:v>1</x:v>
      </x:c>
      <x:c r="E457" t="str">
        <x:v>elv</x:v>
      </x:c>
      <x:c r="F457" s="45" t="n">
        <x:f>1*$B457</x:f>
        <x:v>1</x:v>
      </x:c>
      <x:c r="G457" s="45" t="n">
        <x:f>1*$D457</x:f>
        <x:v>1</x:v>
      </x:c>
      <x:c r="H457" s="45" t="n">
        <x:f>2*$B457</x:f>
        <x:v>2</x:v>
      </x:c>
      <x:c r="I457" s="45" t="n">
        <x:f>0</x:f>
        <x:v>0</x:v>
      </x:c>
      <x:c r="J457" s="45" t="n">
        <x:f>0</x:f>
        <x:v>0</x:v>
      </x:c>
      <x:c r="K457" s="45" t="n">
        <x:f>0</x:f>
        <x:v>0</x:v>
      </x:c>
      <x:c r="L457" s="45" t="n">
        <x:f>F457+I457</x:f>
        <x:v>1</x:v>
      </x:c>
      <x:c r="M457" s="45" t="n">
        <x:f>G457+J457</x:f>
        <x:v>1</x:v>
      </x:c>
      <x:c r="N457" s="45" t="n">
        <x:f>H457+K457</x:f>
        <x:v>2</x:v>
      </x:c>
      <x:c r="O457" s="45" t="n">
        <x:f>SUM(F457:H457)</x:f>
        <x:v>4</x:v>
      </x:c>
      <x:c r="P457" s="42" t="n">
        <x:f>IF(AND(F457&lt;=F505,F457&lt;=F489,F457&lt;=F473,G457&lt;=G465,G457&lt;=G453,G457&lt;=G461,H457&lt;=H454,H457&lt;=H456,H457&lt;=H455),1,0)</x:f>
        <x:v>0</x:v>
      </x:c>
      <x:c r="Q457" s="42" t="n">
        <x:f>IF(AND(L457&lt;=L505,L457&lt;=L489,L457&lt;=L473,M457&lt;=M465,M457&lt;=M453,M457&lt;=M461,N457&lt;=N454,N457&lt;=N456,N457&lt;=N455),1,0)</x:f>
        <x:v>0</x:v>
      </x:c>
      <x:c r="R457" s="42" t="n">
        <x:v>0</x:v>
      </x:c>
      <x:c r="S457" s="42" t="n">
        <x:v>0</x:v>
      </x:c>
    </x:row>
    <x:row r="458">
      <x:c r="A458" t="n">
        <x:v>8</x:v>
      </x:c>
      <x:c r="B458" t="n">
        <x:v>1</x:v>
      </x:c>
      <x:c r="C458" t="n">
        <x:v>1</x:v>
      </x:c>
      <x:c r="D458" t="n">
        <x:v>1</x:v>
      </x:c>
      <x:c r="E458" t="str">
        <x:v>eoe</x:v>
      </x:c>
      <x:c r="F458" s="45" t="n">
        <x:f>(1/2)*$B458+(1/2)*$C458</x:f>
        <x:v>1</x:v>
      </x:c>
      <x:c r="G458" s="45" t="n">
        <x:f>1*$C458+1*$D458</x:f>
        <x:v>2</x:v>
      </x:c>
      <x:c r="H458" s="45" t="n">
        <x:f>(1/2)*$B458+(1/2)*$C458</x:f>
        <x:v>1</x:v>
      </x:c>
      <x:c r="I458" s="45" t="n">
        <x:f>MAX((3/2)*$C458+$D458-(1/2)*$B458,0)</x:f>
        <x:v>2</x:v>
      </x:c>
      <x:c r="J458" s="45" t="n">
        <x:f>0</x:f>
        <x:v>0</x:v>
      </x:c>
      <x:c r="K458" s="45" t="n">
        <x:f>MAX((3/2)*$C458+$D458-(1/2)*$B458,0)</x:f>
        <x:v>2</x:v>
      </x:c>
      <x:c r="L458" s="45" t="n">
        <x:f>F458+I458</x:f>
        <x:v>3</x:v>
      </x:c>
      <x:c r="M458" s="45" t="n">
        <x:f>G458+J458</x:f>
        <x:v>2</x:v>
      </x:c>
      <x:c r="N458" s="45" t="n">
        <x:f>H458+K458</x:f>
        <x:v>3</x:v>
      </x:c>
      <x:c r="O458" s="45" t="n">
        <x:f>SUM(F458:H458)</x:f>
        <x:v>4</x:v>
      </x:c>
      <x:c r="P458" s="42" t="n">
        <x:f>IF(AND(F458&lt;=F506,F458&lt;=F490,F458&lt;=F474,G458&lt;=G462,G458&lt;=G450,G458&lt;=G454,H458&lt;=H461,H458&lt;=H460,H458&lt;=H459),1,0)</x:f>
        <x:v>0</x:v>
      </x:c>
      <x:c r="Q458" s="42" t="n">
        <x:f>IF(AND(L458&lt;=L506,L458&lt;=L490,L458&lt;=L474,M458&lt;=M462,M458&lt;=M450,M458&lt;=M454,N458&lt;=N461,N458&lt;=N460,N458&lt;=N459),1,0)</x:f>
        <x:v>0</x:v>
      </x:c>
      <x:c r="R458" s="42" t="n">
        <x:v>0</x:v>
      </x:c>
      <x:c r="S458" s="42" t="n">
        <x:v>0</x:v>
      </x:c>
    </x:row>
    <x:row r="459">
      <x:c r="A459" t="n">
        <x:v>8</x:v>
      </x:c>
      <x:c r="B459" t="n">
        <x:v>1</x:v>
      </x:c>
      <x:c r="C459" t="n">
        <x:v>1</x:v>
      </x:c>
      <x:c r="D459" t="n">
        <x:v>1</x:v>
      </x:c>
      <x:c r="E459" t="str">
        <x:v>eol</x:v>
      </x:c>
      <x:c r="F459" s="45" t="n">
        <x:f>1*$B459</x:f>
        <x:v>1</x:v>
      </x:c>
      <x:c r="G459" s="45" t="n">
        <x:f>0</x:f>
        <x:v>0</x:v>
      </x:c>
      <x:c r="H459" s="45" t="n">
        <x:f>1*$D459</x:f>
        <x:v>1</x:v>
      </x:c>
      <x:c r="I459" s="45" t="n">
        <x:f>0</x:f>
        <x:v>0</x:v>
      </x:c>
      <x:c r="J459" s="45" t="n">
        <x:f>0</x:f>
        <x:v>0</x:v>
      </x:c>
      <x:c r="K459" s="45" t="n">
        <x:f>0</x:f>
        <x:v>0</x:v>
      </x:c>
      <x:c r="L459" s="45" t="n">
        <x:f>F459+I459</x:f>
        <x:v>1</x:v>
      </x:c>
      <x:c r="M459" s="45" t="n">
        <x:f>G459+J459</x:f>
        <x:v>0</x:v>
      </x:c>
      <x:c r="N459" s="45" t="n">
        <x:f>H459+K459</x:f>
        <x:v>1</x:v>
      </x:c>
      <x:c r="O459" s="45" t="n">
        <x:f>SUM(F459:H459)</x:f>
        <x:v>2</x:v>
      </x:c>
      <x:c r="P459" s="42" t="n">
        <x:f>IF(AND(F459&lt;=F507,F459&lt;=F491,F459&lt;=F475,G459&lt;=G463,G459&lt;=G451,G459&lt;=G455,H459&lt;=H461,H459&lt;=H458,H459&lt;=H460),1,0)</x:f>
        <x:v>1</x:v>
      </x:c>
      <x:c r="Q459" s="42" t="n">
        <x:f>IF(AND(L459&lt;=L507,L459&lt;=L491,L459&lt;=L475,M459&lt;=M463,M459&lt;=M451,M459&lt;=M455,N459&lt;=N461,N459&lt;=N458,N459&lt;=N460),1,0)</x:f>
        <x:v>1</x:v>
      </x:c>
      <x:c r="R459" s="42" t="n">
        <x:v>1</x:v>
      </x:c>
      <x:c r="S459" s="42" t="n">
        <x:v>1</x:v>
      </x:c>
    </x:row>
    <x:row r="460">
      <x:c r="A460" t="n">
        <x:v>8</x:v>
      </x:c>
      <x:c r="B460" t="n">
        <x:v>1</x:v>
      </x:c>
      <x:c r="C460" t="n">
        <x:v>1</x:v>
      </x:c>
      <x:c r="D460" t="n">
        <x:v>1</x:v>
      </x:c>
      <x:c r="E460" t="str">
        <x:v>eoo</x:v>
      </x:c>
      <x:c r="F460" s="45" t="n">
        <x:f>1*$B460</x:f>
        <x:v>1</x:v>
      </x:c>
      <x:c r="G460" s="45" t="n">
        <x:f>(1/2)*$C460+(1/2)*$D460</x:f>
        <x:v>1</x:v>
      </x:c>
      <x:c r="H460" s="45" t="n">
        <x:f>(1/2)*$C460+(1/2)*$D460</x:f>
        <x:v>1</x:v>
      </x:c>
      <x:c r="I460" s="45" t="n">
        <x:f>0</x:f>
        <x:v>0</x:v>
      </x:c>
      <x:c r="J460" s="45" t="n">
        <x:f>(1/2)*($C460+$D460)</x:f>
        <x:v>1</x:v>
      </x:c>
      <x:c r="K460" s="45" t="n">
        <x:f>(1/2)*($C460+$D460)</x:f>
        <x:v>1</x:v>
      </x:c>
      <x:c r="L460" s="45" t="n">
        <x:f>F460+I460</x:f>
        <x:v>1</x:v>
      </x:c>
      <x:c r="M460" s="45" t="n">
        <x:f>G460+J460</x:f>
        <x:v>2</x:v>
      </x:c>
      <x:c r="N460" s="45" t="n">
        <x:f>H460+K460</x:f>
        <x:v>2</x:v>
      </x:c>
      <x:c r="O460" s="45" t="n">
        <x:f>SUM(F460:H460)</x:f>
        <x:v>3</x:v>
      </x:c>
      <x:c r="P460" s="42" t="n">
        <x:f>IF(AND(F460&lt;=F508,F460&lt;=F492,F460&lt;=F476,G460&lt;=G464,G460&lt;=G452,G460&lt;=G456,H460&lt;=H461,H460&lt;=H458,H460&lt;=H459),1,0)</x:f>
        <x:v>1</x:v>
      </x:c>
      <x:c r="Q460" s="42" t="n">
        <x:f>IF(AND(L460&lt;=L508,L460&lt;=L492,L460&lt;=L476,M460&lt;=M464,M460&lt;=M452,M460&lt;=M456,N460&lt;=N461,N460&lt;=N458,N460&lt;=N459),1,0)</x:f>
        <x:v>0</x:v>
      </x:c>
      <x:c r="R460" s="42" t="n">
        <x:v>1</x:v>
      </x:c>
      <x:c r="S460" s="42" t="n">
        <x:v>0</x:v>
      </x:c>
    </x:row>
    <x:row r="461">
      <x:c r="A461" t="n">
        <x:v>8</x:v>
      </x:c>
      <x:c r="B461" t="n">
        <x:v>1</x:v>
      </x:c>
      <x:c r="C461" t="n">
        <x:v>1</x:v>
      </x:c>
      <x:c r="D461" t="n">
        <x:v>1</x:v>
      </x:c>
      <x:c r="E461" t="str">
        <x:v>eov</x:v>
      </x:c>
      <x:c r="F461" s="45" t="n">
        <x:f>1*$B461</x:f>
        <x:v>1</x:v>
      </x:c>
      <x:c r="G461" s="45" t="n">
        <x:f>0</x:f>
        <x:v>0</x:v>
      </x:c>
      <x:c r="H461" s="45" t="n">
        <x:f>2*$B461</x:f>
        <x:v>2</x:v>
      </x:c>
      <x:c r="I461" s="45" t="n">
        <x:f>0</x:f>
        <x:v>0</x:v>
      </x:c>
      <x:c r="J461" s="45" t="n">
        <x:f>0</x:f>
        <x:v>0</x:v>
      </x:c>
      <x:c r="K461" s="45" t="n">
        <x:f>0</x:f>
        <x:v>0</x:v>
      </x:c>
      <x:c r="L461" s="45" t="n">
        <x:f>F461+I461</x:f>
        <x:v>1</x:v>
      </x:c>
      <x:c r="M461" s="45" t="n">
        <x:f>G461+J461</x:f>
        <x:v>0</x:v>
      </x:c>
      <x:c r="N461" s="45" t="n">
        <x:f>H461+K461</x:f>
        <x:v>2</x:v>
      </x:c>
      <x:c r="O461" s="45" t="n">
        <x:f>SUM(F461:H461)</x:f>
        <x:v>3</x:v>
      </x:c>
      <x:c r="P461" s="42" t="n">
        <x:f>IF(AND(F461&lt;=F509,F461&lt;=F493,F461&lt;=F477,G461&lt;=G465,G461&lt;=G453,G461&lt;=G457,H461&lt;=H458,H461&lt;=H460,H461&lt;=H459),1,0)</x:f>
        <x:v>0</x:v>
      </x:c>
      <x:c r="Q461" s="42" t="n">
        <x:f>IF(AND(L461&lt;=L509,L461&lt;=L493,L461&lt;=L477,M461&lt;=M465,M461&lt;=M453,M461&lt;=M457,N461&lt;=N458,N461&lt;=N460,N461&lt;=N459),1,0)</x:f>
        <x:v>0</x:v>
      </x:c>
      <x:c r="R461" s="42" t="n">
        <x:v>0</x:v>
      </x:c>
      <x:c r="S461" s="42" t="n">
        <x:v>0</x:v>
      </x:c>
    </x:row>
    <x:row r="462">
      <x:c r="A462" t="n">
        <x:v>8</x:v>
      </x:c>
      <x:c r="B462" t="n">
        <x:v>1</x:v>
      </x:c>
      <x:c r="C462" t="n">
        <x:v>1</x:v>
      </x:c>
      <x:c r="D462" t="n">
        <x:v>1</x:v>
      </x:c>
      <x:c r="E462" t="str">
        <x:v>eve</x:v>
      </x:c>
      <x:c r="F462" s="45" t="n">
        <x:f>(1/2)*$B462+(1/2)*$C462</x:f>
        <x:v>1</x:v>
      </x:c>
      <x:c r="G462" s="45" t="n">
        <x:f>2*$B462</x:f>
        <x:v>2</x:v>
      </x:c>
      <x:c r="H462" s="45" t="n">
        <x:f>(1/2)*$B462+(1/2)*$C462</x:f>
        <x:v>1</x:v>
      </x:c>
      <x:c r="I462" s="45" t="n">
        <x:f>MAX((1/2)*($C462-$B462),0)</x:f>
        <x:v>0</x:v>
      </x:c>
      <x:c r="J462" s="45" t="n">
        <x:f>0</x:f>
        <x:v>0</x:v>
      </x:c>
      <x:c r="K462" s="45" t="n">
        <x:f>MAX((1/2)*($C462-$B462),0)</x:f>
        <x:v>0</x:v>
      </x:c>
      <x:c r="L462" s="45" t="n">
        <x:f>F462+I462</x:f>
        <x:v>1</x:v>
      </x:c>
      <x:c r="M462" s="45" t="n">
        <x:f>G462+J462</x:f>
        <x:v>2</x:v>
      </x:c>
      <x:c r="N462" s="45" t="n">
        <x:f>H462+K462</x:f>
        <x:v>1</x:v>
      </x:c>
      <x:c r="O462" s="45" t="n">
        <x:f>SUM(F462:H462)</x:f>
        <x:v>4</x:v>
      </x:c>
      <x:c r="P462" s="42" t="n">
        <x:f>IF(AND(F462&lt;=F510,F462&lt;=F494,F462&lt;=F478,G462&lt;=G450,G462&lt;=G458,G462&lt;=G454,H462&lt;=H465,H462&lt;=H464,H462&lt;=H463),1,0)</x:f>
        <x:v>0</x:v>
      </x:c>
      <x:c r="Q462" s="42" t="n">
        <x:f>IF(AND(L462&lt;=L510,L462&lt;=L494,L462&lt;=L478,M462&lt;=M450,M462&lt;=M458,M462&lt;=M454,N462&lt;=N465,N462&lt;=N464,N462&lt;=N463),1,0)</x:f>
        <x:v>0</x:v>
      </x:c>
      <x:c r="R462" s="42" t="n">
        <x:v>0</x:v>
      </x:c>
      <x:c r="S462" s="42" t="n">
        <x:v>0</x:v>
      </x:c>
    </x:row>
    <x:row r="463">
      <x:c r="A463" t="n">
        <x:v>8</x:v>
      </x:c>
      <x:c r="B463" t="n">
        <x:v>1</x:v>
      </x:c>
      <x:c r="C463" t="n">
        <x:v>1</x:v>
      </x:c>
      <x:c r="D463" t="n">
        <x:v>1</x:v>
      </x:c>
      <x:c r="E463" t="str">
        <x:v>evl</x:v>
      </x:c>
      <x:c r="F463" s="45" t="n">
        <x:f>1*$B463</x:f>
        <x:v>1</x:v>
      </x:c>
      <x:c r="G463" s="45" t="n">
        <x:f>2*$B463</x:f>
        <x:v>2</x:v>
      </x:c>
      <x:c r="H463" s="45" t="n">
        <x:f>1*$D463</x:f>
        <x:v>1</x:v>
      </x:c>
      <x:c r="I463" s="45" t="n">
        <x:f>0</x:f>
        <x:v>0</x:v>
      </x:c>
      <x:c r="J463" s="45" t="n">
        <x:f>0</x:f>
        <x:v>0</x:v>
      </x:c>
      <x:c r="K463" s="45" t="n">
        <x:f>0</x:f>
        <x:v>0</x:v>
      </x:c>
      <x:c r="L463" s="45" t="n">
        <x:f>F463+I463</x:f>
        <x:v>1</x:v>
      </x:c>
      <x:c r="M463" s="45" t="n">
        <x:f>G463+J463</x:f>
        <x:v>2</x:v>
      </x:c>
      <x:c r="N463" s="45" t="n">
        <x:f>H463+K463</x:f>
        <x:v>1</x:v>
      </x:c>
      <x:c r="O463" s="45" t="n">
        <x:f>SUM(F463:H463)</x:f>
        <x:v>4</x:v>
      </x:c>
      <x:c r="P463" s="42" t="n">
        <x:f>IF(AND(F463&lt;=F511,F463&lt;=F495,F463&lt;=F479,G463&lt;=G451,G463&lt;=G459,G463&lt;=G455,H463&lt;=H465,H463&lt;=H462,H463&lt;=H464),1,0)</x:f>
        <x:v>0</x:v>
      </x:c>
      <x:c r="Q463" s="42" t="n">
        <x:f>IF(AND(L463&lt;=L511,L463&lt;=L495,L463&lt;=L479,M463&lt;=M451,M463&lt;=M459,M463&lt;=M455,N463&lt;=N465,N463&lt;=N462,N463&lt;=N464),1,0)</x:f>
        <x:v>0</x:v>
      </x:c>
      <x:c r="R463" s="42" t="n">
        <x:v>0</x:v>
      </x:c>
      <x:c r="S463" s="42" t="n">
        <x:v>0</x:v>
      </x:c>
    </x:row>
    <x:row r="464">
      <x:c r="A464" t="n">
        <x:v>8</x:v>
      </x:c>
      <x:c r="B464" t="n">
        <x:v>1</x:v>
      </x:c>
      <x:c r="C464" t="n">
        <x:v>1</x:v>
      </x:c>
      <x:c r="D464" t="n">
        <x:v>1</x:v>
      </x:c>
      <x:c r="E464" t="str">
        <x:v>evo</x:v>
      </x:c>
      <x:c r="F464" s="45" t="n">
        <x:f>1*$B464</x:f>
        <x:v>1</x:v>
      </x:c>
      <x:c r="G464" s="45" t="n">
        <x:f>2*$B464</x:f>
        <x:v>2</x:v>
      </x:c>
      <x:c r="H464" s="45" t="n">
        <x:f>0</x:f>
        <x:v>0</x:v>
      </x:c>
      <x:c r="I464" s="45" t="n">
        <x:f>0</x:f>
        <x:v>0</x:v>
      </x:c>
      <x:c r="J464" s="45" t="n">
        <x:f>0</x:f>
        <x:v>0</x:v>
      </x:c>
      <x:c r="K464" s="45" t="n">
        <x:f>0</x:f>
        <x:v>0</x:v>
      </x:c>
      <x:c r="L464" s="45" t="n">
        <x:f>F464+I464</x:f>
        <x:v>1</x:v>
      </x:c>
      <x:c r="M464" s="45" t="n">
        <x:f>G464+J464</x:f>
        <x:v>2</x:v>
      </x:c>
      <x:c r="N464" s="45" t="n">
        <x:f>H464+K464</x:f>
        <x:v>0</x:v>
      </x:c>
      <x:c r="O464" s="45" t="n">
        <x:f>SUM(F464:H464)</x:f>
        <x:v>3</x:v>
      </x:c>
      <x:c r="P464" s="42" t="n">
        <x:f>IF(AND(F464&lt;=F512,F464&lt;=F496,F464&lt;=F480,G464&lt;=G452,G464&lt;=G460,G464&lt;=G456,H464&lt;=H465,H464&lt;=H462,H464&lt;=H463),1,0)</x:f>
        <x:v>0</x:v>
      </x:c>
      <x:c r="Q464" s="42" t="n">
        <x:f>IF(AND(L464&lt;=L512,L464&lt;=L496,L464&lt;=L480,M464&lt;=M452,M464&lt;=M460,M464&lt;=M456,N464&lt;=N465,N464&lt;=N462,N464&lt;=N463),1,0)</x:f>
        <x:v>0</x:v>
      </x:c>
      <x:c r="R464" s="42" t="n">
        <x:v>0</x:v>
      </x:c>
      <x:c r="S464" s="42" t="n">
        <x:v>0</x:v>
      </x:c>
    </x:row>
    <x:row r="465">
      <x:c r="A465" t="n">
        <x:v>8</x:v>
      </x:c>
      <x:c r="B465" t="n">
        <x:v>1</x:v>
      </x:c>
      <x:c r="C465" t="n">
        <x:v>1</x:v>
      </x:c>
      <x:c r="D465" t="n">
        <x:v>1</x:v>
      </x:c>
      <x:c r="E465" t="str">
        <x:v>evv</x:v>
      </x:c>
      <x:c r="F465" s="45" t="n">
        <x:f>1*$C465</x:f>
        <x:v>1</x:v>
      </x:c>
      <x:c r="G465" s="45" t="n">
        <x:f>(3/2)*$B465+(1/2)*$C465</x:f>
        <x:v>2</x:v>
      </x:c>
      <x:c r="H465" s="45" t="n">
        <x:f>(3/2)*$B465+(1/2)*$C465</x:f>
        <x:v>2</x:v>
      </x:c>
      <x:c r="I465" s="45" t="n">
        <x:f>0</x:f>
        <x:v>0</x:v>
      </x:c>
      <x:c r="J465" s="45" t="n">
        <x:f>MAX((3/2)*($C465-$B465),0)</x:f>
        <x:v>0</x:v>
      </x:c>
      <x:c r="K465" s="45" t="n">
        <x:f>MAX((3/2)*($C465-$B465),0)</x:f>
        <x:v>0</x:v>
      </x:c>
      <x:c r="L465" s="45" t="n">
        <x:f>F465+I465</x:f>
        <x:v>1</x:v>
      </x:c>
      <x:c r="M465" s="45" t="n">
        <x:f>G465+J465</x:f>
        <x:v>2</x:v>
      </x:c>
      <x:c r="N465" s="45" t="n">
        <x:f>H465+K465</x:f>
        <x:v>2</x:v>
      </x:c>
      <x:c r="O465" s="45" t="n">
        <x:f>SUM(F465:H465)</x:f>
        <x:v>5</x:v>
      </x:c>
      <x:c r="P465" s="42" t="n">
        <x:f>IF(AND(F465&lt;=F513,F465&lt;=F497,F465&lt;=F481,G465&lt;=G453,G465&lt;=G461,G465&lt;=G457,H465&lt;=H462,H465&lt;=H464,H465&lt;=H463),1,0)</x:f>
        <x:v>0</x:v>
      </x:c>
      <x:c r="Q465" s="42" t="n">
        <x:f>IF(AND(L465&lt;=L513,L465&lt;=L497,L465&lt;=L481,M465&lt;=M453,M465&lt;=M461,M465&lt;=M457,N465&lt;=N462,N465&lt;=N464,N465&lt;=N463),1,0)</x:f>
        <x:v>0</x:v>
      </x:c>
      <x:c r="R465" s="42" t="n">
        <x:v>0</x:v>
      </x:c>
      <x:c r="S465" s="42" t="n">
        <x:v>0</x:v>
      </x:c>
    </x:row>
    <x:row r="466">
      <x:c r="A466" t="n">
        <x:v>8</x:v>
      </x:c>
      <x:c r="B466" t="n">
        <x:v>1</x:v>
      </x:c>
      <x:c r="C466" t="n">
        <x:v>1</x:v>
      </x:c>
      <x:c r="D466" t="n">
        <x:v>1</x:v>
      </x:c>
      <x:c r="E466" t="str">
        <x:v>lee</x:v>
      </x:c>
      <x:c r="F466" s="45" t="n">
        <x:f>1*$D466</x:f>
        <x:v>1</x:v>
      </x:c>
      <x:c r="G466" s="45" t="n">
        <x:f>(1/2)*$B466+(1/2)*$C466</x:f>
        <x:v>1</x:v>
      </x:c>
      <x:c r="H466" s="45" t="n">
        <x:f>(1/2)*$B466+(1/2)*$C466</x:f>
        <x:v>1</x:v>
      </x:c>
      <x:c r="I466" s="45" t="n">
        <x:f>0</x:f>
        <x:v>0</x:v>
      </x:c>
      <x:c r="J466" s="45" t="n">
        <x:f>MAX((1/2)*($C466-$B466),0)</x:f>
        <x:v>0</x:v>
      </x:c>
      <x:c r="K466" s="45" t="n">
        <x:f>MAX((1/2)*($C466-$B466),0)</x:f>
        <x:v>0</x:v>
      </x:c>
      <x:c r="L466" s="45" t="n">
        <x:f>F466+I466</x:f>
        <x:v>1</x:v>
      </x:c>
      <x:c r="M466" s="45" t="n">
        <x:f>G466+J466</x:f>
        <x:v>1</x:v>
      </x:c>
      <x:c r="N466" s="45" t="n">
        <x:f>H466+K466</x:f>
        <x:v>1</x:v>
      </x:c>
      <x:c r="O466" s="45" t="n">
        <x:f>SUM(F466:H466)</x:f>
        <x:v>3</x:v>
      </x:c>
      <x:c r="P466" s="42" t="n">
        <x:f>IF(AND(F466&lt;=F498,F466&lt;=F450,F466&lt;=F482,G466&lt;=G478,G466&lt;=G474,G466&lt;=G470,H466&lt;=H469,H466&lt;=H468,H466&lt;=H467),1,0)</x:f>
        <x:v>0</x:v>
      </x:c>
      <x:c r="Q466" s="42" t="n">
        <x:f>IF(AND(L466&lt;=L498,L466&lt;=L450,L466&lt;=L482,M466&lt;=M478,M466&lt;=M474,M466&lt;=M470,N466&lt;=N469,N466&lt;=N468,N466&lt;=N467),1,0)</x:f>
        <x:v>0</x:v>
      </x:c>
      <x:c r="R466" s="42" t="n">
        <x:v>0</x:v>
      </x:c>
      <x:c r="S466" s="42" t="n">
        <x:v>0</x:v>
      </x:c>
    </x:row>
    <x:row r="467">
      <x:c r="A467" t="n">
        <x:v>8</x:v>
      </x:c>
      <x:c r="B467" t="n">
        <x:v>1</x:v>
      </x:c>
      <x:c r="C467" t="n">
        <x:v>1</x:v>
      </x:c>
      <x:c r="D467" t="n">
        <x:v>1</x:v>
      </x:c>
      <x:c r="E467" t="str">
        <x:v>lel</x:v>
      </x:c>
      <x:c r="F467" s="45" t="n">
        <x:f>(1/2)*$C467+(3/2)*$D467</x:f>
        <x:v>2</x:v>
      </x:c>
      <x:c r="G467" s="45" t="n">
        <x:f>1*$B467</x:f>
        <x:v>1</x:v>
      </x:c>
      <x:c r="H467" s="45" t="n">
        <x:f>(1/2)*$C467+(3/2)*$D467</x:f>
        <x:v>2</x:v>
      </x:c>
      <x:c r="I467" s="45" t="n">
        <x:f>(1/2)*($C467+$D467)</x:f>
        <x:v>1</x:v>
      </x:c>
      <x:c r="J467" s="45" t="n">
        <x:f>0</x:f>
        <x:v>0</x:v>
      </x:c>
      <x:c r="K467" s="45" t="n">
        <x:f>(1/2)*($C467+$D467)</x:f>
        <x:v>1</x:v>
      </x:c>
      <x:c r="L467" s="45" t="n">
        <x:f>F467+I467</x:f>
        <x:v>3</x:v>
      </x:c>
      <x:c r="M467" s="45" t="n">
        <x:f>G467+J467</x:f>
        <x:v>1</x:v>
      </x:c>
      <x:c r="N467" s="45" t="n">
        <x:f>H467+K467</x:f>
        <x:v>3</x:v>
      </x:c>
      <x:c r="O467" s="45" t="n">
        <x:f>SUM(F467:H467)</x:f>
        <x:v>5</x:v>
      </x:c>
      <x:c r="P467" s="42" t="n">
        <x:f>IF(AND(F467&lt;=F499,F467&lt;=F451,F467&lt;=F483,G467&lt;=G479,G467&lt;=G475,G467&lt;=G471,H467&lt;=H469,H467&lt;=H466,H467&lt;=H468),1,0)</x:f>
        <x:v>0</x:v>
      </x:c>
      <x:c r="Q467" s="42" t="n">
        <x:f>IF(AND(L467&lt;=L499,L467&lt;=L451,L467&lt;=L483,M467&lt;=M479,M467&lt;=M475,M467&lt;=M471,N467&lt;=N469,N467&lt;=N466,N467&lt;=N468),1,0)</x:f>
        <x:v>0</x:v>
      </x:c>
      <x:c r="R467" s="42" t="n">
        <x:v>0</x:v>
      </x:c>
      <x:c r="S467" s="42" t="n">
        <x:v>0</x:v>
      </x:c>
    </x:row>
    <x:row r="468">
      <x:c r="A468" t="n">
        <x:v>8</x:v>
      </x:c>
      <x:c r="B468" t="n">
        <x:v>1</x:v>
      </x:c>
      <x:c r="C468" t="n">
        <x:v>1</x:v>
      </x:c>
      <x:c r="D468" t="n">
        <x:v>1</x:v>
      </x:c>
      <x:c r="E468" t="str">
        <x:v>leo</x:v>
      </x:c>
      <x:c r="F468" s="45" t="n">
        <x:f>1*$D468</x:f>
        <x:v>1</x:v>
      </x:c>
      <x:c r="G468" s="45" t="n">
        <x:f>1*$B468</x:f>
        <x:v>1</x:v>
      </x:c>
      <x:c r="H468" s="45" t="n">
        <x:f>0</x:f>
        <x:v>0</x:v>
      </x:c>
      <x:c r="I468" s="45" t="n">
        <x:f>0</x:f>
        <x:v>0</x:v>
      </x:c>
      <x:c r="J468" s="45" t="n">
        <x:f>0</x:f>
        <x:v>0</x:v>
      </x:c>
      <x:c r="K468" s="45" t="n">
        <x:f>0</x:f>
        <x:v>0</x:v>
      </x:c>
      <x:c r="L468" s="45" t="n">
        <x:f>F468+I468</x:f>
        <x:v>1</x:v>
      </x:c>
      <x:c r="M468" s="45" t="n">
        <x:f>G468+J468</x:f>
        <x:v>1</x:v>
      </x:c>
      <x:c r="N468" s="45" t="n">
        <x:f>H468+K468</x:f>
        <x:v>0</x:v>
      </x:c>
      <x:c r="O468" s="45" t="n">
        <x:f>SUM(F468:H468)</x:f>
        <x:v>2</x:v>
      </x:c>
      <x:c r="P468" s="42" t="n">
        <x:f>IF(AND(F468&lt;=F500,F468&lt;=F452,F468&lt;=F484,G468&lt;=G480,G468&lt;=G476,G468&lt;=G472,H468&lt;=H469,H468&lt;=H466,H468&lt;=H467),1,0)</x:f>
        <x:v>1</x:v>
      </x:c>
      <x:c r="Q468" s="42" t="n">
        <x:f>IF(AND(L468&lt;=L500,L468&lt;=L452,L468&lt;=L484,M468&lt;=M480,M468&lt;=M476,M468&lt;=M472,N468&lt;=N469,N468&lt;=N466,N468&lt;=N467),1,0)</x:f>
        <x:v>1</x:v>
      </x:c>
      <x:c r="R468" s="42" t="n">
        <x:v>1</x:v>
      </x:c>
      <x:c r="S468" s="42" t="n">
        <x:v>1</x:v>
      </x:c>
    </x:row>
    <x:row r="469">
      <x:c r="A469" t="n">
        <x:v>8</x:v>
      </x:c>
      <x:c r="B469" t="n">
        <x:v>1</x:v>
      </x:c>
      <x:c r="C469" t="n">
        <x:v>1</x:v>
      </x:c>
      <x:c r="D469" t="n">
        <x:v>1</x:v>
      </x:c>
      <x:c r="E469" t="str">
        <x:v>lev</x:v>
      </x:c>
      <x:c r="F469" s="45" t="n">
        <x:f>1*$D469</x:f>
        <x:v>1</x:v>
      </x:c>
      <x:c r="G469" s="45" t="n">
        <x:f>1*$B469</x:f>
        <x:v>1</x:v>
      </x:c>
      <x:c r="H469" s="45" t="n">
        <x:f>2*$B469</x:f>
        <x:v>2</x:v>
      </x:c>
      <x:c r="I469" s="45" t="n">
        <x:f>0</x:f>
        <x:v>0</x:v>
      </x:c>
      <x:c r="J469" s="45" t="n">
        <x:f>0</x:f>
        <x:v>0</x:v>
      </x:c>
      <x:c r="K469" s="45" t="n">
        <x:f>0</x:f>
        <x:v>0</x:v>
      </x:c>
      <x:c r="L469" s="45" t="n">
        <x:f>F469+I469</x:f>
        <x:v>1</x:v>
      </x:c>
      <x:c r="M469" s="45" t="n">
        <x:f>G469+J469</x:f>
        <x:v>1</x:v>
      </x:c>
      <x:c r="N469" s="45" t="n">
        <x:f>H469+K469</x:f>
        <x:v>2</x:v>
      </x:c>
      <x:c r="O469" s="45" t="n">
        <x:f>SUM(F469:H469)</x:f>
        <x:v>4</x:v>
      </x:c>
      <x:c r="P469" s="42" t="n">
        <x:f>IF(AND(F469&lt;=F501,F469&lt;=F453,F469&lt;=F485,G469&lt;=G481,G469&lt;=G477,G469&lt;=G473,H469&lt;=H466,H469&lt;=H468,H469&lt;=H467),1,0)</x:f>
        <x:v>0</x:v>
      </x:c>
      <x:c r="Q469" s="42" t="n">
        <x:f>IF(AND(L469&lt;=L501,L469&lt;=L453,L469&lt;=L485,M469&lt;=M481,M469&lt;=M477,M469&lt;=M473,N469&lt;=N466,N469&lt;=N468,N469&lt;=N467),1,0)</x:f>
        <x:v>0</x:v>
      </x:c>
      <x:c r="R469" s="42" t="n">
        <x:v>0</x:v>
      </x:c>
      <x:c r="S469" s="42" t="n">
        <x:v>0</x:v>
      </x:c>
    </x:row>
    <x:row r="470">
      <x:c r="A470" t="n">
        <x:v>8</x:v>
      </x:c>
      <x:c r="B470" t="n">
        <x:v>1</x:v>
      </x:c>
      <x:c r="C470" t="n">
        <x:v>1</x:v>
      </x:c>
      <x:c r="D470" t="n">
        <x:v>1</x:v>
      </x:c>
      <x:c r="E470" t="str">
        <x:v>lle</x:v>
      </x:c>
      <x:c r="F470" s="45" t="n">
        <x:f>(1/2)*$C470+(3/2)*$D470</x:f>
        <x:v>2</x:v>
      </x:c>
      <x:c r="G470" s="45" t="n">
        <x:f>(1/2)*$C470+(3/2)*$D470</x:f>
        <x:v>2</x:v>
      </x:c>
      <x:c r="H470" s="45" t="n">
        <x:f>1*$B470</x:f>
        <x:v>1</x:v>
      </x:c>
      <x:c r="I470" s="45" t="n">
        <x:f>(1/2)*($C470+$D470)</x:f>
        <x:v>1</x:v>
      </x:c>
      <x:c r="J470" s="45" t="n">
        <x:f>(1/2)*($C470+$D470)</x:f>
        <x:v>1</x:v>
      </x:c>
      <x:c r="K470" s="45" t="n">
        <x:f>0</x:f>
        <x:v>0</x:v>
      </x:c>
      <x:c r="L470" s="45" t="n">
        <x:f>F470+I470</x:f>
        <x:v>3</x:v>
      </x:c>
      <x:c r="M470" s="45" t="n">
        <x:f>G470+J470</x:f>
        <x:v>3</x:v>
      </x:c>
      <x:c r="N470" s="45" t="n">
        <x:f>H470+K470</x:f>
        <x:v>1</x:v>
      </x:c>
      <x:c r="O470" s="45" t="n">
        <x:f>SUM(F470:H470)</x:f>
        <x:v>5</x:v>
      </x:c>
      <x:c r="P470" s="42" t="n">
        <x:f>IF(AND(F470&lt;=F502,F470&lt;=F454,F470&lt;=F486,G470&lt;=G478,G470&lt;=G466,G470&lt;=G474,H470&lt;=H473,H470&lt;=H472,H470&lt;=H471),1,0)</x:f>
        <x:v>0</x:v>
      </x:c>
      <x:c r="Q470" s="42" t="n">
        <x:f>IF(AND(L470&lt;=L502,L470&lt;=L454,L470&lt;=L486,M470&lt;=M478,M470&lt;=M466,M470&lt;=M474,N470&lt;=N473,N470&lt;=N472,N470&lt;=N471),1,0)</x:f>
        <x:v>0</x:v>
      </x:c>
      <x:c r="R470" s="42" t="n">
        <x:v>0</x:v>
      </x:c>
      <x:c r="S470" s="42" t="n">
        <x:v>0</x:v>
      </x:c>
    </x:row>
    <x:row r="471">
      <x:c r="A471" t="n">
        <x:v>8</x:v>
      </x:c>
      <x:c r="B471" t="n">
        <x:v>1</x:v>
      </x:c>
      <x:c r="C471" t="n">
        <x:v>1</x:v>
      </x:c>
      <x:c r="D471" t="n">
        <x:v>1</x:v>
      </x:c>
      <x:c r="E471" t="str">
        <x:v>lll</x:v>
      </x:c>
      <x:c r="F471" s="45" t="n">
        <x:f>1*$C471+2*$D471</x:f>
        <x:v>3</x:v>
      </x:c>
      <x:c r="G471" s="45" t="n">
        <x:f>1*$C471+2*$D471</x:f>
        <x:v>3</x:v>
      </x:c>
      <x:c r="H471" s="45" t="n">
        <x:f>1*$C471+2*$D471</x:f>
        <x:v>3</x:v>
      </x:c>
      <x:c r="I471" s="45" t="n">
        <x:f>$C471+$D471</x:f>
        <x:v>2</x:v>
      </x:c>
      <x:c r="J471" s="45" t="n">
        <x:f>$C471+$D471</x:f>
        <x:v>2</x:v>
      </x:c>
      <x:c r="K471" s="45" t="n">
        <x:f>$C471+$D471</x:f>
        <x:v>2</x:v>
      </x:c>
      <x:c r="L471" s="45" t="n">
        <x:f>F471+I471</x:f>
        <x:v>5</x:v>
      </x:c>
      <x:c r="M471" s="45" t="n">
        <x:f>G471+J471</x:f>
        <x:v>5</x:v>
      </x:c>
      <x:c r="N471" s="45" t="n">
        <x:f>H471+K471</x:f>
        <x:v>5</x:v>
      </x:c>
      <x:c r="O471" s="45" t="n">
        <x:f>SUM(F471:H471)</x:f>
        <x:v>9</x:v>
      </x:c>
      <x:c r="P471" s="42" t="n">
        <x:f>IF(AND(F471&lt;=F503,F471&lt;=F455,F471&lt;=F487,G471&lt;=G479,G471&lt;=G467,G471&lt;=G475,H471&lt;=H473,H471&lt;=H470,H471&lt;=H472),1,0)</x:f>
        <x:v>0</x:v>
      </x:c>
      <x:c r="Q471" s="42" t="n">
        <x:f>IF(AND(L471&lt;=L503,L471&lt;=L455,L471&lt;=L487,M471&lt;=M479,M471&lt;=M467,M471&lt;=M475,N471&lt;=N473,N471&lt;=N470,N471&lt;=N472),1,0)</x:f>
        <x:v>0</x:v>
      </x:c>
      <x:c r="R471" s="42" t="n">
        <x:v>0</x:v>
      </x:c>
      <x:c r="S471" s="42" t="n">
        <x:v>0</x:v>
      </x:c>
    </x:row>
    <x:row r="472">
      <x:c r="A472" t="n">
        <x:v>8</x:v>
      </x:c>
      <x:c r="B472" t="n">
        <x:v>1</x:v>
      </x:c>
      <x:c r="C472" t="n">
        <x:v>1</x:v>
      </x:c>
      <x:c r="D472" t="n">
        <x:v>1</x:v>
      </x:c>
      <x:c r="E472" t="str">
        <x:v>llo</x:v>
      </x:c>
      <x:c r="F472" s="45" t="n">
        <x:f>(1/2)*$C472+(3/2)*$D472</x:f>
        <x:v>2</x:v>
      </x:c>
      <x:c r="G472" s="45" t="n">
        <x:f>(1/2)*$C472+(3/2)*$D472</x:f>
        <x:v>2</x:v>
      </x:c>
      <x:c r="H472" s="45" t="n">
        <x:f>0</x:f>
        <x:v>0</x:v>
      </x:c>
      <x:c r="I472" s="45" t="n">
        <x:f>(1/2)*($C472+$D472)</x:f>
        <x:v>1</x:v>
      </x:c>
      <x:c r="J472" s="45" t="n">
        <x:f>(1/2)*($C472+$D472)</x:f>
        <x:v>1</x:v>
      </x:c>
      <x:c r="K472" s="45" t="n">
        <x:f>0</x:f>
        <x:v>0</x:v>
      </x:c>
      <x:c r="L472" s="45" t="n">
        <x:f>F472+I472</x:f>
        <x:v>3</x:v>
      </x:c>
      <x:c r="M472" s="45" t="n">
        <x:f>G472+J472</x:f>
        <x:v>3</x:v>
      </x:c>
      <x:c r="N472" s="45" t="n">
        <x:f>H472+K472</x:f>
        <x:v>0</x:v>
      </x:c>
      <x:c r="O472" s="45" t="n">
        <x:f>SUM(F472:H472)</x:f>
        <x:v>4</x:v>
      </x:c>
      <x:c r="P472" s="42" t="n">
        <x:f>IF(AND(F472&lt;=F504,F472&lt;=F456,F472&lt;=F488,G472&lt;=G480,G472&lt;=G468,G472&lt;=G476,H472&lt;=H473,H472&lt;=H470,H472&lt;=H471),1,0)</x:f>
        <x:v>0</x:v>
      </x:c>
      <x:c r="Q472" s="42" t="n">
        <x:f>IF(AND(L472&lt;=L504,L472&lt;=L456,L472&lt;=L488,M472&lt;=M480,M472&lt;=M468,M472&lt;=M476,N472&lt;=N473,N472&lt;=N470,N472&lt;=N471),1,0)</x:f>
        <x:v>0</x:v>
      </x:c>
      <x:c r="R472" s="42" t="n">
        <x:v>0</x:v>
      </x:c>
      <x:c r="S472" s="42" t="n">
        <x:v>0</x:v>
      </x:c>
    </x:row>
    <x:row r="473">
      <x:c r="A473" t="n">
        <x:v>8</x:v>
      </x:c>
      <x:c r="B473" t="n">
        <x:v>1</x:v>
      </x:c>
      <x:c r="C473" t="n">
        <x:v>1</x:v>
      </x:c>
      <x:c r="D473" t="n">
        <x:v>1</x:v>
      </x:c>
      <x:c r="E473" t="str">
        <x:v>llv</x:v>
      </x:c>
      <x:c r="F473" s="45" t="n">
        <x:f>(1/2)*$C473+(3/2)*$D473</x:f>
        <x:v>2</x:v>
      </x:c>
      <x:c r="G473" s="45" t="n">
        <x:f>(1/2)*$C473+(3/2)*$D473</x:f>
        <x:v>2</x:v>
      </x:c>
      <x:c r="H473" s="45" t="n">
        <x:f>2*$B473</x:f>
        <x:v>2</x:v>
      </x:c>
      <x:c r="I473" s="45" t="n">
        <x:f>(1/2)*($C473+$D473)</x:f>
        <x:v>1</x:v>
      </x:c>
      <x:c r="J473" s="45" t="n">
        <x:f>(1/2)*($C473+$D473)</x:f>
        <x:v>1</x:v>
      </x:c>
      <x:c r="K473" s="45" t="n">
        <x:f>0</x:f>
        <x:v>0</x:v>
      </x:c>
      <x:c r="L473" s="45" t="n">
        <x:f>F473+I473</x:f>
        <x:v>3</x:v>
      </x:c>
      <x:c r="M473" s="45" t="n">
        <x:f>G473+J473</x:f>
        <x:v>3</x:v>
      </x:c>
      <x:c r="N473" s="45" t="n">
        <x:f>H473+K473</x:f>
        <x:v>2</x:v>
      </x:c>
      <x:c r="O473" s="45" t="n">
        <x:f>SUM(F473:H473)</x:f>
        <x:v>6</x:v>
      </x:c>
      <x:c r="P473" s="42" t="n">
        <x:f>IF(AND(F473&lt;=F505,F473&lt;=F457,F473&lt;=F489,G473&lt;=G481,G473&lt;=G469,G473&lt;=G477,H473&lt;=H470,H473&lt;=H472,H473&lt;=H471),1,0)</x:f>
        <x:v>0</x:v>
      </x:c>
      <x:c r="Q473" s="42" t="n">
        <x:f>IF(AND(L473&lt;=L505,L473&lt;=L457,L473&lt;=L489,M473&lt;=M481,M473&lt;=M469,M473&lt;=M477,N473&lt;=N470,N473&lt;=N472,N473&lt;=N471),1,0)</x:f>
        <x:v>0</x:v>
      </x:c>
      <x:c r="R473" s="42" t="n">
        <x:v>0</x:v>
      </x:c>
      <x:c r="S473" s="42" t="n">
        <x:v>0</x:v>
      </x:c>
    </x:row>
    <x:row r="474">
      <x:c r="A474" t="n">
        <x:v>8</x:v>
      </x:c>
      <x:c r="B474" t="n">
        <x:v>1</x:v>
      </x:c>
      <x:c r="C474" t="n">
        <x:v>1</x:v>
      </x:c>
      <x:c r="D474" t="n">
        <x:v>1</x:v>
      </x:c>
      <x:c r="E474" t="str">
        <x:v>loe</x:v>
      </x:c>
      <x:c r="F474" s="45" t="n">
        <x:f>1*$D474</x:f>
        <x:v>1</x:v>
      </x:c>
      <x:c r="G474" s="45" t="n">
        <x:f>0</x:f>
        <x:v>0</x:v>
      </x:c>
      <x:c r="H474" s="45" t="n">
        <x:f>1*$B474</x:f>
        <x:v>1</x:v>
      </x:c>
      <x:c r="I474" s="45" t="n">
        <x:f>0</x:f>
        <x:v>0</x:v>
      </x:c>
      <x:c r="J474" s="45" t="n">
        <x:f>0</x:f>
        <x:v>0</x:v>
      </x:c>
      <x:c r="K474" s="45" t="n">
        <x:f>0</x:f>
        <x:v>0</x:v>
      </x:c>
      <x:c r="L474" s="45" t="n">
        <x:f>F474+I474</x:f>
        <x:v>1</x:v>
      </x:c>
      <x:c r="M474" s="45" t="n">
        <x:f>G474+J474</x:f>
        <x:v>0</x:v>
      </x:c>
      <x:c r="N474" s="45" t="n">
        <x:f>H474+K474</x:f>
        <x:v>1</x:v>
      </x:c>
      <x:c r="O474" s="45" t="n">
        <x:f>SUM(F474:H474)</x:f>
        <x:v>2</x:v>
      </x:c>
      <x:c r="P474" s="42" t="n">
        <x:f>IF(AND(F474&lt;=F506,F474&lt;=F458,F474&lt;=F490,G474&lt;=G478,G474&lt;=G466,G474&lt;=G470,H474&lt;=H477,H474&lt;=H476,H474&lt;=H475),1,0)</x:f>
        <x:v>1</x:v>
      </x:c>
      <x:c r="Q474" s="42" t="n">
        <x:f>IF(AND(L474&lt;=L506,L474&lt;=L458,L474&lt;=L490,M474&lt;=M478,M474&lt;=M466,M474&lt;=M470,N474&lt;=N477,N474&lt;=N476,N474&lt;=N475),1,0)</x:f>
        <x:v>1</x:v>
      </x:c>
      <x:c r="R474" s="42" t="n">
        <x:v>1</x:v>
      </x:c>
      <x:c r="S474" s="42" t="n">
        <x:v>1</x:v>
      </x:c>
    </x:row>
    <x:row r="475">
      <x:c r="A475" t="n">
        <x:v>8</x:v>
      </x:c>
      <x:c r="B475" t="n">
        <x:v>1</x:v>
      </x:c>
      <x:c r="C475" t="n">
        <x:v>1</x:v>
      </x:c>
      <x:c r="D475" t="n">
        <x:v>1</x:v>
      </x:c>
      <x:c r="E475" t="str">
        <x:v>lol</x:v>
      </x:c>
      <x:c r="F475" s="45" t="n">
        <x:f>(1/2)*$C475+(3/2)*$D475</x:f>
        <x:v>2</x:v>
      </x:c>
      <x:c r="G475" s="45" t="n">
        <x:f>0</x:f>
        <x:v>0</x:v>
      </x:c>
      <x:c r="H475" s="45" t="n">
        <x:f>(1/2)*$C475+(3/2)*$D475</x:f>
        <x:v>2</x:v>
      </x:c>
      <x:c r="I475" s="45" t="n">
        <x:f>(1/2)*($C475+$D475)</x:f>
        <x:v>1</x:v>
      </x:c>
      <x:c r="J475" s="45" t="n">
        <x:f>0</x:f>
        <x:v>0</x:v>
      </x:c>
      <x:c r="K475" s="45" t="n">
        <x:f>(1/2)*($C475+$D475)</x:f>
        <x:v>1</x:v>
      </x:c>
      <x:c r="L475" s="45" t="n">
        <x:f>F475+I475</x:f>
        <x:v>3</x:v>
      </x:c>
      <x:c r="M475" s="45" t="n">
        <x:f>G475+J475</x:f>
        <x:v>0</x:v>
      </x:c>
      <x:c r="N475" s="45" t="n">
        <x:f>H475+K475</x:f>
        <x:v>3</x:v>
      </x:c>
      <x:c r="O475" s="45" t="n">
        <x:f>SUM(F475:H475)</x:f>
        <x:v>4</x:v>
      </x:c>
      <x:c r="P475" s="42" t="n">
        <x:f>IF(AND(F475&lt;=F507,F475&lt;=F459,F475&lt;=F491,G475&lt;=G479,G475&lt;=G467,G475&lt;=G471,H475&lt;=H477,H475&lt;=H474,H475&lt;=H476),1,0)</x:f>
        <x:v>0</x:v>
      </x:c>
      <x:c r="Q475" s="42" t="n">
        <x:f>IF(AND(L475&lt;=L507,L475&lt;=L459,L475&lt;=L491,M475&lt;=M479,M475&lt;=M467,M475&lt;=M471,N475&lt;=N477,N475&lt;=N474,N475&lt;=N476),1,0)</x:f>
        <x:v>0</x:v>
      </x:c>
      <x:c r="R475" s="42" t="n">
        <x:v>0</x:v>
      </x:c>
      <x:c r="S475" s="42" t="n">
        <x:v>0</x:v>
      </x:c>
    </x:row>
    <x:row r="476">
      <x:c r="A476" t="n">
        <x:v>8</x:v>
      </x:c>
      <x:c r="B476" t="n">
        <x:v>1</x:v>
      </x:c>
      <x:c r="C476" t="n">
        <x:v>1</x:v>
      </x:c>
      <x:c r="D476" t="n">
        <x:v>1</x:v>
      </x:c>
      <x:c r="E476" t="str">
        <x:v>loo</x:v>
      </x:c>
      <x:c r="F476" s="45" t="n">
        <x:f>1*$C476+2*$D476</x:f>
        <x:v>3</x:v>
      </x:c>
      <x:c r="G476" s="45" t="n">
        <x:f>(1/2)*$C476+(1/2)*$D476</x:f>
        <x:v>1</x:v>
      </x:c>
      <x:c r="H476" s="45" t="n">
        <x:f>(1/2)*$C476+(1/2)*$D476</x:f>
        <x:v>1</x:v>
      </x:c>
      <x:c r="I476" s="45" t="n">
        <x:f>0</x:f>
        <x:v>0</x:v>
      </x:c>
      <x:c r="J476" s="45" t="n">
        <x:f>(3/2)*($C476+$D476)</x:f>
        <x:v>3</x:v>
      </x:c>
      <x:c r="K476" s="45" t="n">
        <x:f>(3/2)*($C476+$D476)</x:f>
        <x:v>3</x:v>
      </x:c>
      <x:c r="L476" s="45" t="n">
        <x:f>F476+I476</x:f>
        <x:v>3</x:v>
      </x:c>
      <x:c r="M476" s="45" t="n">
        <x:f>G476+J476</x:f>
        <x:v>4</x:v>
      </x:c>
      <x:c r="N476" s="45" t="n">
        <x:f>H476+K476</x:f>
        <x:v>4</x:v>
      </x:c>
      <x:c r="O476" s="45" t="n">
        <x:f>SUM(F476:H476)</x:f>
        <x:v>5</x:v>
      </x:c>
      <x:c r="P476" s="42" t="n">
        <x:f>IF(AND(F476&lt;=F508,F476&lt;=F460,F476&lt;=F492,G476&lt;=G480,G476&lt;=G468,G476&lt;=G472,H476&lt;=H477,H476&lt;=H474,H476&lt;=H475),1,0)</x:f>
        <x:v>0</x:v>
      </x:c>
      <x:c r="Q476" s="42" t="n">
        <x:f>IF(AND(L476&lt;=L508,L476&lt;=L460,L476&lt;=L492,M476&lt;=M480,M476&lt;=M468,M476&lt;=M472,N476&lt;=N477,N476&lt;=N474,N476&lt;=N475),1,0)</x:f>
        <x:v>0</x:v>
      </x:c>
      <x:c r="R476" s="42" t="n">
        <x:v>0</x:v>
      </x:c>
      <x:c r="S476" s="42" t="n">
        <x:v>0</x:v>
      </x:c>
    </x:row>
    <x:row r="477">
      <x:c r="A477" t="n">
        <x:v>8</x:v>
      </x:c>
      <x:c r="B477" t="n">
        <x:v>1</x:v>
      </x:c>
      <x:c r="C477" t="n">
        <x:v>1</x:v>
      </x:c>
      <x:c r="D477" t="n">
        <x:v>1</x:v>
      </x:c>
      <x:c r="E477" t="str">
        <x:v>lov</x:v>
      </x:c>
      <x:c r="F477" s="45" t="n">
        <x:f>1*$D477</x:f>
        <x:v>1</x:v>
      </x:c>
      <x:c r="G477" s="45" t="n">
        <x:f>0</x:f>
        <x:v>0</x:v>
      </x:c>
      <x:c r="H477" s="45" t="n">
        <x:f>2*$B477</x:f>
        <x:v>2</x:v>
      </x:c>
      <x:c r="I477" s="45" t="n">
        <x:f>0</x:f>
        <x:v>0</x:v>
      </x:c>
      <x:c r="J477" s="45" t="n">
        <x:f>0</x:f>
        <x:v>0</x:v>
      </x:c>
      <x:c r="K477" s="45" t="n">
        <x:f>0</x:f>
        <x:v>0</x:v>
      </x:c>
      <x:c r="L477" s="45" t="n">
        <x:f>F477+I477</x:f>
        <x:v>1</x:v>
      </x:c>
      <x:c r="M477" s="45" t="n">
        <x:f>G477+J477</x:f>
        <x:v>0</x:v>
      </x:c>
      <x:c r="N477" s="45" t="n">
        <x:f>H477+K477</x:f>
        <x:v>2</x:v>
      </x:c>
      <x:c r="O477" s="45" t="n">
        <x:f>SUM(F477:H477)</x:f>
        <x:v>3</x:v>
      </x:c>
      <x:c r="P477" s="42" t="n">
        <x:f>IF(AND(F477&lt;=F509,F477&lt;=F461,F477&lt;=F493,G477&lt;=G481,G477&lt;=G469,G477&lt;=G473,H477&lt;=H474,H477&lt;=H476,H477&lt;=H475),1,0)</x:f>
        <x:v>0</x:v>
      </x:c>
      <x:c r="Q477" s="42" t="n">
        <x:f>IF(AND(L477&lt;=L509,L477&lt;=L461,L477&lt;=L493,M477&lt;=M481,M477&lt;=M469,M477&lt;=M473,N477&lt;=N474,N477&lt;=N476,N477&lt;=N475),1,0)</x:f>
        <x:v>0</x:v>
      </x:c>
      <x:c r="R477" s="42" t="n">
        <x:v>0</x:v>
      </x:c>
      <x:c r="S477" s="42" t="n">
        <x:v>0</x:v>
      </x:c>
    </x:row>
    <x:row r="478">
      <x:c r="A478" t="n">
        <x:v>8</x:v>
      </x:c>
      <x:c r="B478" t="n">
        <x:v>1</x:v>
      </x:c>
      <x:c r="C478" t="n">
        <x:v>1</x:v>
      </x:c>
      <x:c r="D478" t="n">
        <x:v>1</x:v>
      </x:c>
      <x:c r="E478" t="str">
        <x:v>lve</x:v>
      </x:c>
      <x:c r="F478" s="45" t="n">
        <x:f>1*$D478</x:f>
        <x:v>1</x:v>
      </x:c>
      <x:c r="G478" s="45" t="n">
        <x:f>2*$B478</x:f>
        <x:v>2</x:v>
      </x:c>
      <x:c r="H478" s="45" t="n">
        <x:f>1*$B478</x:f>
        <x:v>1</x:v>
      </x:c>
      <x:c r="I478" s="45" t="n">
        <x:f>0</x:f>
        <x:v>0</x:v>
      </x:c>
      <x:c r="J478" s="45" t="n">
        <x:f>0</x:f>
        <x:v>0</x:v>
      </x:c>
      <x:c r="K478" s="45" t="n">
        <x:f>0</x:f>
        <x:v>0</x:v>
      </x:c>
      <x:c r="L478" s="45" t="n">
        <x:f>F478+I478</x:f>
        <x:v>1</x:v>
      </x:c>
      <x:c r="M478" s="45" t="n">
        <x:f>G478+J478</x:f>
        <x:v>2</x:v>
      </x:c>
      <x:c r="N478" s="45" t="n">
        <x:f>H478+K478</x:f>
        <x:v>1</x:v>
      </x:c>
      <x:c r="O478" s="45" t="n">
        <x:f>SUM(F478:H478)</x:f>
        <x:v>4</x:v>
      </x:c>
      <x:c r="P478" s="42" t="n">
        <x:f>IF(AND(F478&lt;=F510,F478&lt;=F462,F478&lt;=F494,G478&lt;=G466,G478&lt;=G474,G478&lt;=G470,H478&lt;=H481,H478&lt;=H480,H478&lt;=H479),1,0)</x:f>
        <x:v>0</x:v>
      </x:c>
      <x:c r="Q478" s="42" t="n">
        <x:f>IF(AND(L478&lt;=L510,L478&lt;=L462,L478&lt;=L494,M478&lt;=M466,M478&lt;=M474,M478&lt;=M470,N478&lt;=N481,N478&lt;=N480,N478&lt;=N479),1,0)</x:f>
        <x:v>0</x:v>
      </x:c>
      <x:c r="R478" s="42" t="n">
        <x:v>0</x:v>
      </x:c>
      <x:c r="S478" s="42" t="n">
        <x:v>0</x:v>
      </x:c>
    </x:row>
    <x:row r="479">
      <x:c r="A479" t="n">
        <x:v>8</x:v>
      </x:c>
      <x:c r="B479" t="n">
        <x:v>1</x:v>
      </x:c>
      <x:c r="C479" t="n">
        <x:v>1</x:v>
      </x:c>
      <x:c r="D479" t="n">
        <x:v>1</x:v>
      </x:c>
      <x:c r="E479" t="str">
        <x:v>lvl</x:v>
      </x:c>
      <x:c r="F479" s="45" t="n">
        <x:f>(1/2)*$C479+(3/2)*$D479</x:f>
        <x:v>2</x:v>
      </x:c>
      <x:c r="G479" s="45" t="n">
        <x:f>2*$B479</x:f>
        <x:v>2</x:v>
      </x:c>
      <x:c r="H479" s="45" t="n">
        <x:f>(1/2)*$C479+(3/2)*$D479</x:f>
        <x:v>2</x:v>
      </x:c>
      <x:c r="I479" s="45" t="n">
        <x:f>(1/2)*($C479+$D479)</x:f>
        <x:v>1</x:v>
      </x:c>
      <x:c r="J479" s="45" t="n">
        <x:f>0</x:f>
        <x:v>0</x:v>
      </x:c>
      <x:c r="K479" s="45" t="n">
        <x:f>(1/2)*($C479+$D479)</x:f>
        <x:v>1</x:v>
      </x:c>
      <x:c r="L479" s="45" t="n">
        <x:f>F479+I479</x:f>
        <x:v>3</x:v>
      </x:c>
      <x:c r="M479" s="45" t="n">
        <x:f>G479+J479</x:f>
        <x:v>2</x:v>
      </x:c>
      <x:c r="N479" s="45" t="n">
        <x:f>H479+K479</x:f>
        <x:v>3</x:v>
      </x:c>
      <x:c r="O479" s="45" t="n">
        <x:f>SUM(F479:H479)</x:f>
        <x:v>6</x:v>
      </x:c>
      <x:c r="P479" s="42" t="n">
        <x:f>IF(AND(F479&lt;=F511,F479&lt;=F463,F479&lt;=F495,G479&lt;=G467,G479&lt;=G475,G479&lt;=G471,H479&lt;=H481,H479&lt;=H478,H479&lt;=H480),1,0)</x:f>
        <x:v>0</x:v>
      </x:c>
      <x:c r="Q479" s="42" t="n">
        <x:f>IF(AND(L479&lt;=L511,L479&lt;=L463,L479&lt;=L495,M479&lt;=M467,M479&lt;=M475,M479&lt;=M471,N479&lt;=N481,N479&lt;=N478,N479&lt;=N480),1,0)</x:f>
        <x:v>0</x:v>
      </x:c>
      <x:c r="R479" s="42" t="n">
        <x:v>0</x:v>
      </x:c>
      <x:c r="S479" s="42" t="n">
        <x:v>0</x:v>
      </x:c>
    </x:row>
    <x:row r="480">
      <x:c r="A480" t="n">
        <x:v>8</x:v>
      </x:c>
      <x:c r="B480" t="n">
        <x:v>1</x:v>
      </x:c>
      <x:c r="C480" t="n">
        <x:v>1</x:v>
      </x:c>
      <x:c r="D480" t="n">
        <x:v>1</x:v>
      </x:c>
      <x:c r="E480" t="str">
        <x:v>lvo</x:v>
      </x:c>
      <x:c r="F480" s="45" t="n">
        <x:f>1*$D480</x:f>
        <x:v>1</x:v>
      </x:c>
      <x:c r="G480" s="45" t="n">
        <x:f>2*$B480</x:f>
        <x:v>2</x:v>
      </x:c>
      <x:c r="H480" s="45" t="n">
        <x:f>0</x:f>
        <x:v>0</x:v>
      </x:c>
      <x:c r="I480" s="45" t="n">
        <x:f>0</x:f>
        <x:v>0</x:v>
      </x:c>
      <x:c r="J480" s="45" t="n">
        <x:f>0</x:f>
        <x:v>0</x:v>
      </x:c>
      <x:c r="K480" s="45" t="n">
        <x:f>0</x:f>
        <x:v>0</x:v>
      </x:c>
      <x:c r="L480" s="45" t="n">
        <x:f>F480+I480</x:f>
        <x:v>1</x:v>
      </x:c>
      <x:c r="M480" s="45" t="n">
        <x:f>G480+J480</x:f>
        <x:v>2</x:v>
      </x:c>
      <x:c r="N480" s="45" t="n">
        <x:f>H480+K480</x:f>
        <x:v>0</x:v>
      </x:c>
      <x:c r="O480" s="45" t="n">
        <x:f>SUM(F480:H480)</x:f>
        <x:v>3</x:v>
      </x:c>
      <x:c r="P480" s="42" t="n">
        <x:f>IF(AND(F480&lt;=F512,F480&lt;=F464,F480&lt;=F496,G480&lt;=G468,G480&lt;=G476,G480&lt;=G472,H480&lt;=H481,H480&lt;=H478,H480&lt;=H479),1,0)</x:f>
        <x:v>0</x:v>
      </x:c>
      <x:c r="Q480" s="42" t="n">
        <x:f>IF(AND(L480&lt;=L512,L480&lt;=L464,L480&lt;=L496,M480&lt;=M468,M480&lt;=M476,M480&lt;=M472,N480&lt;=N481,N480&lt;=N478,N480&lt;=N479),1,0)</x:f>
        <x:v>0</x:v>
      </x:c>
      <x:c r="R480" s="42" t="n">
        <x:v>0</x:v>
      </x:c>
      <x:c r="S480" s="42" t="n">
        <x:v>0</x:v>
      </x:c>
    </x:row>
    <x:row r="481">
      <x:c r="A481" t="n">
        <x:v>8</x:v>
      </x:c>
      <x:c r="B481" t="n">
        <x:v>1</x:v>
      </x:c>
      <x:c r="C481" t="n">
        <x:v>1</x:v>
      </x:c>
      <x:c r="D481" t="n">
        <x:v>1</x:v>
      </x:c>
      <x:c r="E481" t="str">
        <x:v>lvv</x:v>
      </x:c>
      <x:c r="F481" s="45" t="n">
        <x:f>1*$D481</x:f>
        <x:v>1</x:v>
      </x:c>
      <x:c r="G481" s="45" t="n">
        <x:f>(3/2)*$B481+(1/2)*$C481</x:f>
        <x:v>2</x:v>
      </x:c>
      <x:c r="H481" s="45" t="n">
        <x:f>(3/2)*$B481+(1/2)*$C481</x:f>
        <x:v>2</x:v>
      </x:c>
      <x:c r="I481" s="45" t="n">
        <x:f>0</x:f>
        <x:v>0</x:v>
      </x:c>
      <x:c r="J481" s="45" t="n">
        <x:f>MAX((1/2)*($C481-$B481),0)</x:f>
        <x:v>0</x:v>
      </x:c>
      <x:c r="K481" s="45" t="n">
        <x:f>MAX((1/2)*($C481-$B481),0)</x:f>
        <x:v>0</x:v>
      </x:c>
      <x:c r="L481" s="45" t="n">
        <x:f>F481+I481</x:f>
        <x:v>1</x:v>
      </x:c>
      <x:c r="M481" s="45" t="n">
        <x:f>G481+J481</x:f>
        <x:v>2</x:v>
      </x:c>
      <x:c r="N481" s="45" t="n">
        <x:f>H481+K481</x:f>
        <x:v>2</x:v>
      </x:c>
      <x:c r="O481" s="45" t="n">
        <x:f>SUM(F481:H481)</x:f>
        <x:v>5</x:v>
      </x:c>
      <x:c r="P481" s="42" t="n">
        <x:f>IF(AND(F481&lt;=F513,F481&lt;=F465,F481&lt;=F497,G481&lt;=G469,G481&lt;=G477,G481&lt;=G473,H481&lt;=H478,H481&lt;=H480,H481&lt;=H479),1,0)</x:f>
        <x:v>0</x:v>
      </x:c>
      <x:c r="Q481" s="42" t="n">
        <x:f>IF(AND(L481&lt;=L513,L481&lt;=L465,L481&lt;=L497,M481&lt;=M469,M481&lt;=M477,M481&lt;=M473,N481&lt;=N478,N481&lt;=N480,N481&lt;=N479),1,0)</x:f>
        <x:v>0</x:v>
      </x:c>
      <x:c r="R481" s="42" t="n">
        <x:v>0</x:v>
      </x:c>
      <x:c r="S481" s="42" t="n">
        <x:v>0</x:v>
      </x:c>
    </x:row>
    <x:row r="482">
      <x:c r="A482" t="n">
        <x:v>8</x:v>
      </x:c>
      <x:c r="B482" t="n">
        <x:v>1</x:v>
      </x:c>
      <x:c r="C482" t="n">
        <x:v>1</x:v>
      </x:c>
      <x:c r="D482" t="n">
        <x:v>1</x:v>
      </x:c>
      <x:c r="E482" t="str">
        <x:v>oee</x:v>
      </x:c>
      <x:c r="F482" s="45" t="n">
        <x:f>1*$C482+1*$D482</x:f>
        <x:v>2</x:v>
      </x:c>
      <x:c r="G482" s="45" t="n">
        <x:f>(1/2)*$B482+(1/2)*$C482</x:f>
        <x:v>1</x:v>
      </x:c>
      <x:c r="H482" s="45" t="n">
        <x:f>(1/2)*$B482+(1/2)*$C482</x:f>
        <x:v>1</x:v>
      </x:c>
      <x:c r="I482" s="45" t="n">
        <x:f>0</x:f>
        <x:v>0</x:v>
      </x:c>
      <x:c r="J482" s="45" t="n">
        <x:f>MAX((3/2)*$C482+$D482-(1/2)*$B482,0)</x:f>
        <x:v>2</x:v>
      </x:c>
      <x:c r="K482" s="45" t="n">
        <x:f>MAX((3/2)*$C482+$D482-(1/2)*$B482,0)</x:f>
        <x:v>2</x:v>
      </x:c>
      <x:c r="L482" s="45" t="n">
        <x:f>F482+I482</x:f>
        <x:v>2</x:v>
      </x:c>
      <x:c r="M482" s="45" t="n">
        <x:f>G482+J482</x:f>
        <x:v>3</x:v>
      </x:c>
      <x:c r="N482" s="45" t="n">
        <x:f>H482+K482</x:f>
        <x:v>3</x:v>
      </x:c>
      <x:c r="O482" s="45" t="n">
        <x:f>SUM(F482:H482)</x:f>
        <x:v>4</x:v>
      </x:c>
      <x:c r="P482" s="42" t="n">
        <x:f>IF(AND(F482&lt;=F498,F482&lt;=F450,F482&lt;=F466,G482&lt;=G494,G482&lt;=G490,G482&lt;=G486,H482&lt;=H485,H482&lt;=H484,H482&lt;=H483),1,0)</x:f>
        <x:v>0</x:v>
      </x:c>
      <x:c r="Q482" s="42" t="n">
        <x:f>IF(AND(L482&lt;=L498,L482&lt;=L450,L482&lt;=L466,M482&lt;=M494,M482&lt;=M490,M482&lt;=M486,N482&lt;=N485,N482&lt;=N484,N482&lt;=N483),1,0)</x:f>
        <x:v>0</x:v>
      </x:c>
      <x:c r="R482" s="42" t="n">
        <x:v>0</x:v>
      </x:c>
      <x:c r="S482" s="42" t="n">
        <x:v>0</x:v>
      </x:c>
    </x:row>
    <x:row r="483">
      <x:c r="A483" t="n">
        <x:v>8</x:v>
      </x:c>
      <x:c r="B483" t="n">
        <x:v>1</x:v>
      </x:c>
      <x:c r="C483" t="n">
        <x:v>1</x:v>
      </x:c>
      <x:c r="D483" t="n">
        <x:v>1</x:v>
      </x:c>
      <x:c r="E483" t="str">
        <x:v>oel</x:v>
      </x:c>
      <x:c r="F483" s="45" t="n">
        <x:f>0</x:f>
        <x:v>0</x:v>
      </x:c>
      <x:c r="G483" s="45" t="n">
        <x:f>1*$B483</x:f>
        <x:v>1</x:v>
      </x:c>
      <x:c r="H483" s="45" t="n">
        <x:f>1*$D483</x:f>
        <x:v>1</x:v>
      </x:c>
      <x:c r="I483" s="45" t="n">
        <x:f>0</x:f>
        <x:v>0</x:v>
      </x:c>
      <x:c r="J483" s="45" t="n">
        <x:f>0</x:f>
        <x:v>0</x:v>
      </x:c>
      <x:c r="K483" s="45" t="n">
        <x:f>0</x:f>
        <x:v>0</x:v>
      </x:c>
      <x:c r="L483" s="45" t="n">
        <x:f>F483+I483</x:f>
        <x:v>0</x:v>
      </x:c>
      <x:c r="M483" s="45" t="n">
        <x:f>G483+J483</x:f>
        <x:v>1</x:v>
      </x:c>
      <x:c r="N483" s="45" t="n">
        <x:f>H483+K483</x:f>
        <x:v>1</x:v>
      </x:c>
      <x:c r="O483" s="45" t="n">
        <x:f>SUM(F483:H483)</x:f>
        <x:v>2</x:v>
      </x:c>
      <x:c r="P483" s="42" t="n">
        <x:f>IF(AND(F483&lt;=F499,F483&lt;=F451,F483&lt;=F467,G483&lt;=G495,G483&lt;=G491,G483&lt;=G487,H483&lt;=H485,H483&lt;=H482,H483&lt;=H484),1,0)</x:f>
        <x:v>1</x:v>
      </x:c>
      <x:c r="Q483" s="42" t="n">
        <x:f>IF(AND(L483&lt;=L499,L483&lt;=L451,L483&lt;=L467,M483&lt;=M495,M483&lt;=M491,M483&lt;=M487,N483&lt;=N485,N483&lt;=N482,N483&lt;=N484),1,0)</x:f>
        <x:v>1</x:v>
      </x:c>
      <x:c r="R483" s="42" t="n">
        <x:v>1</x:v>
      </x:c>
      <x:c r="S483" s="42" t="n">
        <x:v>1</x:v>
      </x:c>
    </x:row>
    <x:row r="484">
      <x:c r="A484" t="n">
        <x:v>8</x:v>
      </x:c>
      <x:c r="B484" t="n">
        <x:v>1</x:v>
      </x:c>
      <x:c r="C484" t="n">
        <x:v>1</x:v>
      </x:c>
      <x:c r="D484" t="n">
        <x:v>1</x:v>
      </x:c>
      <x:c r="E484" t="str">
        <x:v>oeo</x:v>
      </x:c>
      <x:c r="F484" s="45" t="n">
        <x:f>(1/2)*$C484+(1/2)*$D484</x:f>
        <x:v>1</x:v>
      </x:c>
      <x:c r="G484" s="45" t="n">
        <x:f>1*$B484</x:f>
        <x:v>1</x:v>
      </x:c>
      <x:c r="H484" s="45" t="n">
        <x:f>(1/2)*$C484+(1/2)*$D484</x:f>
        <x:v>1</x:v>
      </x:c>
      <x:c r="I484" s="45" t="n">
        <x:f>(1/2)*($C484+$D484)</x:f>
        <x:v>1</x:v>
      </x:c>
      <x:c r="J484" s="45" t="n">
        <x:f>0</x:f>
        <x:v>0</x:v>
      </x:c>
      <x:c r="K484" s="45" t="n">
        <x:f>(1/2)*($C484+$D484)</x:f>
        <x:v>1</x:v>
      </x:c>
      <x:c r="L484" s="45" t="n">
        <x:f>F484+I484</x:f>
        <x:v>2</x:v>
      </x:c>
      <x:c r="M484" s="45" t="n">
        <x:f>G484+J484</x:f>
        <x:v>1</x:v>
      </x:c>
      <x:c r="N484" s="45" t="n">
        <x:f>H484+K484</x:f>
        <x:v>2</x:v>
      </x:c>
      <x:c r="O484" s="45" t="n">
        <x:f>SUM(F484:H484)</x:f>
        <x:v>3</x:v>
      </x:c>
      <x:c r="P484" s="42" t="n">
        <x:f>IF(AND(F484&lt;=F500,F484&lt;=F452,F484&lt;=F468,G484&lt;=G496,G484&lt;=G492,G484&lt;=G488,H484&lt;=H485,H484&lt;=H482,H484&lt;=H483),1,0)</x:f>
        <x:v>1</x:v>
      </x:c>
      <x:c r="Q484" s="42" t="n">
        <x:f>IF(AND(L484&lt;=L500,L484&lt;=L452,L484&lt;=L468,M484&lt;=M496,M484&lt;=M492,M484&lt;=M488,N484&lt;=N485,N484&lt;=N482,N484&lt;=N483),1,0)</x:f>
        <x:v>0</x:v>
      </x:c>
      <x:c r="R484" s="42" t="n">
        <x:v>1</x:v>
      </x:c>
      <x:c r="S484" s="42" t="n">
        <x:v>0</x:v>
      </x:c>
    </x:row>
    <x:row r="485">
      <x:c r="A485" t="n">
        <x:v>8</x:v>
      </x:c>
      <x:c r="B485" t="n">
        <x:v>1</x:v>
      </x:c>
      <x:c r="C485" t="n">
        <x:v>1</x:v>
      </x:c>
      <x:c r="D485" t="n">
        <x:v>1</x:v>
      </x:c>
      <x:c r="E485" t="str">
        <x:v>oev</x:v>
      </x:c>
      <x:c r="F485" s="45" t="n">
        <x:f>0</x:f>
        <x:v>0</x:v>
      </x:c>
      <x:c r="G485" s="45" t="n">
        <x:f>1*$B485</x:f>
        <x:v>1</x:v>
      </x:c>
      <x:c r="H485" s="45" t="n">
        <x:f>2*$B485</x:f>
        <x:v>2</x:v>
      </x:c>
      <x:c r="I485" s="45" t="n">
        <x:f>0</x:f>
        <x:v>0</x:v>
      </x:c>
      <x:c r="J485" s="45" t="n">
        <x:f>0</x:f>
        <x:v>0</x:v>
      </x:c>
      <x:c r="K485" s="45" t="n">
        <x:f>0</x:f>
        <x:v>0</x:v>
      </x:c>
      <x:c r="L485" s="45" t="n">
        <x:f>F485+I485</x:f>
        <x:v>0</x:v>
      </x:c>
      <x:c r="M485" s="45" t="n">
        <x:f>G485+J485</x:f>
        <x:v>1</x:v>
      </x:c>
      <x:c r="N485" s="45" t="n">
        <x:f>H485+K485</x:f>
        <x:v>2</x:v>
      </x:c>
      <x:c r="O485" s="45" t="n">
        <x:f>SUM(F485:H485)</x:f>
        <x:v>3</x:v>
      </x:c>
      <x:c r="P485" s="42" t="n">
        <x:f>IF(AND(F485&lt;=F501,F485&lt;=F453,F485&lt;=F469,G485&lt;=G497,G485&lt;=G493,G485&lt;=G489,H485&lt;=H482,H485&lt;=H484,H485&lt;=H483),1,0)</x:f>
        <x:v>0</x:v>
      </x:c>
      <x:c r="Q485" s="42" t="n">
        <x:f>IF(AND(L485&lt;=L501,L485&lt;=L453,L485&lt;=L469,M485&lt;=M497,M485&lt;=M493,M485&lt;=M489,N485&lt;=N482,N485&lt;=N484,N485&lt;=N483),1,0)</x:f>
        <x:v>0</x:v>
      </x:c>
      <x:c r="R485" s="42" t="n">
        <x:v>0</x:v>
      </x:c>
      <x:c r="S485" s="42" t="n">
        <x:v>0</x:v>
      </x:c>
    </x:row>
    <x:row r="486">
      <x:c r="A486" t="n">
        <x:v>8</x:v>
      </x:c>
      <x:c r="B486" t="n">
        <x:v>1</x:v>
      </x:c>
      <x:c r="C486" t="n">
        <x:v>1</x:v>
      </x:c>
      <x:c r="D486" t="n">
        <x:v>1</x:v>
      </x:c>
      <x:c r="E486" t="str">
        <x:v>ole</x:v>
      </x:c>
      <x:c r="F486" s="45" t="n">
        <x:f>0</x:f>
        <x:v>0</x:v>
      </x:c>
      <x:c r="G486" s="45" t="n">
        <x:f>1*$D486</x:f>
        <x:v>1</x:v>
      </x:c>
      <x:c r="H486" s="45" t="n">
        <x:f>1*$B486</x:f>
        <x:v>1</x:v>
      </x:c>
      <x:c r="I486" s="45" t="n">
        <x:f>0</x:f>
        <x:v>0</x:v>
      </x:c>
      <x:c r="J486" s="45" t="n">
        <x:f>0</x:f>
        <x:v>0</x:v>
      </x:c>
      <x:c r="K486" s="45" t="n">
        <x:f>0</x:f>
        <x:v>0</x:v>
      </x:c>
      <x:c r="L486" s="45" t="n">
        <x:f>F486+I486</x:f>
        <x:v>0</x:v>
      </x:c>
      <x:c r="M486" s="45" t="n">
        <x:f>G486+J486</x:f>
        <x:v>1</x:v>
      </x:c>
      <x:c r="N486" s="45" t="n">
        <x:f>H486+K486</x:f>
        <x:v>1</x:v>
      </x:c>
      <x:c r="O486" s="45" t="n">
        <x:f>SUM(F486:H486)</x:f>
        <x:v>2</x:v>
      </x:c>
      <x:c r="P486" s="42" t="n">
        <x:f>IF(AND(F486&lt;=F502,F486&lt;=F454,F486&lt;=F470,G486&lt;=G494,G486&lt;=G482,G486&lt;=G490,H486&lt;=H489,H486&lt;=H488,H486&lt;=H487),1,0)</x:f>
        <x:v>1</x:v>
      </x:c>
      <x:c r="Q486" s="42" t="n">
        <x:f>IF(AND(L486&lt;=L502,L486&lt;=L454,L486&lt;=L470,M486&lt;=M494,M486&lt;=M482,M486&lt;=M490,N486&lt;=N489,N486&lt;=N488,N486&lt;=N487),1,0)</x:f>
        <x:v>1</x:v>
      </x:c>
      <x:c r="R486" s="42" t="n">
        <x:v>1</x:v>
      </x:c>
      <x:c r="S486" s="42" t="n">
        <x:v>1</x:v>
      </x:c>
    </x:row>
    <x:row r="487">
      <x:c r="A487" t="n">
        <x:v>8</x:v>
      </x:c>
      <x:c r="B487" t="n">
        <x:v>1</x:v>
      </x:c>
      <x:c r="C487" t="n">
        <x:v>1</x:v>
      </x:c>
      <x:c r="D487" t="n">
        <x:v>1</x:v>
      </x:c>
      <x:c r="E487" t="str">
        <x:v>oll</x:v>
      </x:c>
      <x:c r="F487" s="45" t="n">
        <x:f>0</x:f>
        <x:v>0</x:v>
      </x:c>
      <x:c r="G487" s="45" t="n">
        <x:f>(1/2)*$C487+(3/2)*$D487</x:f>
        <x:v>2</x:v>
      </x:c>
      <x:c r="H487" s="45" t="n">
        <x:f>(1/2)*$C487+(3/2)*$D487</x:f>
        <x:v>2</x:v>
      </x:c>
      <x:c r="I487" s="45" t="n">
        <x:f>0</x:f>
        <x:v>0</x:v>
      </x:c>
      <x:c r="J487" s="45" t="n">
        <x:f>(1/2)*($C487+$D487)</x:f>
        <x:v>1</x:v>
      </x:c>
      <x:c r="K487" s="45" t="n">
        <x:f>(1/2)*($C487+$D487)</x:f>
        <x:v>1</x:v>
      </x:c>
      <x:c r="L487" s="45" t="n">
        <x:f>F487+I487</x:f>
        <x:v>0</x:v>
      </x:c>
      <x:c r="M487" s="45" t="n">
        <x:f>G487+J487</x:f>
        <x:v>3</x:v>
      </x:c>
      <x:c r="N487" s="45" t="n">
        <x:f>H487+K487</x:f>
        <x:v>3</x:v>
      </x:c>
      <x:c r="O487" s="45" t="n">
        <x:f>SUM(F487:H487)</x:f>
        <x:v>4</x:v>
      </x:c>
      <x:c r="P487" s="42" t="n">
        <x:f>IF(AND(F487&lt;=F503,F487&lt;=F455,F487&lt;=F471,G487&lt;=G495,G487&lt;=G483,G487&lt;=G491,H487&lt;=H489,H487&lt;=H486,H487&lt;=H488),1,0)</x:f>
        <x:v>0</x:v>
      </x:c>
      <x:c r="Q487" s="42" t="n">
        <x:f>IF(AND(L487&lt;=L503,L487&lt;=L455,L487&lt;=L471,M487&lt;=M495,M487&lt;=M483,M487&lt;=M491,N487&lt;=N489,N487&lt;=N486,N487&lt;=N488),1,0)</x:f>
        <x:v>0</x:v>
      </x:c>
      <x:c r="R487" s="42" t="n">
        <x:v>0</x:v>
      </x:c>
      <x:c r="S487" s="42" t="n">
        <x:v>0</x:v>
      </x:c>
    </x:row>
    <x:row r="488">
      <x:c r="A488" t="n">
        <x:v>8</x:v>
      </x:c>
      <x:c r="B488" t="n">
        <x:v>1</x:v>
      </x:c>
      <x:c r="C488" t="n">
        <x:v>1</x:v>
      </x:c>
      <x:c r="D488" t="n">
        <x:v>1</x:v>
      </x:c>
      <x:c r="E488" t="str">
        <x:v>olo</x:v>
      </x:c>
      <x:c r="F488" s="45" t="n">
        <x:f>(1/2)*$C488+(1/2)*$D488</x:f>
        <x:v>1</x:v>
      </x:c>
      <x:c r="G488" s="45" t="n">
        <x:f>1*$C488+2*$D488</x:f>
        <x:v>3</x:v>
      </x:c>
      <x:c r="H488" s="45" t="n">
        <x:f>(1/2)*$C488+(1/2)*$D488</x:f>
        <x:v>1</x:v>
      </x:c>
      <x:c r="I488" s="45" t="n">
        <x:f>(3/2)*($C488+$D488)</x:f>
        <x:v>3</x:v>
      </x:c>
      <x:c r="J488" s="45" t="n">
        <x:f>0</x:f>
        <x:v>0</x:v>
      </x:c>
      <x:c r="K488" s="45" t="n">
        <x:f>(3/2)*($C488+$D488)</x:f>
        <x:v>3</x:v>
      </x:c>
      <x:c r="L488" s="45" t="n">
        <x:f>F488+I488</x:f>
        <x:v>4</x:v>
      </x:c>
      <x:c r="M488" s="45" t="n">
        <x:f>G488+J488</x:f>
        <x:v>3</x:v>
      </x:c>
      <x:c r="N488" s="45" t="n">
        <x:f>H488+K488</x:f>
        <x:v>4</x:v>
      </x:c>
      <x:c r="O488" s="45" t="n">
        <x:f>SUM(F488:H488)</x:f>
        <x:v>5</x:v>
      </x:c>
      <x:c r="P488" s="42" t="n">
        <x:f>IF(AND(F488&lt;=F504,F488&lt;=F456,F488&lt;=F472,G488&lt;=G496,G488&lt;=G484,G488&lt;=G492,H488&lt;=H489,H488&lt;=H486,H488&lt;=H487),1,0)</x:f>
        <x:v>0</x:v>
      </x:c>
      <x:c r="Q488" s="42" t="n">
        <x:f>IF(AND(L488&lt;=L504,L488&lt;=L456,L488&lt;=L472,M488&lt;=M496,M488&lt;=M484,M488&lt;=M492,N488&lt;=N489,N488&lt;=N486,N488&lt;=N487),1,0)</x:f>
        <x:v>0</x:v>
      </x:c>
      <x:c r="R488" s="42" t="n">
        <x:v>0</x:v>
      </x:c>
      <x:c r="S488" s="42" t="n">
        <x:v>0</x:v>
      </x:c>
    </x:row>
    <x:row r="489">
      <x:c r="A489" t="n">
        <x:v>8</x:v>
      </x:c>
      <x:c r="B489" t="n">
        <x:v>1</x:v>
      </x:c>
      <x:c r="C489" t="n">
        <x:v>1</x:v>
      </x:c>
      <x:c r="D489" t="n">
        <x:v>1</x:v>
      </x:c>
      <x:c r="E489" t="str">
        <x:v>olv</x:v>
      </x:c>
      <x:c r="F489" s="45" t="n">
        <x:f>0</x:f>
        <x:v>0</x:v>
      </x:c>
      <x:c r="G489" s="45" t="n">
        <x:f>1*$D489</x:f>
        <x:v>1</x:v>
      </x:c>
      <x:c r="H489" s="45" t="n">
        <x:f>2*$B489</x:f>
        <x:v>2</x:v>
      </x:c>
      <x:c r="I489" s="45" t="n">
        <x:f>0</x:f>
        <x:v>0</x:v>
      </x:c>
      <x:c r="J489" s="45" t="n">
        <x:f>0</x:f>
        <x:v>0</x:v>
      </x:c>
      <x:c r="K489" s="45" t="n">
        <x:f>0</x:f>
        <x:v>0</x:v>
      </x:c>
      <x:c r="L489" s="45" t="n">
        <x:f>F489+I489</x:f>
        <x:v>0</x:v>
      </x:c>
      <x:c r="M489" s="45" t="n">
        <x:f>G489+J489</x:f>
        <x:v>1</x:v>
      </x:c>
      <x:c r="N489" s="45" t="n">
        <x:f>H489+K489</x:f>
        <x:v>2</x:v>
      </x:c>
      <x:c r="O489" s="45" t="n">
        <x:f>SUM(F489:H489)</x:f>
        <x:v>3</x:v>
      </x:c>
      <x:c r="P489" s="42" t="n">
        <x:f>IF(AND(F489&lt;=F505,F489&lt;=F457,F489&lt;=F473,G489&lt;=G497,G489&lt;=G485,G489&lt;=G493,H489&lt;=H486,H489&lt;=H488,H489&lt;=H487),1,0)</x:f>
        <x:v>0</x:v>
      </x:c>
      <x:c r="Q489" s="42" t="n">
        <x:f>IF(AND(L489&lt;=L505,L489&lt;=L457,L489&lt;=L473,M489&lt;=M497,M489&lt;=M485,M489&lt;=M493,N489&lt;=N486,N489&lt;=N488,N489&lt;=N487),1,0)</x:f>
        <x:v>0</x:v>
      </x:c>
      <x:c r="R489" s="42" t="n">
        <x:v>0</x:v>
      </x:c>
      <x:c r="S489" s="42" t="n">
        <x:v>0</x:v>
      </x:c>
    </x:row>
    <x:row r="490">
      <x:c r="A490" t="n">
        <x:v>8</x:v>
      </x:c>
      <x:c r="B490" t="n">
        <x:v>1</x:v>
      </x:c>
      <x:c r="C490" t="n">
        <x:v>1</x:v>
      </x:c>
      <x:c r="D490" t="n">
        <x:v>1</x:v>
      </x:c>
      <x:c r="E490" t="str">
        <x:v>ooe</x:v>
      </x:c>
      <x:c r="F490" s="45" t="n">
        <x:f>(1/2)*$C490+(1/2)*$D490</x:f>
        <x:v>1</x:v>
      </x:c>
      <x:c r="G490" s="45" t="n">
        <x:f>(1/2)*$C490+(1/2)*$D490</x:f>
        <x:v>1</x:v>
      </x:c>
      <x:c r="H490" s="45" t="n">
        <x:f>1*$B490</x:f>
        <x:v>1</x:v>
      </x:c>
      <x:c r="I490" s="45" t="n">
        <x:f>(1/2)*($C490+$D490)</x:f>
        <x:v>1</x:v>
      </x:c>
      <x:c r="J490" s="45" t="n">
        <x:f>(1/2)*($C490+$D490)</x:f>
        <x:v>1</x:v>
      </x:c>
      <x:c r="K490" s="45" t="n">
        <x:f>0</x:f>
        <x:v>0</x:v>
      </x:c>
      <x:c r="L490" s="45" t="n">
        <x:f>F490+I490</x:f>
        <x:v>2</x:v>
      </x:c>
      <x:c r="M490" s="45" t="n">
        <x:f>G490+J490</x:f>
        <x:v>2</x:v>
      </x:c>
      <x:c r="N490" s="45" t="n">
        <x:f>H490+K490</x:f>
        <x:v>1</x:v>
      </x:c>
      <x:c r="O490" s="45" t="n">
        <x:f>SUM(F490:H490)</x:f>
        <x:v>3</x:v>
      </x:c>
      <x:c r="P490" s="42" t="n">
        <x:f>IF(AND(F490&lt;=F506,F490&lt;=F458,F490&lt;=F474,G490&lt;=G494,G490&lt;=G482,G490&lt;=G486,H490&lt;=H493,H490&lt;=H492,H490&lt;=H491),1,0)</x:f>
        <x:v>1</x:v>
      </x:c>
      <x:c r="Q490" s="42" t="n">
        <x:f>IF(AND(L490&lt;=L506,L490&lt;=L458,L490&lt;=L474,M490&lt;=M494,M490&lt;=M482,M490&lt;=M486,N490&lt;=N493,N490&lt;=N492,N490&lt;=N491),1,0)</x:f>
        <x:v>0</x:v>
      </x:c>
      <x:c r="R490" s="42" t="n">
        <x:v>1</x:v>
      </x:c>
      <x:c r="S490" s="42" t="n">
        <x:v>0</x:v>
      </x:c>
    </x:row>
    <x:row r="491">
      <x:c r="A491" t="n">
        <x:v>8</x:v>
      </x:c>
      <x:c r="B491" t="n">
        <x:v>1</x:v>
      </x:c>
      <x:c r="C491" t="n">
        <x:v>1</x:v>
      </x:c>
      <x:c r="D491" t="n">
        <x:v>1</x:v>
      </x:c>
      <x:c r="E491" t="str">
        <x:v>ool</x:v>
      </x:c>
      <x:c r="F491" s="45" t="n">
        <x:f>(1/2)*$C491+(1/2)*$D491</x:f>
        <x:v>1</x:v>
      </x:c>
      <x:c r="G491" s="45" t="n">
        <x:f>(1/2)*$C491+(1/2)*$D491</x:f>
        <x:v>1</x:v>
      </x:c>
      <x:c r="H491" s="45" t="n">
        <x:f>1*$C491+2*$D491</x:f>
        <x:v>3</x:v>
      </x:c>
      <x:c r="I491" s="45" t="n">
        <x:f>(3/2)*($C491+$D491)</x:f>
        <x:v>3</x:v>
      </x:c>
      <x:c r="J491" s="45" t="n">
        <x:f>(3/2)*($C491+$D491)</x:f>
        <x:v>3</x:v>
      </x:c>
      <x:c r="K491" s="45" t="n">
        <x:f>0</x:f>
        <x:v>0</x:v>
      </x:c>
      <x:c r="L491" s="45" t="n">
        <x:f>F491+I491</x:f>
        <x:v>4</x:v>
      </x:c>
      <x:c r="M491" s="45" t="n">
        <x:f>G491+J491</x:f>
        <x:v>4</x:v>
      </x:c>
      <x:c r="N491" s="45" t="n">
        <x:f>H491+K491</x:f>
        <x:v>3</x:v>
      </x:c>
      <x:c r="O491" s="45" t="n">
        <x:f>SUM(F491:H491)</x:f>
        <x:v>5</x:v>
      </x:c>
      <x:c r="P491" s="42" t="n">
        <x:f>IF(AND(F491&lt;=F507,F491&lt;=F459,F491&lt;=F475,G491&lt;=G495,G491&lt;=G483,G491&lt;=G487,H491&lt;=H493,H491&lt;=H490,H491&lt;=H492),1,0)</x:f>
        <x:v>0</x:v>
      </x:c>
      <x:c r="Q491" s="42" t="n">
        <x:f>IF(AND(L491&lt;=L507,L491&lt;=L459,L491&lt;=L475,M491&lt;=M495,M491&lt;=M483,M491&lt;=M487,N491&lt;=N493,N491&lt;=N490,N491&lt;=N492),1,0)</x:f>
        <x:v>0</x:v>
      </x:c>
      <x:c r="R491" s="42" t="n">
        <x:v>0</x:v>
      </x:c>
      <x:c r="S491" s="42" t="n">
        <x:v>0</x:v>
      </x:c>
    </x:row>
    <x:row r="492">
      <x:c r="A492" t="n">
        <x:v>8</x:v>
      </x:c>
      <x:c r="B492" t="n">
        <x:v>1</x:v>
      </x:c>
      <x:c r="C492" t="n">
        <x:v>1</x:v>
      </x:c>
      <x:c r="D492" t="n">
        <x:v>1</x:v>
      </x:c>
      <x:c r="E492" t="str">
        <x:v>ooo</x:v>
      </x:c>
      <x:c r="F492" s="45" t="n">
        <x:f>1*$C492+1*$D492</x:f>
        <x:v>2</x:v>
      </x:c>
      <x:c r="G492" s="45" t="n">
        <x:f>1*$C492+1*$D492</x:f>
        <x:v>2</x:v>
      </x:c>
      <x:c r="H492" s="45" t="n">
        <x:f>1*$C492+1*$D492</x:f>
        <x:v>2</x:v>
      </x:c>
      <x:c r="I492" s="45" t="n">
        <x:f>$C492+$D492</x:f>
        <x:v>2</x:v>
      </x:c>
      <x:c r="J492" s="45" t="n">
        <x:f>$C492+$D492</x:f>
        <x:v>2</x:v>
      </x:c>
      <x:c r="K492" s="45" t="n">
        <x:f>$C492+$D492</x:f>
        <x:v>2</x:v>
      </x:c>
      <x:c r="L492" s="45" t="n">
        <x:f>F492+I492</x:f>
        <x:v>4</x:v>
      </x:c>
      <x:c r="M492" s="45" t="n">
        <x:f>G492+J492</x:f>
        <x:v>4</x:v>
      </x:c>
      <x:c r="N492" s="45" t="n">
        <x:f>H492+K492</x:f>
        <x:v>4</x:v>
      </x:c>
      <x:c r="O492" s="45" t="n">
        <x:f>SUM(F492:H492)</x:f>
        <x:v>6</x:v>
      </x:c>
      <x:c r="P492" s="42" t="n">
        <x:f>IF(AND(F492&lt;=F508,F492&lt;=F460,F492&lt;=F476,G492&lt;=G496,G492&lt;=G484,G492&lt;=G488,H492&lt;=H493,H492&lt;=H490,H492&lt;=H491),1,0)</x:f>
        <x:v>0</x:v>
      </x:c>
      <x:c r="Q492" s="42" t="n">
        <x:f>IF(AND(L492&lt;=L508,L492&lt;=L460,L492&lt;=L476,M492&lt;=M496,M492&lt;=M484,M492&lt;=M488,N492&lt;=N493,N492&lt;=N490,N492&lt;=N491),1,0)</x:f>
        <x:v>0</x:v>
      </x:c>
      <x:c r="R492" s="42" t="n">
        <x:v>0</x:v>
      </x:c>
      <x:c r="S492" s="42" t="n">
        <x:v>0</x:v>
      </x:c>
    </x:row>
    <x:row r="493">
      <x:c r="A493" t="n">
        <x:v>8</x:v>
      </x:c>
      <x:c r="B493" t="n">
        <x:v>1</x:v>
      </x:c>
      <x:c r="C493" t="n">
        <x:v>1</x:v>
      </x:c>
      <x:c r="D493" t="n">
        <x:v>1</x:v>
      </x:c>
      <x:c r="E493" t="str">
        <x:v>oov</x:v>
      </x:c>
      <x:c r="F493" s="45" t="n">
        <x:f>(1/2)*$C493+(1/2)*$D493</x:f>
        <x:v>1</x:v>
      </x:c>
      <x:c r="G493" s="45" t="n">
        <x:f>(1/2)*$C493+(1/2)*$D493</x:f>
        <x:v>1</x:v>
      </x:c>
      <x:c r="H493" s="45" t="n">
        <x:f>2*$B493</x:f>
        <x:v>2</x:v>
      </x:c>
      <x:c r="I493" s="45" t="n">
        <x:f>(1/2)*($C493+$D493)</x:f>
        <x:v>1</x:v>
      </x:c>
      <x:c r="J493" s="45" t="n">
        <x:f>(1/2)*($C493+$D493)</x:f>
        <x:v>1</x:v>
      </x:c>
      <x:c r="K493" s="45" t="n">
        <x:f>0</x:f>
        <x:v>0</x:v>
      </x:c>
      <x:c r="L493" s="45" t="n">
        <x:f>F493+I493</x:f>
        <x:v>2</x:v>
      </x:c>
      <x:c r="M493" s="45" t="n">
        <x:f>G493+J493</x:f>
        <x:v>2</x:v>
      </x:c>
      <x:c r="N493" s="45" t="n">
        <x:f>H493+K493</x:f>
        <x:v>2</x:v>
      </x:c>
      <x:c r="O493" s="45" t="n">
        <x:f>SUM(F493:H493)</x:f>
        <x:v>4</x:v>
      </x:c>
      <x:c r="P493" s="42" t="n">
        <x:f>IF(AND(F493&lt;=F509,F493&lt;=F461,F493&lt;=F477,G493&lt;=G497,G493&lt;=G485,G493&lt;=G489,H493&lt;=H490,H493&lt;=H492,H493&lt;=H491),1,0)</x:f>
        <x:v>0</x:v>
      </x:c>
      <x:c r="Q493" s="42" t="n">
        <x:f>IF(AND(L493&lt;=L509,L493&lt;=L461,L493&lt;=L477,M493&lt;=M497,M493&lt;=M485,M493&lt;=M489,N493&lt;=N490,N493&lt;=N492,N493&lt;=N491),1,0)</x:f>
        <x:v>0</x:v>
      </x:c>
      <x:c r="R493" s="42" t="n">
        <x:v>0</x:v>
      </x:c>
      <x:c r="S493" s="42" t="n">
        <x:v>0</x:v>
      </x:c>
    </x:row>
    <x:row r="494">
      <x:c r="A494" t="n">
        <x:v>8</x:v>
      </x:c>
      <x:c r="B494" t="n">
        <x:v>1</x:v>
      </x:c>
      <x:c r="C494" t="n">
        <x:v>1</x:v>
      </x:c>
      <x:c r="D494" t="n">
        <x:v>1</x:v>
      </x:c>
      <x:c r="E494" t="str">
        <x:v>ove</x:v>
      </x:c>
      <x:c r="F494" s="45" t="n">
        <x:f>0</x:f>
        <x:v>0</x:v>
      </x:c>
      <x:c r="G494" s="45" t="n">
        <x:f>2*$B494</x:f>
        <x:v>2</x:v>
      </x:c>
      <x:c r="H494" s="45" t="n">
        <x:f>1*$B494</x:f>
        <x:v>1</x:v>
      </x:c>
      <x:c r="I494" s="45" t="n">
        <x:f>0</x:f>
        <x:v>0</x:v>
      </x:c>
      <x:c r="J494" s="45" t="n">
        <x:f>0</x:f>
        <x:v>0</x:v>
      </x:c>
      <x:c r="K494" s="45" t="n">
        <x:f>0</x:f>
        <x:v>0</x:v>
      </x:c>
      <x:c r="L494" s="45" t="n">
        <x:f>F494+I494</x:f>
        <x:v>0</x:v>
      </x:c>
      <x:c r="M494" s="45" t="n">
        <x:f>G494+J494</x:f>
        <x:v>2</x:v>
      </x:c>
      <x:c r="N494" s="45" t="n">
        <x:f>H494+K494</x:f>
        <x:v>1</x:v>
      </x:c>
      <x:c r="O494" s="45" t="n">
        <x:f>SUM(F494:H494)</x:f>
        <x:v>3</x:v>
      </x:c>
      <x:c r="P494" s="42" t="n">
        <x:f>IF(AND(F494&lt;=F510,F494&lt;=F462,F494&lt;=F478,G494&lt;=G482,G494&lt;=G490,G494&lt;=G486,H494&lt;=H497,H494&lt;=H496,H494&lt;=H495),1,0)</x:f>
        <x:v>0</x:v>
      </x:c>
      <x:c r="Q494" s="42" t="n">
        <x:f>IF(AND(L494&lt;=L510,L494&lt;=L462,L494&lt;=L478,M494&lt;=M482,M494&lt;=M490,M494&lt;=M486,N494&lt;=N497,N494&lt;=N496,N494&lt;=N495),1,0)</x:f>
        <x:v>0</x:v>
      </x:c>
      <x:c r="R494" s="42" t="n">
        <x:v>0</x:v>
      </x:c>
      <x:c r="S494" s="42" t="n">
        <x:v>0</x:v>
      </x:c>
    </x:row>
    <x:row r="495">
      <x:c r="A495" t="n">
        <x:v>8</x:v>
      </x:c>
      <x:c r="B495" t="n">
        <x:v>1</x:v>
      </x:c>
      <x:c r="C495" t="n">
        <x:v>1</x:v>
      </x:c>
      <x:c r="D495" t="n">
        <x:v>1</x:v>
      </x:c>
      <x:c r="E495" t="str">
        <x:v>ovl</x:v>
      </x:c>
      <x:c r="F495" s="45" t="n">
        <x:f>0</x:f>
        <x:v>0</x:v>
      </x:c>
      <x:c r="G495" s="45" t="n">
        <x:f>2*$B495</x:f>
        <x:v>2</x:v>
      </x:c>
      <x:c r="H495" s="45" t="n">
        <x:f>1*$D495</x:f>
        <x:v>1</x:v>
      </x:c>
      <x:c r="I495" s="45" t="n">
        <x:f>0</x:f>
        <x:v>0</x:v>
      </x:c>
      <x:c r="J495" s="45" t="n">
        <x:f>0</x:f>
        <x:v>0</x:v>
      </x:c>
      <x:c r="K495" s="45" t="n">
        <x:f>0</x:f>
        <x:v>0</x:v>
      </x:c>
      <x:c r="L495" s="45" t="n">
        <x:f>F495+I495</x:f>
        <x:v>0</x:v>
      </x:c>
      <x:c r="M495" s="45" t="n">
        <x:f>G495+J495</x:f>
        <x:v>2</x:v>
      </x:c>
      <x:c r="N495" s="45" t="n">
        <x:f>H495+K495</x:f>
        <x:v>1</x:v>
      </x:c>
      <x:c r="O495" s="45" t="n">
        <x:f>SUM(F495:H495)</x:f>
        <x:v>3</x:v>
      </x:c>
      <x:c r="P495" s="42" t="n">
        <x:f>IF(AND(F495&lt;=F511,F495&lt;=F463,F495&lt;=F479,G495&lt;=G483,G495&lt;=G491,G495&lt;=G487,H495&lt;=H497,H495&lt;=H494,H495&lt;=H496),1,0)</x:f>
        <x:v>0</x:v>
      </x:c>
      <x:c r="Q495" s="42" t="n">
        <x:f>IF(AND(L495&lt;=L511,L495&lt;=L463,L495&lt;=L479,M495&lt;=M483,M495&lt;=M491,M495&lt;=M487,N495&lt;=N497,N495&lt;=N494,N495&lt;=N496),1,0)</x:f>
        <x:v>0</x:v>
      </x:c>
      <x:c r="R495" s="42" t="n">
        <x:v>0</x:v>
      </x:c>
      <x:c r="S495" s="42" t="n">
        <x:v>0</x:v>
      </x:c>
    </x:row>
    <x:row r="496">
      <x:c r="A496" t="n">
        <x:v>8</x:v>
      </x:c>
      <x:c r="B496" t="n">
        <x:v>1</x:v>
      </x:c>
      <x:c r="C496" t="n">
        <x:v>1</x:v>
      </x:c>
      <x:c r="D496" t="n">
        <x:v>1</x:v>
      </x:c>
      <x:c r="E496" t="str">
        <x:v>ovo</x:v>
      </x:c>
      <x:c r="F496" s="45" t="n">
        <x:f>(1/2)*$C496+(1/2)*$D496</x:f>
        <x:v>1</x:v>
      </x:c>
      <x:c r="G496" s="45" t="n">
        <x:f>2*$B496</x:f>
        <x:v>2</x:v>
      </x:c>
      <x:c r="H496" s="45" t="n">
        <x:f>(1/2)*$C496+(1/2)*$D496</x:f>
        <x:v>1</x:v>
      </x:c>
      <x:c r="I496" s="45" t="n">
        <x:f>(1/2)*($C496+$D496)</x:f>
        <x:v>1</x:v>
      </x:c>
      <x:c r="J496" s="45" t="n">
        <x:f>0</x:f>
        <x:v>0</x:v>
      </x:c>
      <x:c r="K496" s="45" t="n">
        <x:f>(1/2)*($C496+$D496)</x:f>
        <x:v>1</x:v>
      </x:c>
      <x:c r="L496" s="45" t="n">
        <x:f>F496+I496</x:f>
        <x:v>2</x:v>
      </x:c>
      <x:c r="M496" s="45" t="n">
        <x:f>G496+J496</x:f>
        <x:v>2</x:v>
      </x:c>
      <x:c r="N496" s="45" t="n">
        <x:f>H496+K496</x:f>
        <x:v>2</x:v>
      </x:c>
      <x:c r="O496" s="45" t="n">
        <x:f>SUM(F496:H496)</x:f>
        <x:v>4</x:v>
      </x:c>
      <x:c r="P496" s="42" t="n">
        <x:f>IF(AND(F496&lt;=F512,F496&lt;=F464,F496&lt;=F480,G496&lt;=G484,G496&lt;=G492,G496&lt;=G488,H496&lt;=H497,H496&lt;=H494,H496&lt;=H495),1,0)</x:f>
        <x:v>0</x:v>
      </x:c>
      <x:c r="Q496" s="42" t="n">
        <x:f>IF(AND(L496&lt;=L512,L496&lt;=L464,L496&lt;=L480,M496&lt;=M484,M496&lt;=M492,M496&lt;=M488,N496&lt;=N497,N496&lt;=N494,N496&lt;=N495),1,0)</x:f>
        <x:v>0</x:v>
      </x:c>
      <x:c r="R496" s="42" t="n">
        <x:v>0</x:v>
      </x:c>
      <x:c r="S496" s="42" t="n">
        <x:v>0</x:v>
      </x:c>
    </x:row>
    <x:row r="497">
      <x:c r="A497" t="n">
        <x:v>8</x:v>
      </x:c>
      <x:c r="B497" t="n">
        <x:v>1</x:v>
      </x:c>
      <x:c r="C497" t="n">
        <x:v>1</x:v>
      </x:c>
      <x:c r="D497" t="n">
        <x:v>1</x:v>
      </x:c>
      <x:c r="E497" t="str">
        <x:v>ovv</x:v>
      </x:c>
      <x:c r="F497" s="45" t="n">
        <x:f>0</x:f>
        <x:v>0</x:v>
      </x:c>
      <x:c r="G497" s="45" t="n">
        <x:f>(3/2)*$B497+(1/2)*$C497</x:f>
        <x:v>2</x:v>
      </x:c>
      <x:c r="H497" s="45" t="n">
        <x:f>(3/2)*$B497+(1/2)*$C497</x:f>
        <x:v>2</x:v>
      </x:c>
      <x:c r="I497" s="45" t="n">
        <x:f>0</x:f>
        <x:v>0</x:v>
      </x:c>
      <x:c r="J497" s="45" t="n">
        <x:f>MAX((1/2)*($C497-$B497),0)</x:f>
        <x:v>0</x:v>
      </x:c>
      <x:c r="K497" s="45" t="n">
        <x:f>MAX((1/2)*($C497-$B497),0)</x:f>
        <x:v>0</x:v>
      </x:c>
      <x:c r="L497" s="45" t="n">
        <x:f>F497+I497</x:f>
        <x:v>0</x:v>
      </x:c>
      <x:c r="M497" s="45" t="n">
        <x:f>G497+J497</x:f>
        <x:v>2</x:v>
      </x:c>
      <x:c r="N497" s="45" t="n">
        <x:f>H497+K497</x:f>
        <x:v>2</x:v>
      </x:c>
      <x:c r="O497" s="45" t="n">
        <x:f>SUM(F497:H497)</x:f>
        <x:v>4</x:v>
      </x:c>
      <x:c r="P497" s="42" t="n">
        <x:f>IF(AND(F497&lt;=F513,F497&lt;=F465,F497&lt;=F481,G497&lt;=G485,G497&lt;=G493,G497&lt;=G489,H497&lt;=H494,H497&lt;=H496,H497&lt;=H495),1,0)</x:f>
        <x:v>0</x:v>
      </x:c>
      <x:c r="Q497" s="42" t="n">
        <x:f>IF(AND(L497&lt;=L513,L497&lt;=L465,L497&lt;=L481,M497&lt;=M485,M497&lt;=M493,M497&lt;=M489,N497&lt;=N494,N497&lt;=N496,N497&lt;=N495),1,0)</x:f>
        <x:v>0</x:v>
      </x:c>
      <x:c r="R497" s="42" t="n">
        <x:v>0</x:v>
      </x:c>
      <x:c r="S497" s="42" t="n">
        <x:v>0</x:v>
      </x:c>
    </x:row>
    <x:row r="498">
      <x:c r="A498" t="n">
        <x:v>8</x:v>
      </x:c>
      <x:c r="B498" t="n">
        <x:v>1</x:v>
      </x:c>
      <x:c r="C498" t="n">
        <x:v>1</x:v>
      </x:c>
      <x:c r="D498" t="n">
        <x:v>1</x:v>
      </x:c>
      <x:c r="E498" t="str">
        <x:v>vee</x:v>
      </x:c>
      <x:c r="F498" s="45" t="n">
        <x:f>2*$B498</x:f>
        <x:v>2</x:v>
      </x:c>
      <x:c r="G498" s="45" t="n">
        <x:f>(1/2)*$B498+(1/2)*$C498</x:f>
        <x:v>1</x:v>
      </x:c>
      <x:c r="H498" s="45" t="n">
        <x:f>(1/2)*$B498+(1/2)*$C498</x:f>
        <x:v>1</x:v>
      </x:c>
      <x:c r="I498" s="45" t="n">
        <x:f>0</x:f>
        <x:v>0</x:v>
      </x:c>
      <x:c r="J498" s="45" t="n">
        <x:f>MAX((1/2)*($C498-$B498),0)</x:f>
        <x:v>0</x:v>
      </x:c>
      <x:c r="K498" s="45" t="n">
        <x:f>MAX((1/2)*($C498-$B498),0)</x:f>
        <x:v>0</x:v>
      </x:c>
      <x:c r="L498" s="45" t="n">
        <x:f>F498+I498</x:f>
        <x:v>2</x:v>
      </x:c>
      <x:c r="M498" s="45" t="n">
        <x:f>G498+J498</x:f>
        <x:v>1</x:v>
      </x:c>
      <x:c r="N498" s="45" t="n">
        <x:f>H498+K498</x:f>
        <x:v>1</x:v>
      </x:c>
      <x:c r="O498" s="45" t="n">
        <x:f>SUM(F498:H498)</x:f>
        <x:v>4</x:v>
      </x:c>
      <x:c r="P498" s="42" t="n">
        <x:f>IF(AND(F498&lt;=F450,F498&lt;=F482,F498&lt;=F466,G498&lt;=G510,G498&lt;=G506,G498&lt;=G502,H498&lt;=H501,H498&lt;=H500,H498&lt;=H499),1,0)</x:f>
        <x:v>0</x:v>
      </x:c>
      <x:c r="Q498" s="42" t="n">
        <x:f>IF(AND(L498&lt;=L450,L498&lt;=L482,L498&lt;=L466,M498&lt;=M510,M498&lt;=M506,M498&lt;=M502,N498&lt;=N501,N498&lt;=N500,N498&lt;=N499),1,0)</x:f>
        <x:v>0</x:v>
      </x:c>
      <x:c r="R498" s="42" t="n">
        <x:v>0</x:v>
      </x:c>
      <x:c r="S498" s="42" t="n">
        <x:v>0</x:v>
      </x:c>
    </x:row>
    <x:row r="499">
      <x:c r="A499" t="n">
        <x:v>8</x:v>
      </x:c>
      <x:c r="B499" t="n">
        <x:v>1</x:v>
      </x:c>
      <x:c r="C499" t="n">
        <x:v>1</x:v>
      </x:c>
      <x:c r="D499" t="n">
        <x:v>1</x:v>
      </x:c>
      <x:c r="E499" t="str">
        <x:v>vel</x:v>
      </x:c>
      <x:c r="F499" s="45" t="n">
        <x:f>2*$B499</x:f>
        <x:v>2</x:v>
      </x:c>
      <x:c r="G499" s="45" t="n">
        <x:f>1*$B499</x:f>
        <x:v>1</x:v>
      </x:c>
      <x:c r="H499" s="45" t="n">
        <x:f>1*$D499</x:f>
        <x:v>1</x:v>
      </x:c>
      <x:c r="I499" s="45" t="n">
        <x:f>0</x:f>
        <x:v>0</x:v>
      </x:c>
      <x:c r="J499" s="45" t="n">
        <x:f>0</x:f>
        <x:v>0</x:v>
      </x:c>
      <x:c r="K499" s="45" t="n">
        <x:f>0</x:f>
        <x:v>0</x:v>
      </x:c>
      <x:c r="L499" s="45" t="n">
        <x:f>F499+I499</x:f>
        <x:v>2</x:v>
      </x:c>
      <x:c r="M499" s="45" t="n">
        <x:f>G499+J499</x:f>
        <x:v>1</x:v>
      </x:c>
      <x:c r="N499" s="45" t="n">
        <x:f>H499+K499</x:f>
        <x:v>1</x:v>
      </x:c>
      <x:c r="O499" s="45" t="n">
        <x:f>SUM(F499:H499)</x:f>
        <x:v>4</x:v>
      </x:c>
      <x:c r="P499" s="42" t="n">
        <x:f>IF(AND(F499&lt;=F451,F499&lt;=F483,F499&lt;=F467,G499&lt;=G511,G499&lt;=G507,G499&lt;=G503,H499&lt;=H501,H499&lt;=H498,H499&lt;=H500),1,0)</x:f>
        <x:v>0</x:v>
      </x:c>
      <x:c r="Q499" s="42" t="n">
        <x:f>IF(AND(L499&lt;=L451,L499&lt;=L483,L499&lt;=L467,M499&lt;=M511,M499&lt;=M507,M499&lt;=M503,N499&lt;=N501,N499&lt;=N498,N499&lt;=N500),1,0)</x:f>
        <x:v>0</x:v>
      </x:c>
      <x:c r="R499" s="42" t="n">
        <x:v>0</x:v>
      </x:c>
      <x:c r="S499" s="42" t="n">
        <x:v>0</x:v>
      </x:c>
    </x:row>
    <x:row r="500">
      <x:c r="A500" t="n">
        <x:v>8</x:v>
      </x:c>
      <x:c r="B500" t="n">
        <x:v>1</x:v>
      </x:c>
      <x:c r="C500" t="n">
        <x:v>1</x:v>
      </x:c>
      <x:c r="D500" t="n">
        <x:v>1</x:v>
      </x:c>
      <x:c r="E500" t="str">
        <x:v>veo</x:v>
      </x:c>
      <x:c r="F500" s="45" t="n">
        <x:f>2*$B500</x:f>
        <x:v>2</x:v>
      </x:c>
      <x:c r="G500" s="45" t="n">
        <x:f>1*$B500</x:f>
        <x:v>1</x:v>
      </x:c>
      <x:c r="H500" s="45" t="n">
        <x:f>0</x:f>
        <x:v>0</x:v>
      </x:c>
      <x:c r="I500" s="45" t="n">
        <x:f>0</x:f>
        <x:v>0</x:v>
      </x:c>
      <x:c r="J500" s="45" t="n">
        <x:f>0</x:f>
        <x:v>0</x:v>
      </x:c>
      <x:c r="K500" s="45" t="n">
        <x:f>0</x:f>
        <x:v>0</x:v>
      </x:c>
      <x:c r="L500" s="45" t="n">
        <x:f>F500+I500</x:f>
        <x:v>2</x:v>
      </x:c>
      <x:c r="M500" s="45" t="n">
        <x:f>G500+J500</x:f>
        <x:v>1</x:v>
      </x:c>
      <x:c r="N500" s="45" t="n">
        <x:f>H500+K500</x:f>
        <x:v>0</x:v>
      </x:c>
      <x:c r="O500" s="45" t="n">
        <x:f>SUM(F500:H500)</x:f>
        <x:v>3</x:v>
      </x:c>
      <x:c r="P500" s="42" t="n">
        <x:f>IF(AND(F500&lt;=F452,F500&lt;=F484,F500&lt;=F468,G500&lt;=G512,G500&lt;=G508,G500&lt;=G504,H500&lt;=H501,H500&lt;=H498,H500&lt;=H499),1,0)</x:f>
        <x:v>0</x:v>
      </x:c>
      <x:c r="Q500" s="42" t="n">
        <x:f>IF(AND(L500&lt;=L452,L500&lt;=L484,L500&lt;=L468,M500&lt;=M512,M500&lt;=M508,M500&lt;=M504,N500&lt;=N501,N500&lt;=N498,N500&lt;=N499),1,0)</x:f>
        <x:v>0</x:v>
      </x:c>
      <x:c r="R500" s="42" t="n">
        <x:v>0</x:v>
      </x:c>
      <x:c r="S500" s="42" t="n">
        <x:v>0</x:v>
      </x:c>
    </x:row>
    <x:row r="501">
      <x:c r="A501" t="n">
        <x:v>8</x:v>
      </x:c>
      <x:c r="B501" t="n">
        <x:v>1</x:v>
      </x:c>
      <x:c r="C501" t="n">
        <x:v>1</x:v>
      </x:c>
      <x:c r="D501" t="n">
        <x:v>1</x:v>
      </x:c>
      <x:c r="E501" t="str">
        <x:v>vev</x:v>
      </x:c>
      <x:c r="F501" s="45" t="n">
        <x:f>(3/2)*$B501+(1/2)*$C501</x:f>
        <x:v>2</x:v>
      </x:c>
      <x:c r="G501" s="45" t="n">
        <x:f>1*$C501</x:f>
        <x:v>1</x:v>
      </x:c>
      <x:c r="H501" s="45" t="n">
        <x:f>(3/2)*$B501+(1/2)*$C501</x:f>
        <x:v>2</x:v>
      </x:c>
      <x:c r="I501" s="45" t="n">
        <x:f>MAX((3/2)*($C501-$B501),0)</x:f>
        <x:v>0</x:v>
      </x:c>
      <x:c r="J501" s="45" t="n">
        <x:f>0</x:f>
        <x:v>0</x:v>
      </x:c>
      <x:c r="K501" s="45" t="n">
        <x:f>MAX((3/2)*($C501-$B501),0)</x:f>
        <x:v>0</x:v>
      </x:c>
      <x:c r="L501" s="45" t="n">
        <x:f>F501+I501</x:f>
        <x:v>2</x:v>
      </x:c>
      <x:c r="M501" s="45" t="n">
        <x:f>G501+J501</x:f>
        <x:v>1</x:v>
      </x:c>
      <x:c r="N501" s="45" t="n">
        <x:f>H501+K501</x:f>
        <x:v>2</x:v>
      </x:c>
      <x:c r="O501" s="45" t="n">
        <x:f>SUM(F501:H501)</x:f>
        <x:v>5</x:v>
      </x:c>
      <x:c r="P501" s="42" t="n">
        <x:f>IF(AND(F501&lt;=F453,F501&lt;=F485,F501&lt;=F469,G501&lt;=G513,G501&lt;=G509,G501&lt;=G505,H501&lt;=H498,H501&lt;=H500,H501&lt;=H499),1,0)</x:f>
        <x:v>0</x:v>
      </x:c>
      <x:c r="Q501" s="42" t="n">
        <x:f>IF(AND(L501&lt;=L453,L501&lt;=L485,L501&lt;=L469,M501&lt;=M513,M501&lt;=M509,M501&lt;=M505,N501&lt;=N498,N501&lt;=N500,N501&lt;=N499),1,0)</x:f>
        <x:v>0</x:v>
      </x:c>
      <x:c r="R501" s="42" t="n">
        <x:v>0</x:v>
      </x:c>
      <x:c r="S501" s="42" t="n">
        <x:v>0</x:v>
      </x:c>
    </x:row>
    <x:row r="502">
      <x:c r="A502" t="n">
        <x:v>8</x:v>
      </x:c>
      <x:c r="B502" t="n">
        <x:v>1</x:v>
      </x:c>
      <x:c r="C502" t="n">
        <x:v>1</x:v>
      </x:c>
      <x:c r="D502" t="n">
        <x:v>1</x:v>
      </x:c>
      <x:c r="E502" t="str">
        <x:v>vle</x:v>
      </x:c>
      <x:c r="F502" s="45" t="n">
        <x:f>2*$B502</x:f>
        <x:v>2</x:v>
      </x:c>
      <x:c r="G502" s="45" t="n">
        <x:f>1*$D502</x:f>
        <x:v>1</x:v>
      </x:c>
      <x:c r="H502" s="45" t="n">
        <x:f>1*$B502</x:f>
        <x:v>1</x:v>
      </x:c>
      <x:c r="I502" s="45" t="n">
        <x:f>0</x:f>
        <x:v>0</x:v>
      </x:c>
      <x:c r="J502" s="45" t="n">
        <x:f>0</x:f>
        <x:v>0</x:v>
      </x:c>
      <x:c r="K502" s="45" t="n">
        <x:f>0</x:f>
        <x:v>0</x:v>
      </x:c>
      <x:c r="L502" s="45" t="n">
        <x:f>F502+I502</x:f>
        <x:v>2</x:v>
      </x:c>
      <x:c r="M502" s="45" t="n">
        <x:f>G502+J502</x:f>
        <x:v>1</x:v>
      </x:c>
      <x:c r="N502" s="45" t="n">
        <x:f>H502+K502</x:f>
        <x:v>1</x:v>
      </x:c>
      <x:c r="O502" s="45" t="n">
        <x:f>SUM(F502:H502)</x:f>
        <x:v>4</x:v>
      </x:c>
      <x:c r="P502" s="42" t="n">
        <x:f>IF(AND(F502&lt;=F454,F502&lt;=F486,F502&lt;=F470,G502&lt;=G510,G502&lt;=G498,G502&lt;=G506,H502&lt;=H505,H502&lt;=H504,H502&lt;=H503),1,0)</x:f>
        <x:v>0</x:v>
      </x:c>
      <x:c r="Q502" s="42" t="n">
        <x:f>IF(AND(L502&lt;=L454,L502&lt;=L486,L502&lt;=L470,M502&lt;=M510,M502&lt;=M498,M502&lt;=M506,N502&lt;=N505,N502&lt;=N504,N502&lt;=N503),1,0)</x:f>
        <x:v>0</x:v>
      </x:c>
      <x:c r="R502" s="42" t="n">
        <x:v>0</x:v>
      </x:c>
      <x:c r="S502" s="42" t="n">
        <x:v>0</x:v>
      </x:c>
    </x:row>
    <x:row r="503">
      <x:c r="A503" t="n">
        <x:v>8</x:v>
      </x:c>
      <x:c r="B503" t="n">
        <x:v>1</x:v>
      </x:c>
      <x:c r="C503" t="n">
        <x:v>1</x:v>
      </x:c>
      <x:c r="D503" t="n">
        <x:v>1</x:v>
      </x:c>
      <x:c r="E503" t="str">
        <x:v>vll</x:v>
      </x:c>
      <x:c r="F503" s="45" t="n">
        <x:f>2*$B503</x:f>
        <x:v>2</x:v>
      </x:c>
      <x:c r="G503" s="45" t="n">
        <x:f>(1/2)*$C503+(3/2)*$D503</x:f>
        <x:v>2</x:v>
      </x:c>
      <x:c r="H503" s="45" t="n">
        <x:f>(1/2)*$C503+(3/2)*$D503</x:f>
        <x:v>2</x:v>
      </x:c>
      <x:c r="I503" s="45" t="n">
        <x:f>0</x:f>
        <x:v>0</x:v>
      </x:c>
      <x:c r="J503" s="45" t="n">
        <x:f>(1/2)*($C503+$D503)</x:f>
        <x:v>1</x:v>
      </x:c>
      <x:c r="K503" s="45" t="n">
        <x:f>(1/2)*($C503+$D503)</x:f>
        <x:v>1</x:v>
      </x:c>
      <x:c r="L503" s="45" t="n">
        <x:f>F503+I503</x:f>
        <x:v>2</x:v>
      </x:c>
      <x:c r="M503" s="45" t="n">
        <x:f>G503+J503</x:f>
        <x:v>3</x:v>
      </x:c>
      <x:c r="N503" s="45" t="n">
        <x:f>H503+K503</x:f>
        <x:v>3</x:v>
      </x:c>
      <x:c r="O503" s="45" t="n">
        <x:f>SUM(F503:H503)</x:f>
        <x:v>6</x:v>
      </x:c>
      <x:c r="P503" s="42" t="n">
        <x:f>IF(AND(F503&lt;=F455,F503&lt;=F487,F503&lt;=F471,G503&lt;=G511,G503&lt;=G499,G503&lt;=G507,H503&lt;=H505,H503&lt;=H502,H503&lt;=H504),1,0)</x:f>
        <x:v>0</x:v>
      </x:c>
      <x:c r="Q503" s="42" t="n">
        <x:f>IF(AND(L503&lt;=L455,L503&lt;=L487,L503&lt;=L471,M503&lt;=M511,M503&lt;=M499,M503&lt;=M507,N503&lt;=N505,N503&lt;=N502,N503&lt;=N504),1,0)</x:f>
        <x:v>0</x:v>
      </x:c>
      <x:c r="R503" s="42" t="n">
        <x:v>0</x:v>
      </x:c>
      <x:c r="S503" s="42" t="n">
        <x:v>0</x:v>
      </x:c>
    </x:row>
    <x:row r="504">
      <x:c r="A504" t="n">
        <x:v>8</x:v>
      </x:c>
      <x:c r="B504" t="n">
        <x:v>1</x:v>
      </x:c>
      <x:c r="C504" t="n">
        <x:v>1</x:v>
      </x:c>
      <x:c r="D504" t="n">
        <x:v>1</x:v>
      </x:c>
      <x:c r="E504" t="str">
        <x:v>vlo</x:v>
      </x:c>
      <x:c r="F504" s="45" t="n">
        <x:f>2*$B504</x:f>
        <x:v>2</x:v>
      </x:c>
      <x:c r="G504" s="45" t="n">
        <x:f>1*$D504</x:f>
        <x:v>1</x:v>
      </x:c>
      <x:c r="H504" s="45" t="n">
        <x:f>0</x:f>
        <x:v>0</x:v>
      </x:c>
      <x:c r="I504" s="45" t="n">
        <x:f>0</x:f>
        <x:v>0</x:v>
      </x:c>
      <x:c r="J504" s="45" t="n">
        <x:f>0</x:f>
        <x:v>0</x:v>
      </x:c>
      <x:c r="K504" s="45" t="n">
        <x:f>0</x:f>
        <x:v>0</x:v>
      </x:c>
      <x:c r="L504" s="45" t="n">
        <x:f>F504+I504</x:f>
        <x:v>2</x:v>
      </x:c>
      <x:c r="M504" s="45" t="n">
        <x:f>G504+J504</x:f>
        <x:v>1</x:v>
      </x:c>
      <x:c r="N504" s="45" t="n">
        <x:f>H504+K504</x:f>
        <x:v>0</x:v>
      </x:c>
      <x:c r="O504" s="45" t="n">
        <x:f>SUM(F504:H504)</x:f>
        <x:v>3</x:v>
      </x:c>
      <x:c r="P504" s="42" t="n">
        <x:f>IF(AND(F504&lt;=F456,F504&lt;=F488,F504&lt;=F472,G504&lt;=G512,G504&lt;=G500,G504&lt;=G508,H504&lt;=H505,H504&lt;=H502,H504&lt;=H503),1,0)</x:f>
        <x:v>0</x:v>
      </x:c>
      <x:c r="Q504" s="42" t="n">
        <x:f>IF(AND(L504&lt;=L456,L504&lt;=L488,L504&lt;=L472,M504&lt;=M512,M504&lt;=M500,M504&lt;=M508,N504&lt;=N505,N504&lt;=N502,N504&lt;=N503),1,0)</x:f>
        <x:v>0</x:v>
      </x:c>
      <x:c r="R504" s="42" t="n">
        <x:v>0</x:v>
      </x:c>
      <x:c r="S504" s="42" t="n">
        <x:v>0</x:v>
      </x:c>
    </x:row>
    <x:row r="505">
      <x:c r="A505" t="n">
        <x:v>8</x:v>
      </x:c>
      <x:c r="B505" t="n">
        <x:v>1</x:v>
      </x:c>
      <x:c r="C505" t="n">
        <x:v>1</x:v>
      </x:c>
      <x:c r="D505" t="n">
        <x:v>1</x:v>
      </x:c>
      <x:c r="E505" t="str">
        <x:v>vlv</x:v>
      </x:c>
      <x:c r="F505" s="45" t="n">
        <x:f>(3/2)*$B505+(1/2)*$C505</x:f>
        <x:v>2</x:v>
      </x:c>
      <x:c r="G505" s="45" t="n">
        <x:f>1*$D505</x:f>
        <x:v>1</x:v>
      </x:c>
      <x:c r="H505" s="45" t="n">
        <x:f>(3/2)*$B505+(1/2)*$C505</x:f>
        <x:v>2</x:v>
      </x:c>
      <x:c r="I505" s="45" t="n">
        <x:f>MAX((1/2)*($C505-$B505),0)</x:f>
        <x:v>0</x:v>
      </x:c>
      <x:c r="J505" s="45" t="n">
        <x:f>0</x:f>
        <x:v>0</x:v>
      </x:c>
      <x:c r="K505" s="45" t="n">
        <x:f>MAX((1/2)*($C505-$B505),0)</x:f>
        <x:v>0</x:v>
      </x:c>
      <x:c r="L505" s="45" t="n">
        <x:f>F505+I505</x:f>
        <x:v>2</x:v>
      </x:c>
      <x:c r="M505" s="45" t="n">
        <x:f>G505+J505</x:f>
        <x:v>1</x:v>
      </x:c>
      <x:c r="N505" s="45" t="n">
        <x:f>H505+K505</x:f>
        <x:v>2</x:v>
      </x:c>
      <x:c r="O505" s="45" t="n">
        <x:f>SUM(F505:H505)</x:f>
        <x:v>5</x:v>
      </x:c>
      <x:c r="P505" s="42" t="n">
        <x:f>IF(AND(F505&lt;=F457,F505&lt;=F489,F505&lt;=F473,G505&lt;=G513,G505&lt;=G501,G505&lt;=G509,H505&lt;=H502,H505&lt;=H504,H505&lt;=H503),1,0)</x:f>
        <x:v>0</x:v>
      </x:c>
      <x:c r="Q505" s="42" t="n">
        <x:f>IF(AND(L505&lt;=L457,L505&lt;=L489,L505&lt;=L473,M505&lt;=M513,M505&lt;=M501,M505&lt;=M509,N505&lt;=N502,N505&lt;=N504,N505&lt;=N503),1,0)</x:f>
        <x:v>0</x:v>
      </x:c>
      <x:c r="R505" s="42" t="n">
        <x:v>0</x:v>
      </x:c>
      <x:c r="S505" s="42" t="n">
        <x:v>0</x:v>
      </x:c>
    </x:row>
    <x:row r="506">
      <x:c r="A506" t="n">
        <x:v>8</x:v>
      </x:c>
      <x:c r="B506" t="n">
        <x:v>1</x:v>
      </x:c>
      <x:c r="C506" t="n">
        <x:v>1</x:v>
      </x:c>
      <x:c r="D506" t="n">
        <x:v>1</x:v>
      </x:c>
      <x:c r="E506" t="str">
        <x:v>voe</x:v>
      </x:c>
      <x:c r="F506" s="45" t="n">
        <x:f>2*$B506</x:f>
        <x:v>2</x:v>
      </x:c>
      <x:c r="G506" s="45" t="n">
        <x:f>0</x:f>
        <x:v>0</x:v>
      </x:c>
      <x:c r="H506" s="45" t="n">
        <x:f>1*$B506</x:f>
        <x:v>1</x:v>
      </x:c>
      <x:c r="I506" s="45" t="n">
        <x:f>0</x:f>
        <x:v>0</x:v>
      </x:c>
      <x:c r="J506" s="45" t="n">
        <x:f>0</x:f>
        <x:v>0</x:v>
      </x:c>
      <x:c r="K506" s="45" t="n">
        <x:f>0</x:f>
        <x:v>0</x:v>
      </x:c>
      <x:c r="L506" s="45" t="n">
        <x:f>F506+I506</x:f>
        <x:v>2</x:v>
      </x:c>
      <x:c r="M506" s="45" t="n">
        <x:f>G506+J506</x:f>
        <x:v>0</x:v>
      </x:c>
      <x:c r="N506" s="45" t="n">
        <x:f>H506+K506</x:f>
        <x:v>1</x:v>
      </x:c>
      <x:c r="O506" s="45" t="n">
        <x:f>SUM(F506:H506)</x:f>
        <x:v>3</x:v>
      </x:c>
      <x:c r="P506" s="42" t="n">
        <x:f>IF(AND(F506&lt;=F458,F506&lt;=F490,F506&lt;=F474,G506&lt;=G510,G506&lt;=G498,G506&lt;=G502,H506&lt;=H509,H506&lt;=H508,H506&lt;=H507),1,0)</x:f>
        <x:v>0</x:v>
      </x:c>
      <x:c r="Q506" s="42" t="n">
        <x:f>IF(AND(L506&lt;=L458,L506&lt;=L490,L506&lt;=L474,M506&lt;=M510,M506&lt;=M498,M506&lt;=M502,N506&lt;=N509,N506&lt;=N508,N506&lt;=N507),1,0)</x:f>
        <x:v>0</x:v>
      </x:c>
      <x:c r="R506" s="42" t="n">
        <x:v>0</x:v>
      </x:c>
      <x:c r="S506" s="42" t="n">
        <x:v>0</x:v>
      </x:c>
    </x:row>
    <x:row r="507">
      <x:c r="A507" t="n">
        <x:v>8</x:v>
      </x:c>
      <x:c r="B507" t="n">
        <x:v>1</x:v>
      </x:c>
      <x:c r="C507" t="n">
        <x:v>1</x:v>
      </x:c>
      <x:c r="D507" t="n">
        <x:v>1</x:v>
      </x:c>
      <x:c r="E507" t="str">
        <x:v>vol</x:v>
      </x:c>
      <x:c r="F507" s="45" t="n">
        <x:f>2*$B507</x:f>
        <x:v>2</x:v>
      </x:c>
      <x:c r="G507" s="45" t="n">
        <x:f>0</x:f>
        <x:v>0</x:v>
      </x:c>
      <x:c r="H507" s="45" t="n">
        <x:f>1*$D507</x:f>
        <x:v>1</x:v>
      </x:c>
      <x:c r="I507" s="45" t="n">
        <x:f>0</x:f>
        <x:v>0</x:v>
      </x:c>
      <x:c r="J507" s="45" t="n">
        <x:f>0</x:f>
        <x:v>0</x:v>
      </x:c>
      <x:c r="K507" s="45" t="n">
        <x:f>0</x:f>
        <x:v>0</x:v>
      </x:c>
      <x:c r="L507" s="45" t="n">
        <x:f>F507+I507</x:f>
        <x:v>2</x:v>
      </x:c>
      <x:c r="M507" s="45" t="n">
        <x:f>G507+J507</x:f>
        <x:v>0</x:v>
      </x:c>
      <x:c r="N507" s="45" t="n">
        <x:f>H507+K507</x:f>
        <x:v>1</x:v>
      </x:c>
      <x:c r="O507" s="45" t="n">
        <x:f>SUM(F507:H507)</x:f>
        <x:v>3</x:v>
      </x:c>
      <x:c r="P507" s="42" t="n">
        <x:f>IF(AND(F507&lt;=F459,F507&lt;=F491,F507&lt;=F475,G507&lt;=G511,G507&lt;=G499,G507&lt;=G503,H507&lt;=H509,H507&lt;=H506,H507&lt;=H508),1,0)</x:f>
        <x:v>0</x:v>
      </x:c>
      <x:c r="Q507" s="42" t="n">
        <x:f>IF(AND(L507&lt;=L459,L507&lt;=L491,L507&lt;=L475,M507&lt;=M511,M507&lt;=M499,M507&lt;=M503,N507&lt;=N509,N507&lt;=N506,N507&lt;=N508),1,0)</x:f>
        <x:v>0</x:v>
      </x:c>
      <x:c r="R507" s="42" t="n">
        <x:v>0</x:v>
      </x:c>
      <x:c r="S507" s="42" t="n">
        <x:v>0</x:v>
      </x:c>
    </x:row>
    <x:row r="508">
      <x:c r="A508" t="n">
        <x:v>8</x:v>
      </x:c>
      <x:c r="B508" t="n">
        <x:v>1</x:v>
      </x:c>
      <x:c r="C508" t="n">
        <x:v>1</x:v>
      </x:c>
      <x:c r="D508" t="n">
        <x:v>1</x:v>
      </x:c>
      <x:c r="E508" t="str">
        <x:v>voo</x:v>
      </x:c>
      <x:c r="F508" s="45" t="n">
        <x:f>2*$B508</x:f>
        <x:v>2</x:v>
      </x:c>
      <x:c r="G508" s="45" t="n">
        <x:f>(1/2)*$C508+(1/2)*$D508</x:f>
        <x:v>1</x:v>
      </x:c>
      <x:c r="H508" s="45" t="n">
        <x:f>(1/2)*$C508+(1/2)*$D508</x:f>
        <x:v>1</x:v>
      </x:c>
      <x:c r="I508" s="45" t="n">
        <x:f>0</x:f>
        <x:v>0</x:v>
      </x:c>
      <x:c r="J508" s="45" t="n">
        <x:f>(1/2)*($C508+$D508)</x:f>
        <x:v>1</x:v>
      </x:c>
      <x:c r="K508" s="45" t="n">
        <x:f>(1/2)*($C508+$D508)</x:f>
        <x:v>1</x:v>
      </x:c>
      <x:c r="L508" s="45" t="n">
        <x:f>F508+I508</x:f>
        <x:v>2</x:v>
      </x:c>
      <x:c r="M508" s="45" t="n">
        <x:f>G508+J508</x:f>
        <x:v>2</x:v>
      </x:c>
      <x:c r="N508" s="45" t="n">
        <x:f>H508+K508</x:f>
        <x:v>2</x:v>
      </x:c>
      <x:c r="O508" s="45" t="n">
        <x:f>SUM(F508:H508)</x:f>
        <x:v>4</x:v>
      </x:c>
      <x:c r="P508" s="42" t="n">
        <x:f>IF(AND(F508&lt;=F460,F508&lt;=F492,F508&lt;=F476,G508&lt;=G512,G508&lt;=G500,G508&lt;=G504,H508&lt;=H509,H508&lt;=H506,H508&lt;=H507),1,0)</x:f>
        <x:v>0</x:v>
      </x:c>
      <x:c r="Q508" s="42" t="n">
        <x:f>IF(AND(L508&lt;=L460,L508&lt;=L492,L508&lt;=L476,M508&lt;=M512,M508&lt;=M500,M508&lt;=M504,N508&lt;=N509,N508&lt;=N506,N508&lt;=N507),1,0)</x:f>
        <x:v>0</x:v>
      </x:c>
      <x:c r="R508" s="42" t="n">
        <x:v>0</x:v>
      </x:c>
      <x:c r="S508" s="42" t="n">
        <x:v>0</x:v>
      </x:c>
    </x:row>
    <x:row r="509">
      <x:c r="A509" t="n">
        <x:v>8</x:v>
      </x:c>
      <x:c r="B509" t="n">
        <x:v>1</x:v>
      </x:c>
      <x:c r="C509" t="n">
        <x:v>1</x:v>
      </x:c>
      <x:c r="D509" t="n">
        <x:v>1</x:v>
      </x:c>
      <x:c r="E509" t="str">
        <x:v>vov</x:v>
      </x:c>
      <x:c r="F509" s="45" t="n">
        <x:f>(3/2)*$B509+(1/2)*$C509</x:f>
        <x:v>2</x:v>
      </x:c>
      <x:c r="G509" s="45" t="n">
        <x:f>0</x:f>
        <x:v>0</x:v>
      </x:c>
      <x:c r="H509" s="45" t="n">
        <x:f>(3/2)*$B509+(1/2)*$C509</x:f>
        <x:v>2</x:v>
      </x:c>
      <x:c r="I509" s="45" t="n">
        <x:f>MAX((1/2)*($C509-$B509),0)</x:f>
        <x:v>0</x:v>
      </x:c>
      <x:c r="J509" s="45" t="n">
        <x:f>0</x:f>
        <x:v>0</x:v>
      </x:c>
      <x:c r="K509" s="45" t="n">
        <x:f>MAX((1/2)*($C509-$B509),0)</x:f>
        <x:v>0</x:v>
      </x:c>
      <x:c r="L509" s="45" t="n">
        <x:f>F509+I509</x:f>
        <x:v>2</x:v>
      </x:c>
      <x:c r="M509" s="45" t="n">
        <x:f>G509+J509</x:f>
        <x:v>0</x:v>
      </x:c>
      <x:c r="N509" s="45" t="n">
        <x:f>H509+K509</x:f>
        <x:v>2</x:v>
      </x:c>
      <x:c r="O509" s="45" t="n">
        <x:f>SUM(F509:H509)</x:f>
        <x:v>4</x:v>
      </x:c>
      <x:c r="P509" s="42" t="n">
        <x:f>IF(AND(F509&lt;=F461,F509&lt;=F493,F509&lt;=F477,G509&lt;=G513,G509&lt;=G501,G509&lt;=G505,H509&lt;=H506,H509&lt;=H508,H509&lt;=H507),1,0)</x:f>
        <x:v>0</x:v>
      </x:c>
      <x:c r="Q509" s="42" t="n">
        <x:f>IF(AND(L509&lt;=L461,L509&lt;=L493,L509&lt;=L477,M509&lt;=M513,M509&lt;=M501,M509&lt;=M505,N509&lt;=N506,N509&lt;=N508,N509&lt;=N507),1,0)</x:f>
        <x:v>0</x:v>
      </x:c>
      <x:c r="R509" s="42" t="n">
        <x:v>0</x:v>
      </x:c>
      <x:c r="S509" s="42" t="n">
        <x:v>0</x:v>
      </x:c>
    </x:row>
    <x:row r="510">
      <x:c r="A510" t="n">
        <x:v>8</x:v>
      </x:c>
      <x:c r="B510" t="n">
        <x:v>1</x:v>
      </x:c>
      <x:c r="C510" t="n">
        <x:v>1</x:v>
      </x:c>
      <x:c r="D510" t="n">
        <x:v>1</x:v>
      </x:c>
      <x:c r="E510" t="str">
        <x:v>vve</x:v>
      </x:c>
      <x:c r="F510" s="45" t="n">
        <x:f>(3/2)*$B510+(1/2)*$C510</x:f>
        <x:v>2</x:v>
      </x:c>
      <x:c r="G510" s="45" t="n">
        <x:f>(3/2)*$B510+(1/2)*$C510</x:f>
        <x:v>2</x:v>
      </x:c>
      <x:c r="H510" s="45" t="n">
        <x:f>1*$C510</x:f>
        <x:v>1</x:v>
      </x:c>
      <x:c r="I510" s="45" t="n">
        <x:f>MAX((3/2)*($C510-$B510),0)</x:f>
        <x:v>0</x:v>
      </x:c>
      <x:c r="J510" s="45" t="n">
        <x:f>MAX((3/2)*($C510-$B510),0)</x:f>
        <x:v>0</x:v>
      </x:c>
      <x:c r="K510" s="45" t="n">
        <x:f>0</x:f>
        <x:v>0</x:v>
      </x:c>
      <x:c r="L510" s="45" t="n">
        <x:f>F510+I510</x:f>
        <x:v>2</x:v>
      </x:c>
      <x:c r="M510" s="45" t="n">
        <x:f>G510+J510</x:f>
        <x:v>2</x:v>
      </x:c>
      <x:c r="N510" s="45" t="n">
        <x:f>H510+K510</x:f>
        <x:v>1</x:v>
      </x:c>
      <x:c r="O510" s="45" t="n">
        <x:f>SUM(F510:H510)</x:f>
        <x:v>5</x:v>
      </x:c>
      <x:c r="P510" s="42" t="n">
        <x:f>IF(AND(F510&lt;=F462,F510&lt;=F494,F510&lt;=F478,G510&lt;=G498,G510&lt;=G506,G510&lt;=G502,H510&lt;=H513,H510&lt;=H512,H510&lt;=H511),1,0)</x:f>
        <x:v>0</x:v>
      </x:c>
      <x:c r="Q510" s="42" t="n">
        <x:f>IF(AND(L510&lt;=L462,L510&lt;=L494,L510&lt;=L478,M510&lt;=M498,M510&lt;=M506,M510&lt;=M502,N510&lt;=N513,N510&lt;=N512,N510&lt;=N511),1,0)</x:f>
        <x:v>0</x:v>
      </x:c>
      <x:c r="R510" s="42" t="n">
        <x:v>0</x:v>
      </x:c>
      <x:c r="S510" s="42" t="n">
        <x:v>0</x:v>
      </x:c>
    </x:row>
    <x:row r="511">
      <x:c r="A511" t="n">
        <x:v>8</x:v>
      </x:c>
      <x:c r="B511" t="n">
        <x:v>1</x:v>
      </x:c>
      <x:c r="C511" t="n">
        <x:v>1</x:v>
      </x:c>
      <x:c r="D511" t="n">
        <x:v>1</x:v>
      </x:c>
      <x:c r="E511" t="str">
        <x:v>vvl</x:v>
      </x:c>
      <x:c r="F511" s="45" t="n">
        <x:f>(3/2)*$B511+(1/2)*$C511</x:f>
        <x:v>2</x:v>
      </x:c>
      <x:c r="G511" s="45" t="n">
        <x:f>(3/2)*$B511+(1/2)*$C511</x:f>
        <x:v>2</x:v>
      </x:c>
      <x:c r="H511" s="45" t="n">
        <x:f>1*$D511</x:f>
        <x:v>1</x:v>
      </x:c>
      <x:c r="I511" s="45" t="n">
        <x:f>MAX((1/2)*($C511-$B511),0)</x:f>
        <x:v>0</x:v>
      </x:c>
      <x:c r="J511" s="45" t="n">
        <x:f>MAX((1/2)*($C511-$B511),0)</x:f>
        <x:v>0</x:v>
      </x:c>
      <x:c r="K511" s="45" t="n">
        <x:f>0</x:f>
        <x:v>0</x:v>
      </x:c>
      <x:c r="L511" s="45" t="n">
        <x:f>F511+I511</x:f>
        <x:v>2</x:v>
      </x:c>
      <x:c r="M511" s="45" t="n">
        <x:f>G511+J511</x:f>
        <x:v>2</x:v>
      </x:c>
      <x:c r="N511" s="45" t="n">
        <x:f>H511+K511</x:f>
        <x:v>1</x:v>
      </x:c>
      <x:c r="O511" s="45" t="n">
        <x:f>SUM(F511:H511)</x:f>
        <x:v>5</x:v>
      </x:c>
      <x:c r="P511" s="42" t="n">
        <x:f>IF(AND(F511&lt;=F463,F511&lt;=F495,F511&lt;=F479,G511&lt;=G499,G511&lt;=G507,G511&lt;=G503,H511&lt;=H513,H511&lt;=H510,H511&lt;=H512),1,0)</x:f>
        <x:v>0</x:v>
      </x:c>
      <x:c r="Q511" s="42" t="n">
        <x:f>IF(AND(L511&lt;=L463,L511&lt;=L495,L511&lt;=L479,M511&lt;=M499,M511&lt;=M507,M511&lt;=M503,N511&lt;=N513,N511&lt;=N510,N511&lt;=N512),1,0)</x:f>
        <x:v>0</x:v>
      </x:c>
      <x:c r="R511" s="42" t="n">
        <x:v>0</x:v>
      </x:c>
      <x:c r="S511" s="42" t="n">
        <x:v>0</x:v>
      </x:c>
    </x:row>
    <x:row r="512">
      <x:c r="A512" t="n">
        <x:v>8</x:v>
      </x:c>
      <x:c r="B512" t="n">
        <x:v>1</x:v>
      </x:c>
      <x:c r="C512" t="n">
        <x:v>1</x:v>
      </x:c>
      <x:c r="D512" t="n">
        <x:v>1</x:v>
      </x:c>
      <x:c r="E512" t="str">
        <x:v>vvo</x:v>
      </x:c>
      <x:c r="F512" s="45" t="n">
        <x:f>(3/2)*$B512+(1/2)*$C512</x:f>
        <x:v>2</x:v>
      </x:c>
      <x:c r="G512" s="45" t="n">
        <x:f>(3/2)*$B512+(1/2)*$C512</x:f>
        <x:v>2</x:v>
      </x:c>
      <x:c r="H512" s="45" t="n">
        <x:f>0</x:f>
        <x:v>0</x:v>
      </x:c>
      <x:c r="I512" s="45" t="n">
        <x:f>MAX((1/2)*($C512-$B512),0)</x:f>
        <x:v>0</x:v>
      </x:c>
      <x:c r="J512" s="45" t="n">
        <x:f>MAX((1/2)*($C512-$B512),0)</x:f>
        <x:v>0</x:v>
      </x:c>
      <x:c r="K512" s="45" t="n">
        <x:f>0</x:f>
        <x:v>0</x:v>
      </x:c>
      <x:c r="L512" s="45" t="n">
        <x:f>F512+I512</x:f>
        <x:v>2</x:v>
      </x:c>
      <x:c r="M512" s="45" t="n">
        <x:f>G512+J512</x:f>
        <x:v>2</x:v>
      </x:c>
      <x:c r="N512" s="45" t="n">
        <x:f>H512+K512</x:f>
        <x:v>0</x:v>
      </x:c>
      <x:c r="O512" s="45" t="n">
        <x:f>SUM(F512:H512)</x:f>
        <x:v>4</x:v>
      </x:c>
      <x:c r="P512" s="42" t="n">
        <x:f>IF(AND(F512&lt;=F464,F512&lt;=F496,F512&lt;=F480,G512&lt;=G500,G512&lt;=G508,G512&lt;=G504,H512&lt;=H513,H512&lt;=H510,H512&lt;=H511),1,0)</x:f>
        <x:v>0</x:v>
      </x:c>
      <x:c r="Q512" s="42" t="n">
        <x:f>IF(AND(L512&lt;=L464,L512&lt;=L496,L512&lt;=L480,M512&lt;=M500,M512&lt;=M508,M512&lt;=M504,N512&lt;=N513,N512&lt;=N510,N512&lt;=N511),1,0)</x:f>
        <x:v>0</x:v>
      </x:c>
      <x:c r="R512" s="42" t="n">
        <x:v>0</x:v>
      </x:c>
      <x:c r="S512" s="42" t="n">
        <x:v>0</x:v>
      </x:c>
    </x:row>
    <x:row r="513">
      <x:c r="A513" t="n">
        <x:v>8</x:v>
      </x:c>
      <x:c r="B513" t="n">
        <x:v>1</x:v>
      </x:c>
      <x:c r="C513" t="n">
        <x:v>1</x:v>
      </x:c>
      <x:c r="D513" t="n">
        <x:v>1</x:v>
      </x:c>
      <x:c r="E513" t="str">
        <x:v>vvv</x:v>
      </x:c>
      <x:c r="F513" s="45" t="n">
        <x:f>1*$B513+1*$C513</x:f>
        <x:v>2</x:v>
      </x:c>
      <x:c r="G513" s="45" t="n">
        <x:f>1*$B513+1*$C513</x:f>
        <x:v>2</x:v>
      </x:c>
      <x:c r="H513" s="45" t="n">
        <x:f>1*$B513+1*$C513</x:f>
        <x:v>2</x:v>
      </x:c>
      <x:c r="I513" s="45" t="n">
        <x:f>MAX($C513-$B513,0)</x:f>
        <x:v>0</x:v>
      </x:c>
      <x:c r="J513" s="45" t="n">
        <x:f>MAX($C513-$B513,0)</x:f>
        <x:v>0</x:v>
      </x:c>
      <x:c r="K513" s="45" t="n">
        <x:f>MAX($C513-$B513,0)</x:f>
        <x:v>0</x:v>
      </x:c>
      <x:c r="L513" s="45" t="n">
        <x:f>F513+I513</x:f>
        <x:v>2</x:v>
      </x:c>
      <x:c r="M513" s="45" t="n">
        <x:f>G513+J513</x:f>
        <x:v>2</x:v>
      </x:c>
      <x:c r="N513" s="45" t="n">
        <x:f>H513+K513</x:f>
        <x:v>2</x:v>
      </x:c>
      <x:c r="O513" s="45" t="n">
        <x:f>SUM(F513:H513)</x:f>
        <x:v>6</x:v>
      </x:c>
      <x:c r="P513" s="42" t="n">
        <x:f>IF(AND(F513&lt;=F465,F513&lt;=F497,F513&lt;=F481,G513&lt;=G501,G513&lt;=G509,G513&lt;=G505,H513&lt;=H510,H513&lt;=H512,H513&lt;=H511),1,0)</x:f>
        <x:v>0</x:v>
      </x:c>
      <x:c r="Q513" s="42" t="n">
        <x:f>IF(AND(L513&lt;=L465,L513&lt;=L497,L513&lt;=L481,M513&lt;=M501,M513&lt;=M509,M513&lt;=M505,N513&lt;=N510,N513&lt;=N512,N513&lt;=N511),1,0)</x:f>
        <x:v>0</x:v>
      </x:c>
      <x:c r="R513" s="42" t="n">
        <x:v>0</x:v>
      </x:c>
      <x:c r="S513" s="42" t="n">
        <x:v>0</x:v>
      </x:c>
    </x:row>
    <x:row r="514">
      <x:c r="A514" t="n">
        <x:v>9</x:v>
      </x:c>
      <x:c r="B514" t="n">
        <x:v>3</x:v>
      </x:c>
      <x:c r="C514" t="n">
        <x:v>1</x:v>
      </x:c>
      <x:c r="D514" t="n">
        <x:v>4</x:v>
      </x:c>
      <x:c r="E514" t="str">
        <x:v>eee</x:v>
      </x:c>
      <x:c r="F514" s="45" t="n">
        <x:f>(1/3)*$B514+1*$C514+(1/3)*$D514</x:f>
        <x:v>3.333333333333333</x:v>
      </x:c>
      <x:c r="G514" s="45" t="n">
        <x:f>(1/3)*$B514+1*$C514+(1/3)*$D514</x:f>
        <x:v>3.333333333333333</x:v>
      </x:c>
      <x:c r="H514" s="45" t="n">
        <x:f>(1/3)*$B514+1*$C514+(1/3)*$D514</x:f>
        <x:v>3.333333333333333</x:v>
      </x:c>
      <x:c r="I514" s="45" t="n">
        <x:f>MAX($C514+(2/3)*$D514-(1/3)*$B514,0)</x:f>
        <x:v>2.6666666666666665</x:v>
      </x:c>
      <x:c r="J514" s="45" t="n">
        <x:f>MAX($C514+(2/3)*$D514-(1/3)*$B514,0)</x:f>
        <x:v>2.6666666666666665</x:v>
      </x:c>
      <x:c r="K514" s="45" t="n">
        <x:f>MAX($C514+(2/3)*$D514-(1/3)*$B514,0)</x:f>
        <x:v>2.6666666666666665</x:v>
      </x:c>
      <x:c r="L514" s="45" t="n">
        <x:f>F514+I514</x:f>
        <x:v>6</x:v>
      </x:c>
      <x:c r="M514" s="45" t="n">
        <x:f>G514+J514</x:f>
        <x:v>6</x:v>
      </x:c>
      <x:c r="N514" s="45" t="n">
        <x:f>H514+K514</x:f>
        <x:v>6</x:v>
      </x:c>
      <x:c r="O514" s="45" t="n">
        <x:f>SUM(F514:H514)</x:f>
        <x:v>10</x:v>
      </x:c>
      <x:c r="P514" s="42" t="n">
        <x:f>IF(AND(F514&lt;=F562,F514&lt;=F546,F514&lt;=F530,G514&lt;=G526,G514&lt;=G522,G514&lt;=G518,H514&lt;=H517,H514&lt;=H516,H514&lt;=H515),1,0)</x:f>
        <x:v>1</x:v>
      </x:c>
      <x:c r="Q514" s="42" t="n">
        <x:f>IF(AND(L514&lt;=L562,L514&lt;=L546,L514&lt;=L530,M514&lt;=M526,M514&lt;=M522,M514&lt;=M518,N514&lt;=N517,N514&lt;=N516,N514&lt;=N515),1,0)</x:f>
        <x:v>0</x:v>
      </x:c>
      <x:c r="R514" s="42" t="n">
        <x:v>1</x:v>
      </x:c>
      <x:c r="S514" s="42" t="n">
        <x:v>0</x:v>
      </x:c>
    </x:row>
    <x:row r="515">
      <x:c r="A515" t="n">
        <x:v>9</x:v>
      </x:c>
      <x:c r="B515" t="n">
        <x:v>3</x:v>
      </x:c>
      <x:c r="C515" t="n">
        <x:v>1</x:v>
      </x:c>
      <x:c r="D515" t="n">
        <x:v>4</x:v>
      </x:c>
      <x:c r="E515" t="str">
        <x:v>eel</x:v>
      </x:c>
      <x:c r="F515" s="45" t="n">
        <x:f>(1/2)*$B515+(1/2)*$C515</x:f>
        <x:v>2</x:v>
      </x:c>
      <x:c r="G515" s="45" t="n">
        <x:f>(1/2)*$B515+(1/2)*$C515</x:f>
        <x:v>2</x:v>
      </x:c>
      <x:c r="H515" s="45" t="n">
        <x:f>1*$D515</x:f>
        <x:v>4</x:v>
      </x:c>
      <x:c r="I515" s="45" t="n">
        <x:f>MAX((1/2)*($C515-$B515),0)</x:f>
        <x:v>0</x:v>
      </x:c>
      <x:c r="J515" s="45" t="n">
        <x:f>MAX((1/2)*($C515-$B515),0)</x:f>
        <x:v>0</x:v>
      </x:c>
      <x:c r="K515" s="45" t="n">
        <x:f>0</x:f>
        <x:v>0</x:v>
      </x:c>
      <x:c r="L515" s="45" t="n">
        <x:f>F515+I515</x:f>
        <x:v>2</x:v>
      </x:c>
      <x:c r="M515" s="45" t="n">
        <x:f>G515+J515</x:f>
        <x:v>2</x:v>
      </x:c>
      <x:c r="N515" s="45" t="n">
        <x:f>H515+K515</x:f>
        <x:v>4</x:v>
      </x:c>
      <x:c r="O515" s="45" t="n">
        <x:f>SUM(F515:H515)</x:f>
        <x:v>8</x:v>
      </x:c>
      <x:c r="P515" s="42" t="n">
        <x:f>IF(AND(F515&lt;=F563,F515&lt;=F547,F515&lt;=F531,G515&lt;=G527,G515&lt;=G523,G515&lt;=G519,H515&lt;=H517,H515&lt;=H514,H515&lt;=H516),1,0)</x:f>
        <x:v>0</x:v>
      </x:c>
      <x:c r="Q515" s="42" t="n">
        <x:f>IF(AND(L515&lt;=L563,L515&lt;=L547,L515&lt;=L531,M515&lt;=M527,M515&lt;=M523,M515&lt;=M519,N515&lt;=N517,N515&lt;=N514,N515&lt;=N516),1,0)</x:f>
        <x:v>0</x:v>
      </x:c>
      <x:c r="R515" s="42" t="n">
        <x:v>0</x:v>
      </x:c>
      <x:c r="S515" s="42" t="n">
        <x:v>0</x:v>
      </x:c>
    </x:row>
    <x:row r="516">
      <x:c r="A516" t="n">
        <x:v>9</x:v>
      </x:c>
      <x:c r="B516" t="n">
        <x:v>3</x:v>
      </x:c>
      <x:c r="C516" t="n">
        <x:v>1</x:v>
      </x:c>
      <x:c r="D516" t="n">
        <x:v>4</x:v>
      </x:c>
      <x:c r="E516" t="str">
        <x:v>eeo</x:v>
      </x:c>
      <x:c r="F516" s="45" t="n">
        <x:f>(1/2)*$B516+(1/2)*$C516</x:f>
        <x:v>2</x:v>
      </x:c>
      <x:c r="G516" s="45" t="n">
        <x:f>(1/2)*$B516+(1/2)*$C516</x:f>
        <x:v>2</x:v>
      </x:c>
      <x:c r="H516" s="45" t="n">
        <x:f>1*$C516+1*$D516</x:f>
        <x:v>5</x:v>
      </x:c>
      <x:c r="I516" s="45" t="n">
        <x:f>MAX((3/2)*$C516+$D516-(1/2)*$B516,0)</x:f>
        <x:v>4</x:v>
      </x:c>
      <x:c r="J516" s="45" t="n">
        <x:f>MAX((3/2)*$C516+$D516-(1/2)*$B516,0)</x:f>
        <x:v>4</x:v>
      </x:c>
      <x:c r="K516" s="45" t="n">
        <x:f>0</x:f>
        <x:v>0</x:v>
      </x:c>
      <x:c r="L516" s="45" t="n">
        <x:f>F516+I516</x:f>
        <x:v>6</x:v>
      </x:c>
      <x:c r="M516" s="45" t="n">
        <x:f>G516+J516</x:f>
        <x:v>6</x:v>
      </x:c>
      <x:c r="N516" s="45" t="n">
        <x:f>H516+K516</x:f>
        <x:v>5</x:v>
      </x:c>
      <x:c r="O516" s="45" t="n">
        <x:f>SUM(F516:H516)</x:f>
        <x:v>9</x:v>
      </x:c>
      <x:c r="P516" s="42" t="n">
        <x:f>IF(AND(F516&lt;=F564,F516&lt;=F548,F516&lt;=F532,G516&lt;=G528,G516&lt;=G524,G516&lt;=G520,H516&lt;=H517,H516&lt;=H514,H516&lt;=H515),1,0)</x:f>
        <x:v>0</x:v>
      </x:c>
      <x:c r="Q516" s="42" t="n">
        <x:f>IF(AND(L516&lt;=L564,L516&lt;=L548,L516&lt;=L532,M516&lt;=M528,M516&lt;=M524,M516&lt;=M520,N516&lt;=N517,N516&lt;=N514,N516&lt;=N515),1,0)</x:f>
        <x:v>0</x:v>
      </x:c>
      <x:c r="R516" s="42" t="n">
        <x:v>0</x:v>
      </x:c>
      <x:c r="S516" s="42" t="n">
        <x:v>0</x:v>
      </x:c>
    </x:row>
    <x:row r="517">
      <x:c r="A517" t="n">
        <x:v>9</x:v>
      </x:c>
      <x:c r="B517" t="n">
        <x:v>3</x:v>
      </x:c>
      <x:c r="C517" t="n">
        <x:v>1</x:v>
      </x:c>
      <x:c r="D517" t="n">
        <x:v>4</x:v>
      </x:c>
      <x:c r="E517" t="str">
        <x:v>eev</x:v>
      </x:c>
      <x:c r="F517" s="45" t="n">
        <x:f>(1/2)*$B517+(1/2)*$C517</x:f>
        <x:v>2</x:v>
      </x:c>
      <x:c r="G517" s="45" t="n">
        <x:f>(1/2)*$B517+(1/2)*$C517</x:f>
        <x:v>2</x:v>
      </x:c>
      <x:c r="H517" s="45" t="n">
        <x:f>2*$B517</x:f>
        <x:v>6</x:v>
      </x:c>
      <x:c r="I517" s="45" t="n">
        <x:f>MAX((1/2)*($C517-$B517),0)</x:f>
        <x:v>0</x:v>
      </x:c>
      <x:c r="J517" s="45" t="n">
        <x:f>MAX((1/2)*($C517-$B517),0)</x:f>
        <x:v>0</x:v>
      </x:c>
      <x:c r="K517" s="45" t="n">
        <x:f>0</x:f>
        <x:v>0</x:v>
      </x:c>
      <x:c r="L517" s="45" t="n">
        <x:f>F517+I517</x:f>
        <x:v>2</x:v>
      </x:c>
      <x:c r="M517" s="45" t="n">
        <x:f>G517+J517</x:f>
        <x:v>2</x:v>
      </x:c>
      <x:c r="N517" s="45" t="n">
        <x:f>H517+K517</x:f>
        <x:v>6</x:v>
      </x:c>
      <x:c r="O517" s="45" t="n">
        <x:f>SUM(F517:H517)</x:f>
        <x:v>10</x:v>
      </x:c>
      <x:c r="P517" s="42" t="n">
        <x:f>IF(AND(F517&lt;=F565,F517&lt;=F549,F517&lt;=F533,G517&lt;=G529,G517&lt;=G525,G517&lt;=G521,H517&lt;=H514,H517&lt;=H516,H517&lt;=H515),1,0)</x:f>
        <x:v>0</x:v>
      </x:c>
      <x:c r="Q517" s="42" t="n">
        <x:f>IF(AND(L517&lt;=L565,L517&lt;=L549,L517&lt;=L533,M517&lt;=M529,M517&lt;=M525,M517&lt;=M521,N517&lt;=N514,N517&lt;=N516,N517&lt;=N515),1,0)</x:f>
        <x:v>0</x:v>
      </x:c>
      <x:c r="R517" s="42" t="n">
        <x:v>0</x:v>
      </x:c>
      <x:c r="S517" s="42" t="n">
        <x:v>0</x:v>
      </x:c>
    </x:row>
    <x:row r="518">
      <x:c r="A518" t="n">
        <x:v>9</x:v>
      </x:c>
      <x:c r="B518" t="n">
        <x:v>3</x:v>
      </x:c>
      <x:c r="C518" t="n">
        <x:v>1</x:v>
      </x:c>
      <x:c r="D518" t="n">
        <x:v>4</x:v>
      </x:c>
      <x:c r="E518" t="str">
        <x:v>ele</x:v>
      </x:c>
      <x:c r="F518" s="45" t="n">
        <x:f>(1/2)*$B518+(1/2)*$C518</x:f>
        <x:v>2</x:v>
      </x:c>
      <x:c r="G518" s="45" t="n">
        <x:f>1*$D518</x:f>
        <x:v>4</x:v>
      </x:c>
      <x:c r="H518" s="45" t="n">
        <x:f>(1/2)*$B518+(1/2)*$C518</x:f>
        <x:v>2</x:v>
      </x:c>
      <x:c r="I518" s="45" t="n">
        <x:f>MAX((1/2)*($C518-$B518),0)</x:f>
        <x:v>0</x:v>
      </x:c>
      <x:c r="J518" s="45" t="n">
        <x:f>0</x:f>
        <x:v>0</x:v>
      </x:c>
      <x:c r="K518" s="45" t="n">
        <x:f>MAX((1/2)*($C518-$B518),0)</x:f>
        <x:v>0</x:v>
      </x:c>
      <x:c r="L518" s="45" t="n">
        <x:f>F518+I518</x:f>
        <x:v>2</x:v>
      </x:c>
      <x:c r="M518" s="45" t="n">
        <x:f>G518+J518</x:f>
        <x:v>4</x:v>
      </x:c>
      <x:c r="N518" s="45" t="n">
        <x:f>H518+K518</x:f>
        <x:v>2</x:v>
      </x:c>
      <x:c r="O518" s="45" t="n">
        <x:f>SUM(F518:H518)</x:f>
        <x:v>8</x:v>
      </x:c>
      <x:c r="P518" s="42" t="n">
        <x:f>IF(AND(F518&lt;=F566,F518&lt;=F550,F518&lt;=F534,G518&lt;=G526,G518&lt;=G514,G518&lt;=G522,H518&lt;=H521,H518&lt;=H520,H518&lt;=H519),1,0)</x:f>
        <x:v>0</x:v>
      </x:c>
      <x:c r="Q518" s="42" t="n">
        <x:f>IF(AND(L518&lt;=L566,L518&lt;=L550,L518&lt;=L534,M518&lt;=M526,M518&lt;=M514,M518&lt;=M522,N518&lt;=N521,N518&lt;=N520,N518&lt;=N519),1,0)</x:f>
        <x:v>0</x:v>
      </x:c>
      <x:c r="R518" s="42" t="n">
        <x:v>0</x:v>
      </x:c>
      <x:c r="S518" s="42" t="n">
        <x:v>0</x:v>
      </x:c>
    </x:row>
    <x:row r="519">
      <x:c r="A519" t="n">
        <x:v>9</x:v>
      </x:c>
      <x:c r="B519" t="n">
        <x:v>3</x:v>
      </x:c>
      <x:c r="C519" t="n">
        <x:v>1</x:v>
      </x:c>
      <x:c r="D519" t="n">
        <x:v>4</x:v>
      </x:c>
      <x:c r="E519" t="str">
        <x:v>ell</x:v>
      </x:c>
      <x:c r="F519" s="45" t="n">
        <x:f>1*$B519</x:f>
        <x:v>3</x:v>
      </x:c>
      <x:c r="G519" s="45" t="n">
        <x:f>(1/2)*$C519+(3/2)*$D519</x:f>
        <x:v>6.5</x:v>
      </x:c>
      <x:c r="H519" s="45" t="n">
        <x:f>(1/2)*$C519+(3/2)*$D519</x:f>
        <x:v>6.5</x:v>
      </x:c>
      <x:c r="I519" s="45" t="n">
        <x:f>0</x:f>
        <x:v>0</x:v>
      </x:c>
      <x:c r="J519" s="45" t="n">
        <x:f>(1/2)*($C519+$D519)</x:f>
        <x:v>2.5</x:v>
      </x:c>
      <x:c r="K519" s="45" t="n">
        <x:f>(1/2)*($C519+$D519)</x:f>
        <x:v>2.5</x:v>
      </x:c>
      <x:c r="L519" s="45" t="n">
        <x:f>F519+I519</x:f>
        <x:v>3</x:v>
      </x:c>
      <x:c r="M519" s="45" t="n">
        <x:f>G519+J519</x:f>
        <x:v>9</x:v>
      </x:c>
      <x:c r="N519" s="45" t="n">
        <x:f>H519+K519</x:f>
        <x:v>9</x:v>
      </x:c>
      <x:c r="O519" s="45" t="n">
        <x:f>SUM(F519:H519)</x:f>
        <x:v>16</x:v>
      </x:c>
      <x:c r="P519" s="42" t="n">
        <x:f>IF(AND(F519&lt;=F567,F519&lt;=F551,F519&lt;=F535,G519&lt;=G527,G519&lt;=G515,G519&lt;=G523,H519&lt;=H521,H519&lt;=H518,H519&lt;=H520),1,0)</x:f>
        <x:v>0</x:v>
      </x:c>
      <x:c r="Q519" s="42" t="n">
        <x:f>IF(AND(L519&lt;=L567,L519&lt;=L551,L519&lt;=L535,M519&lt;=M527,M519&lt;=M515,M519&lt;=M523,N519&lt;=N521,N519&lt;=N518,N519&lt;=N520),1,0)</x:f>
        <x:v>0</x:v>
      </x:c>
      <x:c r="R519" s="42" t="n">
        <x:v>0</x:v>
      </x:c>
      <x:c r="S519" s="42" t="n">
        <x:v>0</x:v>
      </x:c>
    </x:row>
    <x:row r="520">
      <x:c r="A520" t="n">
        <x:v>9</x:v>
      </x:c>
      <x:c r="B520" t="n">
        <x:v>3</x:v>
      </x:c>
      <x:c r="C520" t="n">
        <x:v>1</x:v>
      </x:c>
      <x:c r="D520" t="n">
        <x:v>4</x:v>
      </x:c>
      <x:c r="E520" t="str">
        <x:v>elo</x:v>
      </x:c>
      <x:c r="F520" s="45" t="n">
        <x:f>1*$B520</x:f>
        <x:v>3</x:v>
      </x:c>
      <x:c r="G520" s="45" t="n">
        <x:f>1*$D520</x:f>
        <x:v>4</x:v>
      </x:c>
      <x:c r="H520" s="45" t="n">
        <x:f>0</x:f>
        <x:v>0</x:v>
      </x:c>
      <x:c r="I520" s="45" t="n">
        <x:f>0</x:f>
        <x:v>0</x:v>
      </x:c>
      <x:c r="J520" s="45" t="n">
        <x:f>0</x:f>
        <x:v>0</x:v>
      </x:c>
      <x:c r="K520" s="45" t="n">
        <x:f>0</x:f>
        <x:v>0</x:v>
      </x:c>
      <x:c r="L520" s="45" t="n">
        <x:f>F520+I520</x:f>
        <x:v>3</x:v>
      </x:c>
      <x:c r="M520" s="45" t="n">
        <x:f>G520+J520</x:f>
        <x:v>4</x:v>
      </x:c>
      <x:c r="N520" s="45" t="n">
        <x:f>H520+K520</x:f>
        <x:v>0</x:v>
      </x:c>
      <x:c r="O520" s="45" t="n">
        <x:f>SUM(F520:H520)</x:f>
        <x:v>7</x:v>
      </x:c>
      <x:c r="P520" s="42" t="n">
        <x:f>IF(AND(F520&lt;=F568,F520&lt;=F552,F520&lt;=F536,G520&lt;=G528,G520&lt;=G516,G520&lt;=G524,H520&lt;=H521,H520&lt;=H518,H520&lt;=H519),1,0)</x:f>
        <x:v>0</x:v>
      </x:c>
      <x:c r="Q520" s="42" t="n">
        <x:f>IF(AND(L520&lt;=L568,L520&lt;=L552,L520&lt;=L536,M520&lt;=M528,M520&lt;=M516,M520&lt;=M524,N520&lt;=N521,N520&lt;=N518,N520&lt;=N519),1,0)</x:f>
        <x:v>1</x:v>
      </x:c>
      <x:c r="R520" s="42" t="n">
        <x:v>0</x:v>
      </x:c>
      <x:c r="S520" s="42" t="n">
        <x:v>1</x:v>
      </x:c>
    </x:row>
    <x:row r="521">
      <x:c r="A521" t="n">
        <x:v>9</x:v>
      </x:c>
      <x:c r="B521" t="n">
        <x:v>3</x:v>
      </x:c>
      <x:c r="C521" t="n">
        <x:v>1</x:v>
      </x:c>
      <x:c r="D521" t="n">
        <x:v>4</x:v>
      </x:c>
      <x:c r="E521" t="str">
        <x:v>elv</x:v>
      </x:c>
      <x:c r="F521" s="45" t="n">
        <x:f>1*$B521</x:f>
        <x:v>3</x:v>
      </x:c>
      <x:c r="G521" s="45" t="n">
        <x:f>1*$D521</x:f>
        <x:v>4</x:v>
      </x:c>
      <x:c r="H521" s="45" t="n">
        <x:f>2*$B521</x:f>
        <x:v>6</x:v>
      </x:c>
      <x:c r="I521" s="45" t="n">
        <x:f>0</x:f>
        <x:v>0</x:v>
      </x:c>
      <x:c r="J521" s="45" t="n">
        <x:f>0</x:f>
        <x:v>0</x:v>
      </x:c>
      <x:c r="K521" s="45" t="n">
        <x:f>0</x:f>
        <x:v>0</x:v>
      </x:c>
      <x:c r="L521" s="45" t="n">
        <x:f>F521+I521</x:f>
        <x:v>3</x:v>
      </x:c>
      <x:c r="M521" s="45" t="n">
        <x:f>G521+J521</x:f>
        <x:v>4</x:v>
      </x:c>
      <x:c r="N521" s="45" t="n">
        <x:f>H521+K521</x:f>
        <x:v>6</x:v>
      </x:c>
      <x:c r="O521" s="45" t="n">
        <x:f>SUM(F521:H521)</x:f>
        <x:v>13</x:v>
      </x:c>
      <x:c r="P521" s="42" t="n">
        <x:f>IF(AND(F521&lt;=F569,F521&lt;=F553,F521&lt;=F537,G521&lt;=G529,G521&lt;=G517,G521&lt;=G525,H521&lt;=H518,H521&lt;=H520,H521&lt;=H519),1,0)</x:f>
        <x:v>0</x:v>
      </x:c>
      <x:c r="Q521" s="42" t="n">
        <x:f>IF(AND(L521&lt;=L569,L521&lt;=L553,L521&lt;=L537,M521&lt;=M529,M521&lt;=M517,M521&lt;=M525,N521&lt;=N518,N521&lt;=N520,N521&lt;=N519),1,0)</x:f>
        <x:v>0</x:v>
      </x:c>
      <x:c r="R521" s="42" t="n">
        <x:v>0</x:v>
      </x:c>
      <x:c r="S521" s="42" t="n">
        <x:v>0</x:v>
      </x:c>
    </x:row>
    <x:row r="522">
      <x:c r="A522" t="n">
        <x:v>9</x:v>
      </x:c>
      <x:c r="B522" t="n">
        <x:v>3</x:v>
      </x:c>
      <x:c r="C522" t="n">
        <x:v>1</x:v>
      </x:c>
      <x:c r="D522" t="n">
        <x:v>4</x:v>
      </x:c>
      <x:c r="E522" t="str">
        <x:v>eoe</x:v>
      </x:c>
      <x:c r="F522" s="45" t="n">
        <x:f>(1/2)*$B522+(1/2)*$C522</x:f>
        <x:v>2</x:v>
      </x:c>
      <x:c r="G522" s="45" t="n">
        <x:f>1*$C522+1*$D522</x:f>
        <x:v>5</x:v>
      </x:c>
      <x:c r="H522" s="45" t="n">
        <x:f>(1/2)*$B522+(1/2)*$C522</x:f>
        <x:v>2</x:v>
      </x:c>
      <x:c r="I522" s="45" t="n">
        <x:f>MAX((3/2)*$C522+$D522-(1/2)*$B522,0)</x:f>
        <x:v>4</x:v>
      </x:c>
      <x:c r="J522" s="45" t="n">
        <x:f>0</x:f>
        <x:v>0</x:v>
      </x:c>
      <x:c r="K522" s="45" t="n">
        <x:f>MAX((3/2)*$C522+$D522-(1/2)*$B522,0)</x:f>
        <x:v>4</x:v>
      </x:c>
      <x:c r="L522" s="45" t="n">
        <x:f>F522+I522</x:f>
        <x:v>6</x:v>
      </x:c>
      <x:c r="M522" s="45" t="n">
        <x:f>G522+J522</x:f>
        <x:v>5</x:v>
      </x:c>
      <x:c r="N522" s="45" t="n">
        <x:f>H522+K522</x:f>
        <x:v>6</x:v>
      </x:c>
      <x:c r="O522" s="45" t="n">
        <x:f>SUM(F522:H522)</x:f>
        <x:v>9</x:v>
      </x:c>
      <x:c r="P522" s="42" t="n">
        <x:f>IF(AND(F522&lt;=F570,F522&lt;=F554,F522&lt;=F538,G522&lt;=G526,G522&lt;=G514,G522&lt;=G518,H522&lt;=H525,H522&lt;=H524,H522&lt;=H523),1,0)</x:f>
        <x:v>0</x:v>
      </x:c>
      <x:c r="Q522" s="42" t="n">
        <x:f>IF(AND(L522&lt;=L570,L522&lt;=L554,L522&lt;=L538,M522&lt;=M526,M522&lt;=M514,M522&lt;=M518,N522&lt;=N525,N522&lt;=N524,N522&lt;=N523),1,0)</x:f>
        <x:v>0</x:v>
      </x:c>
      <x:c r="R522" s="42" t="n">
        <x:v>0</x:v>
      </x:c>
      <x:c r="S522" s="42" t="n">
        <x:v>0</x:v>
      </x:c>
    </x:row>
    <x:row r="523">
      <x:c r="A523" t="n">
        <x:v>9</x:v>
      </x:c>
      <x:c r="B523" t="n">
        <x:v>3</x:v>
      </x:c>
      <x:c r="C523" t="n">
        <x:v>1</x:v>
      </x:c>
      <x:c r="D523" t="n">
        <x:v>4</x:v>
      </x:c>
      <x:c r="E523" t="str">
        <x:v>eol</x:v>
      </x:c>
      <x:c r="F523" s="45" t="n">
        <x:f>1*$B523</x:f>
        <x:v>3</x:v>
      </x:c>
      <x:c r="G523" s="45" t="n">
        <x:f>0</x:f>
        <x:v>0</x:v>
      </x:c>
      <x:c r="H523" s="45" t="n">
        <x:f>1*$D523</x:f>
        <x:v>4</x:v>
      </x:c>
      <x:c r="I523" s="45" t="n">
        <x:f>0</x:f>
        <x:v>0</x:v>
      </x:c>
      <x:c r="J523" s="45" t="n">
        <x:f>0</x:f>
        <x:v>0</x:v>
      </x:c>
      <x:c r="K523" s="45" t="n">
        <x:f>0</x:f>
        <x:v>0</x:v>
      </x:c>
      <x:c r="L523" s="45" t="n">
        <x:f>F523+I523</x:f>
        <x:v>3</x:v>
      </x:c>
      <x:c r="M523" s="45" t="n">
        <x:f>G523+J523</x:f>
        <x:v>0</x:v>
      </x:c>
      <x:c r="N523" s="45" t="n">
        <x:f>H523+K523</x:f>
        <x:v>4</x:v>
      </x:c>
      <x:c r="O523" s="45" t="n">
        <x:f>SUM(F523:H523)</x:f>
        <x:v>7</x:v>
      </x:c>
      <x:c r="P523" s="42" t="n">
        <x:f>IF(AND(F523&lt;=F571,F523&lt;=F555,F523&lt;=F539,G523&lt;=G527,G523&lt;=G515,G523&lt;=G519,H523&lt;=H525,H523&lt;=H522,H523&lt;=H524),1,0)</x:f>
        <x:v>0</x:v>
      </x:c>
      <x:c r="Q523" s="42" t="n">
        <x:f>IF(AND(L523&lt;=L571,L523&lt;=L555,L523&lt;=L539,M523&lt;=M527,M523&lt;=M515,M523&lt;=M519,N523&lt;=N525,N523&lt;=N522,N523&lt;=N524),1,0)</x:f>
        <x:v>1</x:v>
      </x:c>
      <x:c r="R523" s="42" t="n">
        <x:v>0</x:v>
      </x:c>
      <x:c r="S523" s="42" t="n">
        <x:v>1</x:v>
      </x:c>
    </x:row>
    <x:row r="524">
      <x:c r="A524" t="n">
        <x:v>9</x:v>
      </x:c>
      <x:c r="B524" t="n">
        <x:v>3</x:v>
      </x:c>
      <x:c r="C524" t="n">
        <x:v>1</x:v>
      </x:c>
      <x:c r="D524" t="n">
        <x:v>4</x:v>
      </x:c>
      <x:c r="E524" t="str">
        <x:v>eoo</x:v>
      </x:c>
      <x:c r="F524" s="45" t="n">
        <x:f>1*$B524</x:f>
        <x:v>3</x:v>
      </x:c>
      <x:c r="G524" s="45" t="n">
        <x:f>(1/2)*$C524+(1/2)*$D524</x:f>
        <x:v>2.5</x:v>
      </x:c>
      <x:c r="H524" s="45" t="n">
        <x:f>(1/2)*$C524+(1/2)*$D524</x:f>
        <x:v>2.5</x:v>
      </x:c>
      <x:c r="I524" s="45" t="n">
        <x:f>0</x:f>
        <x:v>0</x:v>
      </x:c>
      <x:c r="J524" s="45" t="n">
        <x:f>(1/2)*($C524+$D524)</x:f>
        <x:v>2.5</x:v>
      </x:c>
      <x:c r="K524" s="45" t="n">
        <x:f>(1/2)*($C524+$D524)</x:f>
        <x:v>2.5</x:v>
      </x:c>
      <x:c r="L524" s="45" t="n">
        <x:f>F524+I524</x:f>
        <x:v>3</x:v>
      </x:c>
      <x:c r="M524" s="45" t="n">
        <x:f>G524+J524</x:f>
        <x:v>5</x:v>
      </x:c>
      <x:c r="N524" s="45" t="n">
        <x:f>H524+K524</x:f>
        <x:v>5</x:v>
      </x:c>
      <x:c r="O524" s="45" t="n">
        <x:f>SUM(F524:H524)</x:f>
        <x:v>8</x:v>
      </x:c>
      <x:c r="P524" s="42" t="n">
        <x:f>IF(AND(F524&lt;=F572,F524&lt;=F556,F524&lt;=F540,G524&lt;=G528,G524&lt;=G516,G524&lt;=G520,H524&lt;=H525,H524&lt;=H522,H524&lt;=H523),1,0)</x:f>
        <x:v>0</x:v>
      </x:c>
      <x:c r="Q524" s="42" t="n">
        <x:f>IF(AND(L524&lt;=L572,L524&lt;=L556,L524&lt;=L540,M524&lt;=M528,M524&lt;=M516,M524&lt;=M520,N524&lt;=N525,N524&lt;=N522,N524&lt;=N523),1,0)</x:f>
        <x:v>0</x:v>
      </x:c>
      <x:c r="R524" s="42" t="n">
        <x:v>0</x:v>
      </x:c>
      <x:c r="S524" s="42" t="n">
        <x:v>0</x:v>
      </x:c>
    </x:row>
    <x:row r="525">
      <x:c r="A525" t="n">
        <x:v>9</x:v>
      </x:c>
      <x:c r="B525" t="n">
        <x:v>3</x:v>
      </x:c>
      <x:c r="C525" t="n">
        <x:v>1</x:v>
      </x:c>
      <x:c r="D525" t="n">
        <x:v>4</x:v>
      </x:c>
      <x:c r="E525" t="str">
        <x:v>eov</x:v>
      </x:c>
      <x:c r="F525" s="45" t="n">
        <x:f>1*$B525</x:f>
        <x:v>3</x:v>
      </x:c>
      <x:c r="G525" s="45" t="n">
        <x:f>0</x:f>
        <x:v>0</x:v>
      </x:c>
      <x:c r="H525" s="45" t="n">
        <x:f>2*$B525</x:f>
        <x:v>6</x:v>
      </x:c>
      <x:c r="I525" s="45" t="n">
        <x:f>0</x:f>
        <x:v>0</x:v>
      </x:c>
      <x:c r="J525" s="45" t="n">
        <x:f>0</x:f>
        <x:v>0</x:v>
      </x:c>
      <x:c r="K525" s="45" t="n">
        <x:f>0</x:f>
        <x:v>0</x:v>
      </x:c>
      <x:c r="L525" s="45" t="n">
        <x:f>F525+I525</x:f>
        <x:v>3</x:v>
      </x:c>
      <x:c r="M525" s="45" t="n">
        <x:f>G525+J525</x:f>
        <x:v>0</x:v>
      </x:c>
      <x:c r="N525" s="45" t="n">
        <x:f>H525+K525</x:f>
        <x:v>6</x:v>
      </x:c>
      <x:c r="O525" s="45" t="n">
        <x:f>SUM(F525:H525)</x:f>
        <x:v>9</x:v>
      </x:c>
      <x:c r="P525" s="42" t="n">
        <x:f>IF(AND(F525&lt;=F573,F525&lt;=F557,F525&lt;=F541,G525&lt;=G529,G525&lt;=G517,G525&lt;=G521,H525&lt;=H522,H525&lt;=H524,H525&lt;=H523),1,0)</x:f>
        <x:v>0</x:v>
      </x:c>
      <x:c r="Q525" s="42" t="n">
        <x:f>IF(AND(L525&lt;=L573,L525&lt;=L557,L525&lt;=L541,M525&lt;=M529,M525&lt;=M517,M525&lt;=M521,N525&lt;=N522,N525&lt;=N524,N525&lt;=N523),1,0)</x:f>
        <x:v>0</x:v>
      </x:c>
      <x:c r="R525" s="42" t="n">
        <x:v>0</x:v>
      </x:c>
      <x:c r="S525" s="42" t="n">
        <x:v>0</x:v>
      </x:c>
    </x:row>
    <x:row r="526">
      <x:c r="A526" t="n">
        <x:v>9</x:v>
      </x:c>
      <x:c r="B526" t="n">
        <x:v>3</x:v>
      </x:c>
      <x:c r="C526" t="n">
        <x:v>1</x:v>
      </x:c>
      <x:c r="D526" t="n">
        <x:v>4</x:v>
      </x:c>
      <x:c r="E526" t="str">
        <x:v>eve</x:v>
      </x:c>
      <x:c r="F526" s="45" t="n">
        <x:f>(1/2)*$B526+(1/2)*$C526</x:f>
        <x:v>2</x:v>
      </x:c>
      <x:c r="G526" s="45" t="n">
        <x:f>2*$B526</x:f>
        <x:v>6</x:v>
      </x:c>
      <x:c r="H526" s="45" t="n">
        <x:f>(1/2)*$B526+(1/2)*$C526</x:f>
        <x:v>2</x:v>
      </x:c>
      <x:c r="I526" s="45" t="n">
        <x:f>MAX((1/2)*($C526-$B526),0)</x:f>
        <x:v>0</x:v>
      </x:c>
      <x:c r="J526" s="45" t="n">
        <x:f>0</x:f>
        <x:v>0</x:v>
      </x:c>
      <x:c r="K526" s="45" t="n">
        <x:f>MAX((1/2)*($C526-$B526),0)</x:f>
        <x:v>0</x:v>
      </x:c>
      <x:c r="L526" s="45" t="n">
        <x:f>F526+I526</x:f>
        <x:v>2</x:v>
      </x:c>
      <x:c r="M526" s="45" t="n">
        <x:f>G526+J526</x:f>
        <x:v>6</x:v>
      </x:c>
      <x:c r="N526" s="45" t="n">
        <x:f>H526+K526</x:f>
        <x:v>2</x:v>
      </x:c>
      <x:c r="O526" s="45" t="n">
        <x:f>SUM(F526:H526)</x:f>
        <x:v>10</x:v>
      </x:c>
      <x:c r="P526" s="42" t="n">
        <x:f>IF(AND(F526&lt;=F574,F526&lt;=F558,F526&lt;=F542,G526&lt;=G514,G526&lt;=G522,G526&lt;=G518,H526&lt;=H529,H526&lt;=H528,H526&lt;=H527),1,0)</x:f>
        <x:v>0</x:v>
      </x:c>
      <x:c r="Q526" s="42" t="n">
        <x:f>IF(AND(L526&lt;=L574,L526&lt;=L558,L526&lt;=L542,M526&lt;=M514,M526&lt;=M522,M526&lt;=M518,N526&lt;=N529,N526&lt;=N528,N526&lt;=N527),1,0)</x:f>
        <x:v>0</x:v>
      </x:c>
      <x:c r="R526" s="42" t="n">
        <x:v>0</x:v>
      </x:c>
      <x:c r="S526" s="42" t="n">
        <x:v>0</x:v>
      </x:c>
    </x:row>
    <x:row r="527">
      <x:c r="A527" t="n">
        <x:v>9</x:v>
      </x:c>
      <x:c r="B527" t="n">
        <x:v>3</x:v>
      </x:c>
      <x:c r="C527" t="n">
        <x:v>1</x:v>
      </x:c>
      <x:c r="D527" t="n">
        <x:v>4</x:v>
      </x:c>
      <x:c r="E527" t="str">
        <x:v>evl</x:v>
      </x:c>
      <x:c r="F527" s="45" t="n">
        <x:f>1*$B527</x:f>
        <x:v>3</x:v>
      </x:c>
      <x:c r="G527" s="45" t="n">
        <x:f>2*$B527</x:f>
        <x:v>6</x:v>
      </x:c>
      <x:c r="H527" s="45" t="n">
        <x:f>1*$D527</x:f>
        <x:v>4</x:v>
      </x:c>
      <x:c r="I527" s="45" t="n">
        <x:f>0</x:f>
        <x:v>0</x:v>
      </x:c>
      <x:c r="J527" s="45" t="n">
        <x:f>0</x:f>
        <x:v>0</x:v>
      </x:c>
      <x:c r="K527" s="45" t="n">
        <x:f>0</x:f>
        <x:v>0</x:v>
      </x:c>
      <x:c r="L527" s="45" t="n">
        <x:f>F527+I527</x:f>
        <x:v>3</x:v>
      </x:c>
      <x:c r="M527" s="45" t="n">
        <x:f>G527+J527</x:f>
        <x:v>6</x:v>
      </x:c>
      <x:c r="N527" s="45" t="n">
        <x:f>H527+K527</x:f>
        <x:v>4</x:v>
      </x:c>
      <x:c r="O527" s="45" t="n">
        <x:f>SUM(F527:H527)</x:f>
        <x:v>13</x:v>
      </x:c>
      <x:c r="P527" s="42" t="n">
        <x:f>IF(AND(F527&lt;=F575,F527&lt;=F559,F527&lt;=F543,G527&lt;=G515,G527&lt;=G523,G527&lt;=G519,H527&lt;=H529,H527&lt;=H526,H527&lt;=H528),1,0)</x:f>
        <x:v>0</x:v>
      </x:c>
      <x:c r="Q527" s="42" t="n">
        <x:f>IF(AND(L527&lt;=L575,L527&lt;=L559,L527&lt;=L543,M527&lt;=M515,M527&lt;=M523,M527&lt;=M519,N527&lt;=N529,N527&lt;=N526,N527&lt;=N528),1,0)</x:f>
        <x:v>0</x:v>
      </x:c>
      <x:c r="R527" s="42" t="n">
        <x:v>0</x:v>
      </x:c>
      <x:c r="S527" s="42" t="n">
        <x:v>0</x:v>
      </x:c>
    </x:row>
    <x:row r="528">
      <x:c r="A528" t="n">
        <x:v>9</x:v>
      </x:c>
      <x:c r="B528" t="n">
        <x:v>3</x:v>
      </x:c>
      <x:c r="C528" t="n">
        <x:v>1</x:v>
      </x:c>
      <x:c r="D528" t="n">
        <x:v>4</x:v>
      </x:c>
      <x:c r="E528" t="str">
        <x:v>evo</x:v>
      </x:c>
      <x:c r="F528" s="45" t="n">
        <x:f>1*$B528</x:f>
        <x:v>3</x:v>
      </x:c>
      <x:c r="G528" s="45" t="n">
        <x:f>2*$B528</x:f>
        <x:v>6</x:v>
      </x:c>
      <x:c r="H528" s="45" t="n">
        <x:f>0</x:f>
        <x:v>0</x:v>
      </x:c>
      <x:c r="I528" s="45" t="n">
        <x:f>0</x:f>
        <x:v>0</x:v>
      </x:c>
      <x:c r="J528" s="45" t="n">
        <x:f>0</x:f>
        <x:v>0</x:v>
      </x:c>
      <x:c r="K528" s="45" t="n">
        <x:f>0</x:f>
        <x:v>0</x:v>
      </x:c>
      <x:c r="L528" s="45" t="n">
        <x:f>F528+I528</x:f>
        <x:v>3</x:v>
      </x:c>
      <x:c r="M528" s="45" t="n">
        <x:f>G528+J528</x:f>
        <x:v>6</x:v>
      </x:c>
      <x:c r="N528" s="45" t="n">
        <x:f>H528+K528</x:f>
        <x:v>0</x:v>
      </x:c>
      <x:c r="O528" s="45" t="n">
        <x:f>SUM(F528:H528)</x:f>
        <x:v>9</x:v>
      </x:c>
      <x:c r="P528" s="42" t="n">
        <x:f>IF(AND(F528&lt;=F576,F528&lt;=F560,F528&lt;=F544,G528&lt;=G516,G528&lt;=G524,G528&lt;=G520,H528&lt;=H529,H528&lt;=H526,H528&lt;=H527),1,0)</x:f>
        <x:v>0</x:v>
      </x:c>
      <x:c r="Q528" s="42" t="n">
        <x:f>IF(AND(L528&lt;=L576,L528&lt;=L560,L528&lt;=L544,M528&lt;=M516,M528&lt;=M524,M528&lt;=M520,N528&lt;=N529,N528&lt;=N526,N528&lt;=N527),1,0)</x:f>
        <x:v>0</x:v>
      </x:c>
      <x:c r="R528" s="42" t="n">
        <x:v>0</x:v>
      </x:c>
      <x:c r="S528" s="42" t="n">
        <x:v>0</x:v>
      </x:c>
    </x:row>
    <x:row r="529">
      <x:c r="A529" t="n">
        <x:v>9</x:v>
      </x:c>
      <x:c r="B529" t="n">
        <x:v>3</x:v>
      </x:c>
      <x:c r="C529" t="n">
        <x:v>1</x:v>
      </x:c>
      <x:c r="D529" t="n">
        <x:v>4</x:v>
      </x:c>
      <x:c r="E529" t="str">
        <x:v>evv</x:v>
      </x:c>
      <x:c r="F529" s="45" t="n">
        <x:f>1*$C529</x:f>
        <x:v>1</x:v>
      </x:c>
      <x:c r="G529" s="45" t="n">
        <x:f>(3/2)*$B529+(1/2)*$C529</x:f>
        <x:v>5</x:v>
      </x:c>
      <x:c r="H529" s="45" t="n">
        <x:f>(3/2)*$B529+(1/2)*$C529</x:f>
        <x:v>5</x:v>
      </x:c>
      <x:c r="I529" s="45" t="n">
        <x:f>0</x:f>
        <x:v>0</x:v>
      </x:c>
      <x:c r="J529" s="45" t="n">
        <x:f>MAX((3/2)*($C529-$B529),0)</x:f>
        <x:v>0</x:v>
      </x:c>
      <x:c r="K529" s="45" t="n">
        <x:f>MAX((3/2)*($C529-$B529),0)</x:f>
        <x:v>0</x:v>
      </x:c>
      <x:c r="L529" s="45" t="n">
        <x:f>F529+I529</x:f>
        <x:v>1</x:v>
      </x:c>
      <x:c r="M529" s="45" t="n">
        <x:f>G529+J529</x:f>
        <x:v>5</x:v>
      </x:c>
      <x:c r="N529" s="45" t="n">
        <x:f>H529+K529</x:f>
        <x:v>5</x:v>
      </x:c>
      <x:c r="O529" s="45" t="n">
        <x:f>SUM(F529:H529)</x:f>
        <x:v>11</x:v>
      </x:c>
      <x:c r="P529" s="42" t="n">
        <x:f>IF(AND(F529&lt;=F577,F529&lt;=F561,F529&lt;=F545,G529&lt;=G517,G529&lt;=G525,G529&lt;=G521,H529&lt;=H526,H529&lt;=H528,H529&lt;=H527),1,0)</x:f>
        <x:v>0</x:v>
      </x:c>
      <x:c r="Q529" s="42" t="n">
        <x:f>IF(AND(L529&lt;=L577,L529&lt;=L561,L529&lt;=L545,M529&lt;=M517,M529&lt;=M525,M529&lt;=M521,N529&lt;=N526,N529&lt;=N528,N529&lt;=N527),1,0)</x:f>
        <x:v>0</x:v>
      </x:c>
      <x:c r="R529" s="42" t="n">
        <x:v>0</x:v>
      </x:c>
      <x:c r="S529" s="42" t="n">
        <x:v>0</x:v>
      </x:c>
    </x:row>
    <x:row r="530">
      <x:c r="A530" t="n">
        <x:v>9</x:v>
      </x:c>
      <x:c r="B530" t="n">
        <x:v>3</x:v>
      </x:c>
      <x:c r="C530" t="n">
        <x:v>1</x:v>
      </x:c>
      <x:c r="D530" t="n">
        <x:v>4</x:v>
      </x:c>
      <x:c r="E530" t="str">
        <x:v>lee</x:v>
      </x:c>
      <x:c r="F530" s="45" t="n">
        <x:f>1*$D530</x:f>
        <x:v>4</x:v>
      </x:c>
      <x:c r="G530" s="45" t="n">
        <x:f>(1/2)*$B530+(1/2)*$C530</x:f>
        <x:v>2</x:v>
      </x:c>
      <x:c r="H530" s="45" t="n">
        <x:f>(1/2)*$B530+(1/2)*$C530</x:f>
        <x:v>2</x:v>
      </x:c>
      <x:c r="I530" s="45" t="n">
        <x:f>0</x:f>
        <x:v>0</x:v>
      </x:c>
      <x:c r="J530" s="45" t="n">
        <x:f>MAX((1/2)*($C530-$B530),0)</x:f>
        <x:v>0</x:v>
      </x:c>
      <x:c r="K530" s="45" t="n">
        <x:f>MAX((1/2)*($C530-$B530),0)</x:f>
        <x:v>0</x:v>
      </x:c>
      <x:c r="L530" s="45" t="n">
        <x:f>F530+I530</x:f>
        <x:v>4</x:v>
      </x:c>
      <x:c r="M530" s="45" t="n">
        <x:f>G530+J530</x:f>
        <x:v>2</x:v>
      </x:c>
      <x:c r="N530" s="45" t="n">
        <x:f>H530+K530</x:f>
        <x:v>2</x:v>
      </x:c>
      <x:c r="O530" s="45" t="n">
        <x:f>SUM(F530:H530)</x:f>
        <x:v>8</x:v>
      </x:c>
      <x:c r="P530" s="42" t="n">
        <x:f>IF(AND(F530&lt;=F562,F530&lt;=F514,F530&lt;=F546,G530&lt;=G542,G530&lt;=G538,G530&lt;=G534,H530&lt;=H533,H530&lt;=H532,H530&lt;=H531),1,0)</x:f>
        <x:v>0</x:v>
      </x:c>
      <x:c r="Q530" s="42" t="n">
        <x:f>IF(AND(L530&lt;=L562,L530&lt;=L514,L530&lt;=L546,M530&lt;=M542,M530&lt;=M538,M530&lt;=M534,N530&lt;=N533,N530&lt;=N532,N530&lt;=N531),1,0)</x:f>
        <x:v>0</x:v>
      </x:c>
      <x:c r="R530" s="42" t="n">
        <x:v>0</x:v>
      </x:c>
      <x:c r="S530" s="42" t="n">
        <x:v>0</x:v>
      </x:c>
    </x:row>
    <x:row r="531">
      <x:c r="A531" t="n">
        <x:v>9</x:v>
      </x:c>
      <x:c r="B531" t="n">
        <x:v>3</x:v>
      </x:c>
      <x:c r="C531" t="n">
        <x:v>1</x:v>
      </x:c>
      <x:c r="D531" t="n">
        <x:v>4</x:v>
      </x:c>
      <x:c r="E531" t="str">
        <x:v>lel</x:v>
      </x:c>
      <x:c r="F531" s="45" t="n">
        <x:f>(1/2)*$C531+(3/2)*$D531</x:f>
        <x:v>6.5</x:v>
      </x:c>
      <x:c r="G531" s="45" t="n">
        <x:f>1*$B531</x:f>
        <x:v>3</x:v>
      </x:c>
      <x:c r="H531" s="45" t="n">
        <x:f>(1/2)*$C531+(3/2)*$D531</x:f>
        <x:v>6.5</x:v>
      </x:c>
      <x:c r="I531" s="45" t="n">
        <x:f>(1/2)*($C531+$D531)</x:f>
        <x:v>2.5</x:v>
      </x:c>
      <x:c r="J531" s="45" t="n">
        <x:f>0</x:f>
        <x:v>0</x:v>
      </x:c>
      <x:c r="K531" s="45" t="n">
        <x:f>(1/2)*($C531+$D531)</x:f>
        <x:v>2.5</x:v>
      </x:c>
      <x:c r="L531" s="45" t="n">
        <x:f>F531+I531</x:f>
        <x:v>9</x:v>
      </x:c>
      <x:c r="M531" s="45" t="n">
        <x:f>G531+J531</x:f>
        <x:v>3</x:v>
      </x:c>
      <x:c r="N531" s="45" t="n">
        <x:f>H531+K531</x:f>
        <x:v>9</x:v>
      </x:c>
      <x:c r="O531" s="45" t="n">
        <x:f>SUM(F531:H531)</x:f>
        <x:v>16</x:v>
      </x:c>
      <x:c r="P531" s="42" t="n">
        <x:f>IF(AND(F531&lt;=F563,F531&lt;=F515,F531&lt;=F547,G531&lt;=G543,G531&lt;=G539,G531&lt;=G535,H531&lt;=H533,H531&lt;=H530,H531&lt;=H532),1,0)</x:f>
        <x:v>0</x:v>
      </x:c>
      <x:c r="Q531" s="42" t="n">
        <x:f>IF(AND(L531&lt;=L563,L531&lt;=L515,L531&lt;=L547,M531&lt;=M543,M531&lt;=M539,M531&lt;=M535,N531&lt;=N533,N531&lt;=N530,N531&lt;=N532),1,0)</x:f>
        <x:v>0</x:v>
      </x:c>
      <x:c r="R531" s="42" t="n">
        <x:v>0</x:v>
      </x:c>
      <x:c r="S531" s="42" t="n">
        <x:v>0</x:v>
      </x:c>
    </x:row>
    <x:row r="532">
      <x:c r="A532" t="n">
        <x:v>9</x:v>
      </x:c>
      <x:c r="B532" t="n">
        <x:v>3</x:v>
      </x:c>
      <x:c r="C532" t="n">
        <x:v>1</x:v>
      </x:c>
      <x:c r="D532" t="n">
        <x:v>4</x:v>
      </x:c>
      <x:c r="E532" t="str">
        <x:v>leo</x:v>
      </x:c>
      <x:c r="F532" s="45" t="n">
        <x:f>1*$D532</x:f>
        <x:v>4</x:v>
      </x:c>
      <x:c r="G532" s="45" t="n">
        <x:f>1*$B532</x:f>
        <x:v>3</x:v>
      </x:c>
      <x:c r="H532" s="45" t="n">
        <x:f>0</x:f>
        <x:v>0</x:v>
      </x:c>
      <x:c r="I532" s="45" t="n">
        <x:f>0</x:f>
        <x:v>0</x:v>
      </x:c>
      <x:c r="J532" s="45" t="n">
        <x:f>0</x:f>
        <x:v>0</x:v>
      </x:c>
      <x:c r="K532" s="45" t="n">
        <x:f>0</x:f>
        <x:v>0</x:v>
      </x:c>
      <x:c r="L532" s="45" t="n">
        <x:f>F532+I532</x:f>
        <x:v>4</x:v>
      </x:c>
      <x:c r="M532" s="45" t="n">
        <x:f>G532+J532</x:f>
        <x:v>3</x:v>
      </x:c>
      <x:c r="N532" s="45" t="n">
        <x:f>H532+K532</x:f>
        <x:v>0</x:v>
      </x:c>
      <x:c r="O532" s="45" t="n">
        <x:f>SUM(F532:H532)</x:f>
        <x:v>7</x:v>
      </x:c>
      <x:c r="P532" s="42" t="n">
        <x:f>IF(AND(F532&lt;=F564,F532&lt;=F516,F532&lt;=F548,G532&lt;=G544,G532&lt;=G540,G532&lt;=G536,H532&lt;=H533,H532&lt;=H530,H532&lt;=H531),1,0)</x:f>
        <x:v>0</x:v>
      </x:c>
      <x:c r="Q532" s="42" t="n">
        <x:f>IF(AND(L532&lt;=L564,L532&lt;=L516,L532&lt;=L548,M532&lt;=M544,M532&lt;=M540,M532&lt;=M536,N532&lt;=N533,N532&lt;=N530,N532&lt;=N531),1,0)</x:f>
        <x:v>1</x:v>
      </x:c>
      <x:c r="R532" s="42" t="n">
        <x:v>0</x:v>
      </x:c>
      <x:c r="S532" s="42" t="n">
        <x:v>1</x:v>
      </x:c>
    </x:row>
    <x:row r="533">
      <x:c r="A533" t="n">
        <x:v>9</x:v>
      </x:c>
      <x:c r="B533" t="n">
        <x:v>3</x:v>
      </x:c>
      <x:c r="C533" t="n">
        <x:v>1</x:v>
      </x:c>
      <x:c r="D533" t="n">
        <x:v>4</x:v>
      </x:c>
      <x:c r="E533" t="str">
        <x:v>lev</x:v>
      </x:c>
      <x:c r="F533" s="45" t="n">
        <x:f>1*$D533</x:f>
        <x:v>4</x:v>
      </x:c>
      <x:c r="G533" s="45" t="n">
        <x:f>1*$B533</x:f>
        <x:v>3</x:v>
      </x:c>
      <x:c r="H533" s="45" t="n">
        <x:f>2*$B533</x:f>
        <x:v>6</x:v>
      </x:c>
      <x:c r="I533" s="45" t="n">
        <x:f>0</x:f>
        <x:v>0</x:v>
      </x:c>
      <x:c r="J533" s="45" t="n">
        <x:f>0</x:f>
        <x:v>0</x:v>
      </x:c>
      <x:c r="K533" s="45" t="n">
        <x:f>0</x:f>
        <x:v>0</x:v>
      </x:c>
      <x:c r="L533" s="45" t="n">
        <x:f>F533+I533</x:f>
        <x:v>4</x:v>
      </x:c>
      <x:c r="M533" s="45" t="n">
        <x:f>G533+J533</x:f>
        <x:v>3</x:v>
      </x:c>
      <x:c r="N533" s="45" t="n">
        <x:f>H533+K533</x:f>
        <x:v>6</x:v>
      </x:c>
      <x:c r="O533" s="45" t="n">
        <x:f>SUM(F533:H533)</x:f>
        <x:v>13</x:v>
      </x:c>
      <x:c r="P533" s="42" t="n">
        <x:f>IF(AND(F533&lt;=F565,F533&lt;=F517,F533&lt;=F549,G533&lt;=G545,G533&lt;=G541,G533&lt;=G537,H533&lt;=H530,H533&lt;=H532,H533&lt;=H531),1,0)</x:f>
        <x:v>0</x:v>
      </x:c>
      <x:c r="Q533" s="42" t="n">
        <x:f>IF(AND(L533&lt;=L565,L533&lt;=L517,L533&lt;=L549,M533&lt;=M545,M533&lt;=M541,M533&lt;=M537,N533&lt;=N530,N533&lt;=N532,N533&lt;=N531),1,0)</x:f>
        <x:v>0</x:v>
      </x:c>
      <x:c r="R533" s="42" t="n">
        <x:v>0</x:v>
      </x:c>
      <x:c r="S533" s="42" t="n">
        <x:v>0</x:v>
      </x:c>
    </x:row>
    <x:row r="534">
      <x:c r="A534" t="n">
        <x:v>9</x:v>
      </x:c>
      <x:c r="B534" t="n">
        <x:v>3</x:v>
      </x:c>
      <x:c r="C534" t="n">
        <x:v>1</x:v>
      </x:c>
      <x:c r="D534" t="n">
        <x:v>4</x:v>
      </x:c>
      <x:c r="E534" t="str">
        <x:v>lle</x:v>
      </x:c>
      <x:c r="F534" s="45" t="n">
        <x:f>(1/2)*$C534+(3/2)*$D534</x:f>
        <x:v>6.5</x:v>
      </x:c>
      <x:c r="G534" s="45" t="n">
        <x:f>(1/2)*$C534+(3/2)*$D534</x:f>
        <x:v>6.5</x:v>
      </x:c>
      <x:c r="H534" s="45" t="n">
        <x:f>1*$B534</x:f>
        <x:v>3</x:v>
      </x:c>
      <x:c r="I534" s="45" t="n">
        <x:f>(1/2)*($C534+$D534)</x:f>
        <x:v>2.5</x:v>
      </x:c>
      <x:c r="J534" s="45" t="n">
        <x:f>(1/2)*($C534+$D534)</x:f>
        <x:v>2.5</x:v>
      </x:c>
      <x:c r="K534" s="45" t="n">
        <x:f>0</x:f>
        <x:v>0</x:v>
      </x:c>
      <x:c r="L534" s="45" t="n">
        <x:f>F534+I534</x:f>
        <x:v>9</x:v>
      </x:c>
      <x:c r="M534" s="45" t="n">
        <x:f>G534+J534</x:f>
        <x:v>9</x:v>
      </x:c>
      <x:c r="N534" s="45" t="n">
        <x:f>H534+K534</x:f>
        <x:v>3</x:v>
      </x:c>
      <x:c r="O534" s="45" t="n">
        <x:f>SUM(F534:H534)</x:f>
        <x:v>16</x:v>
      </x:c>
      <x:c r="P534" s="42" t="n">
        <x:f>IF(AND(F534&lt;=F566,F534&lt;=F518,F534&lt;=F550,G534&lt;=G542,G534&lt;=G530,G534&lt;=G538,H534&lt;=H537,H534&lt;=H536,H534&lt;=H535),1,0)</x:f>
        <x:v>0</x:v>
      </x:c>
      <x:c r="Q534" s="42" t="n">
        <x:f>IF(AND(L534&lt;=L566,L534&lt;=L518,L534&lt;=L550,M534&lt;=M542,M534&lt;=M530,M534&lt;=M538,N534&lt;=N537,N534&lt;=N536,N534&lt;=N535),1,0)</x:f>
        <x:v>0</x:v>
      </x:c>
      <x:c r="R534" s="42" t="n">
        <x:v>0</x:v>
      </x:c>
      <x:c r="S534" s="42" t="n">
        <x:v>0</x:v>
      </x:c>
    </x:row>
    <x:row r="535">
      <x:c r="A535" t="n">
        <x:v>9</x:v>
      </x:c>
      <x:c r="B535" t="n">
        <x:v>3</x:v>
      </x:c>
      <x:c r="C535" t="n">
        <x:v>1</x:v>
      </x:c>
      <x:c r="D535" t="n">
        <x:v>4</x:v>
      </x:c>
      <x:c r="E535" t="str">
        <x:v>lll</x:v>
      </x:c>
      <x:c r="F535" s="45" t="n">
        <x:f>1*$C535+2*$D535</x:f>
        <x:v>9</x:v>
      </x:c>
      <x:c r="G535" s="45" t="n">
        <x:f>1*$C535+2*$D535</x:f>
        <x:v>9</x:v>
      </x:c>
      <x:c r="H535" s="45" t="n">
        <x:f>1*$C535+2*$D535</x:f>
        <x:v>9</x:v>
      </x:c>
      <x:c r="I535" s="45" t="n">
        <x:f>$C535+$D535</x:f>
        <x:v>5</x:v>
      </x:c>
      <x:c r="J535" s="45" t="n">
        <x:f>$C535+$D535</x:f>
        <x:v>5</x:v>
      </x:c>
      <x:c r="K535" s="45" t="n">
        <x:f>$C535+$D535</x:f>
        <x:v>5</x:v>
      </x:c>
      <x:c r="L535" s="45" t="n">
        <x:f>F535+I535</x:f>
        <x:v>14</x:v>
      </x:c>
      <x:c r="M535" s="45" t="n">
        <x:f>G535+J535</x:f>
        <x:v>14</x:v>
      </x:c>
      <x:c r="N535" s="45" t="n">
        <x:f>H535+K535</x:f>
        <x:v>14</x:v>
      </x:c>
      <x:c r="O535" s="45" t="n">
        <x:f>SUM(F535:H535)</x:f>
        <x:v>27</x:v>
      </x:c>
      <x:c r="P535" s="42" t="n">
        <x:f>IF(AND(F535&lt;=F567,F535&lt;=F519,F535&lt;=F551,G535&lt;=G543,G535&lt;=G531,G535&lt;=G539,H535&lt;=H537,H535&lt;=H534,H535&lt;=H536),1,0)</x:f>
        <x:v>0</x:v>
      </x:c>
      <x:c r="Q535" s="42" t="n">
        <x:f>IF(AND(L535&lt;=L567,L535&lt;=L519,L535&lt;=L551,M535&lt;=M543,M535&lt;=M531,M535&lt;=M539,N535&lt;=N537,N535&lt;=N534,N535&lt;=N536),1,0)</x:f>
        <x:v>0</x:v>
      </x:c>
      <x:c r="R535" s="42" t="n">
        <x:v>0</x:v>
      </x:c>
      <x:c r="S535" s="42" t="n">
        <x:v>0</x:v>
      </x:c>
    </x:row>
    <x:row r="536">
      <x:c r="A536" t="n">
        <x:v>9</x:v>
      </x:c>
      <x:c r="B536" t="n">
        <x:v>3</x:v>
      </x:c>
      <x:c r="C536" t="n">
        <x:v>1</x:v>
      </x:c>
      <x:c r="D536" t="n">
        <x:v>4</x:v>
      </x:c>
      <x:c r="E536" t="str">
        <x:v>llo</x:v>
      </x:c>
      <x:c r="F536" s="45" t="n">
        <x:f>(1/2)*$C536+(3/2)*$D536</x:f>
        <x:v>6.5</x:v>
      </x:c>
      <x:c r="G536" s="45" t="n">
        <x:f>(1/2)*$C536+(3/2)*$D536</x:f>
        <x:v>6.5</x:v>
      </x:c>
      <x:c r="H536" s="45" t="n">
        <x:f>0</x:f>
        <x:v>0</x:v>
      </x:c>
      <x:c r="I536" s="45" t="n">
        <x:f>(1/2)*($C536+$D536)</x:f>
        <x:v>2.5</x:v>
      </x:c>
      <x:c r="J536" s="45" t="n">
        <x:f>(1/2)*($C536+$D536)</x:f>
        <x:v>2.5</x:v>
      </x:c>
      <x:c r="K536" s="45" t="n">
        <x:f>0</x:f>
        <x:v>0</x:v>
      </x:c>
      <x:c r="L536" s="45" t="n">
        <x:f>F536+I536</x:f>
        <x:v>9</x:v>
      </x:c>
      <x:c r="M536" s="45" t="n">
        <x:f>G536+J536</x:f>
        <x:v>9</x:v>
      </x:c>
      <x:c r="N536" s="45" t="n">
        <x:f>H536+K536</x:f>
        <x:v>0</x:v>
      </x:c>
      <x:c r="O536" s="45" t="n">
        <x:f>SUM(F536:H536)</x:f>
        <x:v>13</x:v>
      </x:c>
      <x:c r="P536" s="42" t="n">
        <x:f>IF(AND(F536&lt;=F568,F536&lt;=F520,F536&lt;=F552,G536&lt;=G544,G536&lt;=G532,G536&lt;=G540,H536&lt;=H537,H536&lt;=H534,H536&lt;=H535),1,0)</x:f>
        <x:v>0</x:v>
      </x:c>
      <x:c r="Q536" s="42" t="n">
        <x:f>IF(AND(L536&lt;=L568,L536&lt;=L520,L536&lt;=L552,M536&lt;=M544,M536&lt;=M532,M536&lt;=M540,N536&lt;=N537,N536&lt;=N534,N536&lt;=N535),1,0)</x:f>
        <x:v>0</x:v>
      </x:c>
      <x:c r="R536" s="42" t="n">
        <x:v>0</x:v>
      </x:c>
      <x:c r="S536" s="42" t="n">
        <x:v>0</x:v>
      </x:c>
    </x:row>
    <x:row r="537">
      <x:c r="A537" t="n">
        <x:v>9</x:v>
      </x:c>
      <x:c r="B537" t="n">
        <x:v>3</x:v>
      </x:c>
      <x:c r="C537" t="n">
        <x:v>1</x:v>
      </x:c>
      <x:c r="D537" t="n">
        <x:v>4</x:v>
      </x:c>
      <x:c r="E537" t="str">
        <x:v>llv</x:v>
      </x:c>
      <x:c r="F537" s="45" t="n">
        <x:f>(1/2)*$C537+(3/2)*$D537</x:f>
        <x:v>6.5</x:v>
      </x:c>
      <x:c r="G537" s="45" t="n">
        <x:f>(1/2)*$C537+(3/2)*$D537</x:f>
        <x:v>6.5</x:v>
      </x:c>
      <x:c r="H537" s="45" t="n">
        <x:f>2*$B537</x:f>
        <x:v>6</x:v>
      </x:c>
      <x:c r="I537" s="45" t="n">
        <x:f>(1/2)*($C537+$D537)</x:f>
        <x:v>2.5</x:v>
      </x:c>
      <x:c r="J537" s="45" t="n">
        <x:f>(1/2)*($C537+$D537)</x:f>
        <x:v>2.5</x:v>
      </x:c>
      <x:c r="K537" s="45" t="n">
        <x:f>0</x:f>
        <x:v>0</x:v>
      </x:c>
      <x:c r="L537" s="45" t="n">
        <x:f>F537+I537</x:f>
        <x:v>9</x:v>
      </x:c>
      <x:c r="M537" s="45" t="n">
        <x:f>G537+J537</x:f>
        <x:v>9</x:v>
      </x:c>
      <x:c r="N537" s="45" t="n">
        <x:f>H537+K537</x:f>
        <x:v>6</x:v>
      </x:c>
      <x:c r="O537" s="45" t="n">
        <x:f>SUM(F537:H537)</x:f>
        <x:v>19</x:v>
      </x:c>
      <x:c r="P537" s="42" t="n">
        <x:f>IF(AND(F537&lt;=F569,F537&lt;=F521,F537&lt;=F553,G537&lt;=G545,G537&lt;=G533,G537&lt;=G541,H537&lt;=H534,H537&lt;=H536,H537&lt;=H535),1,0)</x:f>
        <x:v>0</x:v>
      </x:c>
      <x:c r="Q537" s="42" t="n">
        <x:f>IF(AND(L537&lt;=L569,L537&lt;=L521,L537&lt;=L553,M537&lt;=M545,M537&lt;=M533,M537&lt;=M541,N537&lt;=N534,N537&lt;=N536,N537&lt;=N535),1,0)</x:f>
        <x:v>0</x:v>
      </x:c>
      <x:c r="R537" s="42" t="n">
        <x:v>0</x:v>
      </x:c>
      <x:c r="S537" s="42" t="n">
        <x:v>0</x:v>
      </x:c>
    </x:row>
    <x:row r="538">
      <x:c r="A538" t="n">
        <x:v>9</x:v>
      </x:c>
      <x:c r="B538" t="n">
        <x:v>3</x:v>
      </x:c>
      <x:c r="C538" t="n">
        <x:v>1</x:v>
      </x:c>
      <x:c r="D538" t="n">
        <x:v>4</x:v>
      </x:c>
      <x:c r="E538" t="str">
        <x:v>loe</x:v>
      </x:c>
      <x:c r="F538" s="45" t="n">
        <x:f>1*$D538</x:f>
        <x:v>4</x:v>
      </x:c>
      <x:c r="G538" s="45" t="n">
        <x:f>0</x:f>
        <x:v>0</x:v>
      </x:c>
      <x:c r="H538" s="45" t="n">
        <x:f>1*$B538</x:f>
        <x:v>3</x:v>
      </x:c>
      <x:c r="I538" s="45" t="n">
        <x:f>0</x:f>
        <x:v>0</x:v>
      </x:c>
      <x:c r="J538" s="45" t="n">
        <x:f>0</x:f>
        <x:v>0</x:v>
      </x:c>
      <x:c r="K538" s="45" t="n">
        <x:f>0</x:f>
        <x:v>0</x:v>
      </x:c>
      <x:c r="L538" s="45" t="n">
        <x:f>F538+I538</x:f>
        <x:v>4</x:v>
      </x:c>
      <x:c r="M538" s="45" t="n">
        <x:f>G538+J538</x:f>
        <x:v>0</x:v>
      </x:c>
      <x:c r="N538" s="45" t="n">
        <x:f>H538+K538</x:f>
        <x:v>3</x:v>
      </x:c>
      <x:c r="O538" s="45" t="n">
        <x:f>SUM(F538:H538)</x:f>
        <x:v>7</x:v>
      </x:c>
      <x:c r="P538" s="42" t="n">
        <x:f>IF(AND(F538&lt;=F570,F538&lt;=F522,F538&lt;=F554,G538&lt;=G542,G538&lt;=G530,G538&lt;=G534,H538&lt;=H541,H538&lt;=H540,H538&lt;=H539),1,0)</x:f>
        <x:v>0</x:v>
      </x:c>
      <x:c r="Q538" s="42" t="n">
        <x:f>IF(AND(L538&lt;=L570,L538&lt;=L522,L538&lt;=L554,M538&lt;=M542,M538&lt;=M530,M538&lt;=M534,N538&lt;=N541,N538&lt;=N540,N538&lt;=N539),1,0)</x:f>
        <x:v>1</x:v>
      </x:c>
      <x:c r="R538" s="42" t="n">
        <x:v>0</x:v>
      </x:c>
      <x:c r="S538" s="42" t="n">
        <x:v>1</x:v>
      </x:c>
    </x:row>
    <x:row r="539">
      <x:c r="A539" t="n">
        <x:v>9</x:v>
      </x:c>
      <x:c r="B539" t="n">
        <x:v>3</x:v>
      </x:c>
      <x:c r="C539" t="n">
        <x:v>1</x:v>
      </x:c>
      <x:c r="D539" t="n">
        <x:v>4</x:v>
      </x:c>
      <x:c r="E539" t="str">
        <x:v>lol</x:v>
      </x:c>
      <x:c r="F539" s="45" t="n">
        <x:f>(1/2)*$C539+(3/2)*$D539</x:f>
        <x:v>6.5</x:v>
      </x:c>
      <x:c r="G539" s="45" t="n">
        <x:f>0</x:f>
        <x:v>0</x:v>
      </x:c>
      <x:c r="H539" s="45" t="n">
        <x:f>(1/2)*$C539+(3/2)*$D539</x:f>
        <x:v>6.5</x:v>
      </x:c>
      <x:c r="I539" s="45" t="n">
        <x:f>(1/2)*($C539+$D539)</x:f>
        <x:v>2.5</x:v>
      </x:c>
      <x:c r="J539" s="45" t="n">
        <x:f>0</x:f>
        <x:v>0</x:v>
      </x:c>
      <x:c r="K539" s="45" t="n">
        <x:f>(1/2)*($C539+$D539)</x:f>
        <x:v>2.5</x:v>
      </x:c>
      <x:c r="L539" s="45" t="n">
        <x:f>F539+I539</x:f>
        <x:v>9</x:v>
      </x:c>
      <x:c r="M539" s="45" t="n">
        <x:f>G539+J539</x:f>
        <x:v>0</x:v>
      </x:c>
      <x:c r="N539" s="45" t="n">
        <x:f>H539+K539</x:f>
        <x:v>9</x:v>
      </x:c>
      <x:c r="O539" s="45" t="n">
        <x:f>SUM(F539:H539)</x:f>
        <x:v>13</x:v>
      </x:c>
      <x:c r="P539" s="42" t="n">
        <x:f>IF(AND(F539&lt;=F571,F539&lt;=F523,F539&lt;=F555,G539&lt;=G543,G539&lt;=G531,G539&lt;=G535,H539&lt;=H541,H539&lt;=H538,H539&lt;=H540),1,0)</x:f>
        <x:v>0</x:v>
      </x:c>
      <x:c r="Q539" s="42" t="n">
        <x:f>IF(AND(L539&lt;=L571,L539&lt;=L523,L539&lt;=L555,M539&lt;=M543,M539&lt;=M531,M539&lt;=M535,N539&lt;=N541,N539&lt;=N538,N539&lt;=N540),1,0)</x:f>
        <x:v>0</x:v>
      </x:c>
      <x:c r="R539" s="42" t="n">
        <x:v>0</x:v>
      </x:c>
      <x:c r="S539" s="42" t="n">
        <x:v>0</x:v>
      </x:c>
    </x:row>
    <x:row r="540">
      <x:c r="A540" t="n">
        <x:v>9</x:v>
      </x:c>
      <x:c r="B540" t="n">
        <x:v>3</x:v>
      </x:c>
      <x:c r="C540" t="n">
        <x:v>1</x:v>
      </x:c>
      <x:c r="D540" t="n">
        <x:v>4</x:v>
      </x:c>
      <x:c r="E540" t="str">
        <x:v>loo</x:v>
      </x:c>
      <x:c r="F540" s="45" t="n">
        <x:f>1*$C540+2*$D540</x:f>
        <x:v>9</x:v>
      </x:c>
      <x:c r="G540" s="45" t="n">
        <x:f>(1/2)*$C540+(1/2)*$D540</x:f>
        <x:v>2.5</x:v>
      </x:c>
      <x:c r="H540" s="45" t="n">
        <x:f>(1/2)*$C540+(1/2)*$D540</x:f>
        <x:v>2.5</x:v>
      </x:c>
      <x:c r="I540" s="45" t="n">
        <x:f>0</x:f>
        <x:v>0</x:v>
      </x:c>
      <x:c r="J540" s="45" t="n">
        <x:f>(3/2)*($C540+$D540)</x:f>
        <x:v>7.5</x:v>
      </x:c>
      <x:c r="K540" s="45" t="n">
        <x:f>(3/2)*($C540+$D540)</x:f>
        <x:v>7.5</x:v>
      </x:c>
      <x:c r="L540" s="45" t="n">
        <x:f>F540+I540</x:f>
        <x:v>9</x:v>
      </x:c>
      <x:c r="M540" s="45" t="n">
        <x:f>G540+J540</x:f>
        <x:v>10</x:v>
      </x:c>
      <x:c r="N540" s="45" t="n">
        <x:f>H540+K540</x:f>
        <x:v>10</x:v>
      </x:c>
      <x:c r="O540" s="45" t="n">
        <x:f>SUM(F540:H540)</x:f>
        <x:v>14</x:v>
      </x:c>
      <x:c r="P540" s="42" t="n">
        <x:f>IF(AND(F540&lt;=F572,F540&lt;=F524,F540&lt;=F556,G540&lt;=G544,G540&lt;=G532,G540&lt;=G536,H540&lt;=H541,H540&lt;=H538,H540&lt;=H539),1,0)</x:f>
        <x:v>0</x:v>
      </x:c>
      <x:c r="Q540" s="42" t="n">
        <x:f>IF(AND(L540&lt;=L572,L540&lt;=L524,L540&lt;=L556,M540&lt;=M544,M540&lt;=M532,M540&lt;=M536,N540&lt;=N541,N540&lt;=N538,N540&lt;=N539),1,0)</x:f>
        <x:v>0</x:v>
      </x:c>
      <x:c r="R540" s="42" t="n">
        <x:v>0</x:v>
      </x:c>
      <x:c r="S540" s="42" t="n">
        <x:v>0</x:v>
      </x:c>
    </x:row>
    <x:row r="541">
      <x:c r="A541" t="n">
        <x:v>9</x:v>
      </x:c>
      <x:c r="B541" t="n">
        <x:v>3</x:v>
      </x:c>
      <x:c r="C541" t="n">
        <x:v>1</x:v>
      </x:c>
      <x:c r="D541" t="n">
        <x:v>4</x:v>
      </x:c>
      <x:c r="E541" t="str">
        <x:v>lov</x:v>
      </x:c>
      <x:c r="F541" s="45" t="n">
        <x:f>1*$D541</x:f>
        <x:v>4</x:v>
      </x:c>
      <x:c r="G541" s="45" t="n">
        <x:f>0</x:f>
        <x:v>0</x:v>
      </x:c>
      <x:c r="H541" s="45" t="n">
        <x:f>2*$B541</x:f>
        <x:v>6</x:v>
      </x:c>
      <x:c r="I541" s="45" t="n">
        <x:f>0</x:f>
        <x:v>0</x:v>
      </x:c>
      <x:c r="J541" s="45" t="n">
        <x:f>0</x:f>
        <x:v>0</x:v>
      </x:c>
      <x:c r="K541" s="45" t="n">
        <x:f>0</x:f>
        <x:v>0</x:v>
      </x:c>
      <x:c r="L541" s="45" t="n">
        <x:f>F541+I541</x:f>
        <x:v>4</x:v>
      </x:c>
      <x:c r="M541" s="45" t="n">
        <x:f>G541+J541</x:f>
        <x:v>0</x:v>
      </x:c>
      <x:c r="N541" s="45" t="n">
        <x:f>H541+K541</x:f>
        <x:v>6</x:v>
      </x:c>
      <x:c r="O541" s="45" t="n">
        <x:f>SUM(F541:H541)</x:f>
        <x:v>10</x:v>
      </x:c>
      <x:c r="P541" s="42" t="n">
        <x:f>IF(AND(F541&lt;=F573,F541&lt;=F525,F541&lt;=F557,G541&lt;=G545,G541&lt;=G533,G541&lt;=G537,H541&lt;=H538,H541&lt;=H540,H541&lt;=H539),1,0)</x:f>
        <x:v>0</x:v>
      </x:c>
      <x:c r="Q541" s="42" t="n">
        <x:f>IF(AND(L541&lt;=L573,L541&lt;=L525,L541&lt;=L557,M541&lt;=M545,M541&lt;=M533,M541&lt;=M537,N541&lt;=N538,N541&lt;=N540,N541&lt;=N539),1,0)</x:f>
        <x:v>0</x:v>
      </x:c>
      <x:c r="R541" s="42" t="n">
        <x:v>0</x:v>
      </x:c>
      <x:c r="S541" s="42" t="n">
        <x:v>0</x:v>
      </x:c>
    </x:row>
    <x:row r="542">
      <x:c r="A542" t="n">
        <x:v>9</x:v>
      </x:c>
      <x:c r="B542" t="n">
        <x:v>3</x:v>
      </x:c>
      <x:c r="C542" t="n">
        <x:v>1</x:v>
      </x:c>
      <x:c r="D542" t="n">
        <x:v>4</x:v>
      </x:c>
      <x:c r="E542" t="str">
        <x:v>lve</x:v>
      </x:c>
      <x:c r="F542" s="45" t="n">
        <x:f>1*$D542</x:f>
        <x:v>4</x:v>
      </x:c>
      <x:c r="G542" s="45" t="n">
        <x:f>2*$B542</x:f>
        <x:v>6</x:v>
      </x:c>
      <x:c r="H542" s="45" t="n">
        <x:f>1*$B542</x:f>
        <x:v>3</x:v>
      </x:c>
      <x:c r="I542" s="45" t="n">
        <x:f>0</x:f>
        <x:v>0</x:v>
      </x:c>
      <x:c r="J542" s="45" t="n">
        <x:f>0</x:f>
        <x:v>0</x:v>
      </x:c>
      <x:c r="K542" s="45" t="n">
        <x:f>0</x:f>
        <x:v>0</x:v>
      </x:c>
      <x:c r="L542" s="45" t="n">
        <x:f>F542+I542</x:f>
        <x:v>4</x:v>
      </x:c>
      <x:c r="M542" s="45" t="n">
        <x:f>G542+J542</x:f>
        <x:v>6</x:v>
      </x:c>
      <x:c r="N542" s="45" t="n">
        <x:f>H542+K542</x:f>
        <x:v>3</x:v>
      </x:c>
      <x:c r="O542" s="45" t="n">
        <x:f>SUM(F542:H542)</x:f>
        <x:v>13</x:v>
      </x:c>
      <x:c r="P542" s="42" t="n">
        <x:f>IF(AND(F542&lt;=F574,F542&lt;=F526,F542&lt;=F558,G542&lt;=G530,G542&lt;=G538,G542&lt;=G534,H542&lt;=H545,H542&lt;=H544,H542&lt;=H543),1,0)</x:f>
        <x:v>0</x:v>
      </x:c>
      <x:c r="Q542" s="42" t="n">
        <x:f>IF(AND(L542&lt;=L574,L542&lt;=L526,L542&lt;=L558,M542&lt;=M530,M542&lt;=M538,M542&lt;=M534,N542&lt;=N545,N542&lt;=N544,N542&lt;=N543),1,0)</x:f>
        <x:v>0</x:v>
      </x:c>
      <x:c r="R542" s="42" t="n">
        <x:v>0</x:v>
      </x:c>
      <x:c r="S542" s="42" t="n">
        <x:v>0</x:v>
      </x:c>
    </x:row>
    <x:row r="543">
      <x:c r="A543" t="n">
        <x:v>9</x:v>
      </x:c>
      <x:c r="B543" t="n">
        <x:v>3</x:v>
      </x:c>
      <x:c r="C543" t="n">
        <x:v>1</x:v>
      </x:c>
      <x:c r="D543" t="n">
        <x:v>4</x:v>
      </x:c>
      <x:c r="E543" t="str">
        <x:v>lvl</x:v>
      </x:c>
      <x:c r="F543" s="45" t="n">
        <x:f>(1/2)*$C543+(3/2)*$D543</x:f>
        <x:v>6.5</x:v>
      </x:c>
      <x:c r="G543" s="45" t="n">
        <x:f>2*$B543</x:f>
        <x:v>6</x:v>
      </x:c>
      <x:c r="H543" s="45" t="n">
        <x:f>(1/2)*$C543+(3/2)*$D543</x:f>
        <x:v>6.5</x:v>
      </x:c>
      <x:c r="I543" s="45" t="n">
        <x:f>(1/2)*($C543+$D543)</x:f>
        <x:v>2.5</x:v>
      </x:c>
      <x:c r="J543" s="45" t="n">
        <x:f>0</x:f>
        <x:v>0</x:v>
      </x:c>
      <x:c r="K543" s="45" t="n">
        <x:f>(1/2)*($C543+$D543)</x:f>
        <x:v>2.5</x:v>
      </x:c>
      <x:c r="L543" s="45" t="n">
        <x:f>F543+I543</x:f>
        <x:v>9</x:v>
      </x:c>
      <x:c r="M543" s="45" t="n">
        <x:f>G543+J543</x:f>
        <x:v>6</x:v>
      </x:c>
      <x:c r="N543" s="45" t="n">
        <x:f>H543+K543</x:f>
        <x:v>9</x:v>
      </x:c>
      <x:c r="O543" s="45" t="n">
        <x:f>SUM(F543:H543)</x:f>
        <x:v>19</x:v>
      </x:c>
      <x:c r="P543" s="42" t="n">
        <x:f>IF(AND(F543&lt;=F575,F543&lt;=F527,F543&lt;=F559,G543&lt;=G531,G543&lt;=G539,G543&lt;=G535,H543&lt;=H545,H543&lt;=H542,H543&lt;=H544),1,0)</x:f>
        <x:v>0</x:v>
      </x:c>
      <x:c r="Q543" s="42" t="n">
        <x:f>IF(AND(L543&lt;=L575,L543&lt;=L527,L543&lt;=L559,M543&lt;=M531,M543&lt;=M539,M543&lt;=M535,N543&lt;=N545,N543&lt;=N542,N543&lt;=N544),1,0)</x:f>
        <x:v>0</x:v>
      </x:c>
      <x:c r="R543" s="42" t="n">
        <x:v>0</x:v>
      </x:c>
      <x:c r="S543" s="42" t="n">
        <x:v>0</x:v>
      </x:c>
    </x:row>
    <x:row r="544">
      <x:c r="A544" t="n">
        <x:v>9</x:v>
      </x:c>
      <x:c r="B544" t="n">
        <x:v>3</x:v>
      </x:c>
      <x:c r="C544" t="n">
        <x:v>1</x:v>
      </x:c>
      <x:c r="D544" t="n">
        <x:v>4</x:v>
      </x:c>
      <x:c r="E544" t="str">
        <x:v>lvo</x:v>
      </x:c>
      <x:c r="F544" s="45" t="n">
        <x:f>1*$D544</x:f>
        <x:v>4</x:v>
      </x:c>
      <x:c r="G544" s="45" t="n">
        <x:f>2*$B544</x:f>
        <x:v>6</x:v>
      </x:c>
      <x:c r="H544" s="45" t="n">
        <x:f>0</x:f>
        <x:v>0</x:v>
      </x:c>
      <x:c r="I544" s="45" t="n">
        <x:f>0</x:f>
        <x:v>0</x:v>
      </x:c>
      <x:c r="J544" s="45" t="n">
        <x:f>0</x:f>
        <x:v>0</x:v>
      </x:c>
      <x:c r="K544" s="45" t="n">
        <x:f>0</x:f>
        <x:v>0</x:v>
      </x:c>
      <x:c r="L544" s="45" t="n">
        <x:f>F544+I544</x:f>
        <x:v>4</x:v>
      </x:c>
      <x:c r="M544" s="45" t="n">
        <x:f>G544+J544</x:f>
        <x:v>6</x:v>
      </x:c>
      <x:c r="N544" s="45" t="n">
        <x:f>H544+K544</x:f>
        <x:v>0</x:v>
      </x:c>
      <x:c r="O544" s="45" t="n">
        <x:f>SUM(F544:H544)</x:f>
        <x:v>10</x:v>
      </x:c>
      <x:c r="P544" s="42" t="n">
        <x:f>IF(AND(F544&lt;=F576,F544&lt;=F528,F544&lt;=F560,G544&lt;=G532,G544&lt;=G540,G544&lt;=G536,H544&lt;=H545,H544&lt;=H542,H544&lt;=H543),1,0)</x:f>
        <x:v>0</x:v>
      </x:c>
      <x:c r="Q544" s="42" t="n">
        <x:f>IF(AND(L544&lt;=L576,L544&lt;=L528,L544&lt;=L560,M544&lt;=M532,M544&lt;=M540,M544&lt;=M536,N544&lt;=N545,N544&lt;=N542,N544&lt;=N543),1,0)</x:f>
        <x:v>0</x:v>
      </x:c>
      <x:c r="R544" s="42" t="n">
        <x:v>0</x:v>
      </x:c>
      <x:c r="S544" s="42" t="n">
        <x:v>0</x:v>
      </x:c>
    </x:row>
    <x:row r="545">
      <x:c r="A545" t="n">
        <x:v>9</x:v>
      </x:c>
      <x:c r="B545" t="n">
        <x:v>3</x:v>
      </x:c>
      <x:c r="C545" t="n">
        <x:v>1</x:v>
      </x:c>
      <x:c r="D545" t="n">
        <x:v>4</x:v>
      </x:c>
      <x:c r="E545" t="str">
        <x:v>lvv</x:v>
      </x:c>
      <x:c r="F545" s="45" t="n">
        <x:f>1*$D545</x:f>
        <x:v>4</x:v>
      </x:c>
      <x:c r="G545" s="45" t="n">
        <x:f>(3/2)*$B545+(1/2)*$C545</x:f>
        <x:v>5</x:v>
      </x:c>
      <x:c r="H545" s="45" t="n">
        <x:f>(3/2)*$B545+(1/2)*$C545</x:f>
        <x:v>5</x:v>
      </x:c>
      <x:c r="I545" s="45" t="n">
        <x:f>0</x:f>
        <x:v>0</x:v>
      </x:c>
      <x:c r="J545" s="45" t="n">
        <x:f>MAX((1/2)*($C545-$B545),0)</x:f>
        <x:v>0</x:v>
      </x:c>
      <x:c r="K545" s="45" t="n">
        <x:f>MAX((1/2)*($C545-$B545),0)</x:f>
        <x:v>0</x:v>
      </x:c>
      <x:c r="L545" s="45" t="n">
        <x:f>F545+I545</x:f>
        <x:v>4</x:v>
      </x:c>
      <x:c r="M545" s="45" t="n">
        <x:f>G545+J545</x:f>
        <x:v>5</x:v>
      </x:c>
      <x:c r="N545" s="45" t="n">
        <x:f>H545+K545</x:f>
        <x:v>5</x:v>
      </x:c>
      <x:c r="O545" s="45" t="n">
        <x:f>SUM(F545:H545)</x:f>
        <x:v>14</x:v>
      </x:c>
      <x:c r="P545" s="42" t="n">
        <x:f>IF(AND(F545&lt;=F577,F545&lt;=F529,F545&lt;=F561,G545&lt;=G533,G545&lt;=G541,G545&lt;=G537,H545&lt;=H542,H545&lt;=H544,H545&lt;=H543),1,0)</x:f>
        <x:v>0</x:v>
      </x:c>
      <x:c r="Q545" s="42" t="n">
        <x:f>IF(AND(L545&lt;=L577,L545&lt;=L529,L545&lt;=L561,M545&lt;=M533,M545&lt;=M541,M545&lt;=M537,N545&lt;=N542,N545&lt;=N544,N545&lt;=N543),1,0)</x:f>
        <x:v>0</x:v>
      </x:c>
      <x:c r="R545" s="42" t="n">
        <x:v>0</x:v>
      </x:c>
      <x:c r="S545" s="42" t="n">
        <x:v>0</x:v>
      </x:c>
    </x:row>
    <x:row r="546">
      <x:c r="A546" t="n">
        <x:v>9</x:v>
      </x:c>
      <x:c r="B546" t="n">
        <x:v>3</x:v>
      </x:c>
      <x:c r="C546" t="n">
        <x:v>1</x:v>
      </x:c>
      <x:c r="D546" t="n">
        <x:v>4</x:v>
      </x:c>
      <x:c r="E546" t="str">
        <x:v>oee</x:v>
      </x:c>
      <x:c r="F546" s="45" t="n">
        <x:f>1*$C546+1*$D546</x:f>
        <x:v>5</x:v>
      </x:c>
      <x:c r="G546" s="45" t="n">
        <x:f>(1/2)*$B546+(1/2)*$C546</x:f>
        <x:v>2</x:v>
      </x:c>
      <x:c r="H546" s="45" t="n">
        <x:f>(1/2)*$B546+(1/2)*$C546</x:f>
        <x:v>2</x:v>
      </x:c>
      <x:c r="I546" s="45" t="n">
        <x:f>0</x:f>
        <x:v>0</x:v>
      </x:c>
      <x:c r="J546" s="45" t="n">
        <x:f>MAX((3/2)*$C546+$D546-(1/2)*$B546,0)</x:f>
        <x:v>4</x:v>
      </x:c>
      <x:c r="K546" s="45" t="n">
        <x:f>MAX((3/2)*$C546+$D546-(1/2)*$B546,0)</x:f>
        <x:v>4</x:v>
      </x:c>
      <x:c r="L546" s="45" t="n">
        <x:f>F546+I546</x:f>
        <x:v>5</x:v>
      </x:c>
      <x:c r="M546" s="45" t="n">
        <x:f>G546+J546</x:f>
        <x:v>6</x:v>
      </x:c>
      <x:c r="N546" s="45" t="n">
        <x:f>H546+K546</x:f>
        <x:v>6</x:v>
      </x:c>
      <x:c r="O546" s="45" t="n">
        <x:f>SUM(F546:H546)</x:f>
        <x:v>9</x:v>
      </x:c>
      <x:c r="P546" s="42" t="n">
        <x:f>IF(AND(F546&lt;=F562,F546&lt;=F514,F546&lt;=F530,G546&lt;=G558,G546&lt;=G554,G546&lt;=G550,H546&lt;=H549,H546&lt;=H548,H546&lt;=H547),1,0)</x:f>
        <x:v>0</x:v>
      </x:c>
      <x:c r="Q546" s="42" t="n">
        <x:f>IF(AND(L546&lt;=L562,L546&lt;=L514,L546&lt;=L530,M546&lt;=M558,M546&lt;=M554,M546&lt;=M550,N546&lt;=N549,N546&lt;=N548,N546&lt;=N547),1,0)</x:f>
        <x:v>0</x:v>
      </x:c>
      <x:c r="R546" s="42" t="n">
        <x:v>0</x:v>
      </x:c>
      <x:c r="S546" s="42" t="n">
        <x:v>0</x:v>
      </x:c>
    </x:row>
    <x:row r="547">
      <x:c r="A547" t="n">
        <x:v>9</x:v>
      </x:c>
      <x:c r="B547" t="n">
        <x:v>3</x:v>
      </x:c>
      <x:c r="C547" t="n">
        <x:v>1</x:v>
      </x:c>
      <x:c r="D547" t="n">
        <x:v>4</x:v>
      </x:c>
      <x:c r="E547" t="str">
        <x:v>oel</x:v>
      </x:c>
      <x:c r="F547" s="45" t="n">
        <x:f>0</x:f>
        <x:v>0</x:v>
      </x:c>
      <x:c r="G547" s="45" t="n">
        <x:f>1*$B547</x:f>
        <x:v>3</x:v>
      </x:c>
      <x:c r="H547" s="45" t="n">
        <x:f>1*$D547</x:f>
        <x:v>4</x:v>
      </x:c>
      <x:c r="I547" s="45" t="n">
        <x:f>0</x:f>
        <x:v>0</x:v>
      </x:c>
      <x:c r="J547" s="45" t="n">
        <x:f>0</x:f>
        <x:v>0</x:v>
      </x:c>
      <x:c r="K547" s="45" t="n">
        <x:f>0</x:f>
        <x:v>0</x:v>
      </x:c>
      <x:c r="L547" s="45" t="n">
        <x:f>F547+I547</x:f>
        <x:v>0</x:v>
      </x:c>
      <x:c r="M547" s="45" t="n">
        <x:f>G547+J547</x:f>
        <x:v>3</x:v>
      </x:c>
      <x:c r="N547" s="45" t="n">
        <x:f>H547+K547</x:f>
        <x:v>4</x:v>
      </x:c>
      <x:c r="O547" s="45" t="n">
        <x:f>SUM(F547:H547)</x:f>
        <x:v>7</x:v>
      </x:c>
      <x:c r="P547" s="42" t="n">
        <x:f>IF(AND(F547&lt;=F563,F547&lt;=F515,F547&lt;=F531,G547&lt;=G559,G547&lt;=G555,G547&lt;=G551,H547&lt;=H549,H547&lt;=H546,H547&lt;=H548),1,0)</x:f>
        <x:v>0</x:v>
      </x:c>
      <x:c r="Q547" s="42" t="n">
        <x:f>IF(AND(L547&lt;=L563,L547&lt;=L515,L547&lt;=L531,M547&lt;=M559,M547&lt;=M555,M547&lt;=M551,N547&lt;=N549,N547&lt;=N546,N547&lt;=N548),1,0)</x:f>
        <x:v>1</x:v>
      </x:c>
      <x:c r="R547" s="42" t="n">
        <x:v>0</x:v>
      </x:c>
      <x:c r="S547" s="42" t="n">
        <x:v>1</x:v>
      </x:c>
    </x:row>
    <x:row r="548">
      <x:c r="A548" t="n">
        <x:v>9</x:v>
      </x:c>
      <x:c r="B548" t="n">
        <x:v>3</x:v>
      </x:c>
      <x:c r="C548" t="n">
        <x:v>1</x:v>
      </x:c>
      <x:c r="D548" t="n">
        <x:v>4</x:v>
      </x:c>
      <x:c r="E548" t="str">
        <x:v>oeo</x:v>
      </x:c>
      <x:c r="F548" s="45" t="n">
        <x:f>(1/2)*$C548+(1/2)*$D548</x:f>
        <x:v>2.5</x:v>
      </x:c>
      <x:c r="G548" s="45" t="n">
        <x:f>1*$B548</x:f>
        <x:v>3</x:v>
      </x:c>
      <x:c r="H548" s="45" t="n">
        <x:f>(1/2)*$C548+(1/2)*$D548</x:f>
        <x:v>2.5</x:v>
      </x:c>
      <x:c r="I548" s="45" t="n">
        <x:f>(1/2)*($C548+$D548)</x:f>
        <x:v>2.5</x:v>
      </x:c>
      <x:c r="J548" s="45" t="n">
        <x:f>0</x:f>
        <x:v>0</x:v>
      </x:c>
      <x:c r="K548" s="45" t="n">
        <x:f>(1/2)*($C548+$D548)</x:f>
        <x:v>2.5</x:v>
      </x:c>
      <x:c r="L548" s="45" t="n">
        <x:f>F548+I548</x:f>
        <x:v>5</x:v>
      </x:c>
      <x:c r="M548" s="45" t="n">
        <x:f>G548+J548</x:f>
        <x:v>3</x:v>
      </x:c>
      <x:c r="N548" s="45" t="n">
        <x:f>H548+K548</x:f>
        <x:v>5</x:v>
      </x:c>
      <x:c r="O548" s="45" t="n">
        <x:f>SUM(F548:H548)</x:f>
        <x:v>8</x:v>
      </x:c>
      <x:c r="P548" s="42" t="n">
        <x:f>IF(AND(F548&lt;=F564,F548&lt;=F516,F548&lt;=F532,G548&lt;=G560,G548&lt;=G556,G548&lt;=G552,H548&lt;=H549,H548&lt;=H546,H548&lt;=H547),1,0)</x:f>
        <x:v>0</x:v>
      </x:c>
      <x:c r="Q548" s="42" t="n">
        <x:f>IF(AND(L548&lt;=L564,L548&lt;=L516,L548&lt;=L532,M548&lt;=M560,M548&lt;=M556,M548&lt;=M552,N548&lt;=N549,N548&lt;=N546,N548&lt;=N547),1,0)</x:f>
        <x:v>0</x:v>
      </x:c>
      <x:c r="R548" s="42" t="n">
        <x:v>0</x:v>
      </x:c>
      <x:c r="S548" s="42" t="n">
        <x:v>0</x:v>
      </x:c>
    </x:row>
    <x:row r="549">
      <x:c r="A549" t="n">
        <x:v>9</x:v>
      </x:c>
      <x:c r="B549" t="n">
        <x:v>3</x:v>
      </x:c>
      <x:c r="C549" t="n">
        <x:v>1</x:v>
      </x:c>
      <x:c r="D549" t="n">
        <x:v>4</x:v>
      </x:c>
      <x:c r="E549" t="str">
        <x:v>oev</x:v>
      </x:c>
      <x:c r="F549" s="45" t="n">
        <x:f>0</x:f>
        <x:v>0</x:v>
      </x:c>
      <x:c r="G549" s="45" t="n">
        <x:f>1*$B549</x:f>
        <x:v>3</x:v>
      </x:c>
      <x:c r="H549" s="45" t="n">
        <x:f>2*$B549</x:f>
        <x:v>6</x:v>
      </x:c>
      <x:c r="I549" s="45" t="n">
        <x:f>0</x:f>
        <x:v>0</x:v>
      </x:c>
      <x:c r="J549" s="45" t="n">
        <x:f>0</x:f>
        <x:v>0</x:v>
      </x:c>
      <x:c r="K549" s="45" t="n">
        <x:f>0</x:f>
        <x:v>0</x:v>
      </x:c>
      <x:c r="L549" s="45" t="n">
        <x:f>F549+I549</x:f>
        <x:v>0</x:v>
      </x:c>
      <x:c r="M549" s="45" t="n">
        <x:f>G549+J549</x:f>
        <x:v>3</x:v>
      </x:c>
      <x:c r="N549" s="45" t="n">
        <x:f>H549+K549</x:f>
        <x:v>6</x:v>
      </x:c>
      <x:c r="O549" s="45" t="n">
        <x:f>SUM(F549:H549)</x:f>
        <x:v>9</x:v>
      </x:c>
      <x:c r="P549" s="42" t="n">
        <x:f>IF(AND(F549&lt;=F565,F549&lt;=F517,F549&lt;=F533,G549&lt;=G561,G549&lt;=G557,G549&lt;=G553,H549&lt;=H546,H549&lt;=H548,H549&lt;=H547),1,0)</x:f>
        <x:v>0</x:v>
      </x:c>
      <x:c r="Q549" s="42" t="n">
        <x:f>IF(AND(L549&lt;=L565,L549&lt;=L517,L549&lt;=L533,M549&lt;=M561,M549&lt;=M557,M549&lt;=M553,N549&lt;=N546,N549&lt;=N548,N549&lt;=N547),1,0)</x:f>
        <x:v>0</x:v>
      </x:c>
      <x:c r="R549" s="42" t="n">
        <x:v>0</x:v>
      </x:c>
      <x:c r="S549" s="42" t="n">
        <x:v>0</x:v>
      </x:c>
    </x:row>
    <x:row r="550">
      <x:c r="A550" t="n">
        <x:v>9</x:v>
      </x:c>
      <x:c r="B550" t="n">
        <x:v>3</x:v>
      </x:c>
      <x:c r="C550" t="n">
        <x:v>1</x:v>
      </x:c>
      <x:c r="D550" t="n">
        <x:v>4</x:v>
      </x:c>
      <x:c r="E550" t="str">
        <x:v>ole</x:v>
      </x:c>
      <x:c r="F550" s="45" t="n">
        <x:f>0</x:f>
        <x:v>0</x:v>
      </x:c>
      <x:c r="G550" s="45" t="n">
        <x:f>1*$D550</x:f>
        <x:v>4</x:v>
      </x:c>
      <x:c r="H550" s="45" t="n">
        <x:f>1*$B550</x:f>
        <x:v>3</x:v>
      </x:c>
      <x:c r="I550" s="45" t="n">
        <x:f>0</x:f>
        <x:v>0</x:v>
      </x:c>
      <x:c r="J550" s="45" t="n">
        <x:f>0</x:f>
        <x:v>0</x:v>
      </x:c>
      <x:c r="K550" s="45" t="n">
        <x:f>0</x:f>
        <x:v>0</x:v>
      </x:c>
      <x:c r="L550" s="45" t="n">
        <x:f>F550+I550</x:f>
        <x:v>0</x:v>
      </x:c>
      <x:c r="M550" s="45" t="n">
        <x:f>G550+J550</x:f>
        <x:v>4</x:v>
      </x:c>
      <x:c r="N550" s="45" t="n">
        <x:f>H550+K550</x:f>
        <x:v>3</x:v>
      </x:c>
      <x:c r="O550" s="45" t="n">
        <x:f>SUM(F550:H550)</x:f>
        <x:v>7</x:v>
      </x:c>
      <x:c r="P550" s="42" t="n">
        <x:f>IF(AND(F550&lt;=F566,F550&lt;=F518,F550&lt;=F534,G550&lt;=G558,G550&lt;=G546,G550&lt;=G554,H550&lt;=H553,H550&lt;=H552,H550&lt;=H551),1,0)</x:f>
        <x:v>0</x:v>
      </x:c>
      <x:c r="Q550" s="42" t="n">
        <x:f>IF(AND(L550&lt;=L566,L550&lt;=L518,L550&lt;=L534,M550&lt;=M558,M550&lt;=M546,M550&lt;=M554,N550&lt;=N553,N550&lt;=N552,N550&lt;=N551),1,0)</x:f>
        <x:v>1</x:v>
      </x:c>
      <x:c r="R550" s="42" t="n">
        <x:v>0</x:v>
      </x:c>
      <x:c r="S550" s="42" t="n">
        <x:v>1</x:v>
      </x:c>
    </x:row>
    <x:row r="551">
      <x:c r="A551" t="n">
        <x:v>9</x:v>
      </x:c>
      <x:c r="B551" t="n">
        <x:v>3</x:v>
      </x:c>
      <x:c r="C551" t="n">
        <x:v>1</x:v>
      </x:c>
      <x:c r="D551" t="n">
        <x:v>4</x:v>
      </x:c>
      <x:c r="E551" t="str">
        <x:v>oll</x:v>
      </x:c>
      <x:c r="F551" s="45" t="n">
        <x:f>0</x:f>
        <x:v>0</x:v>
      </x:c>
      <x:c r="G551" s="45" t="n">
        <x:f>(1/2)*$C551+(3/2)*$D551</x:f>
        <x:v>6.5</x:v>
      </x:c>
      <x:c r="H551" s="45" t="n">
        <x:f>(1/2)*$C551+(3/2)*$D551</x:f>
        <x:v>6.5</x:v>
      </x:c>
      <x:c r="I551" s="45" t="n">
        <x:f>0</x:f>
        <x:v>0</x:v>
      </x:c>
      <x:c r="J551" s="45" t="n">
        <x:f>(1/2)*($C551+$D551)</x:f>
        <x:v>2.5</x:v>
      </x:c>
      <x:c r="K551" s="45" t="n">
        <x:f>(1/2)*($C551+$D551)</x:f>
        <x:v>2.5</x:v>
      </x:c>
      <x:c r="L551" s="45" t="n">
        <x:f>F551+I551</x:f>
        <x:v>0</x:v>
      </x:c>
      <x:c r="M551" s="45" t="n">
        <x:f>G551+J551</x:f>
        <x:v>9</x:v>
      </x:c>
      <x:c r="N551" s="45" t="n">
        <x:f>H551+K551</x:f>
        <x:v>9</x:v>
      </x:c>
      <x:c r="O551" s="45" t="n">
        <x:f>SUM(F551:H551)</x:f>
        <x:v>13</x:v>
      </x:c>
      <x:c r="P551" s="42" t="n">
        <x:f>IF(AND(F551&lt;=F567,F551&lt;=F519,F551&lt;=F535,G551&lt;=G559,G551&lt;=G547,G551&lt;=G555,H551&lt;=H553,H551&lt;=H550,H551&lt;=H552),1,0)</x:f>
        <x:v>0</x:v>
      </x:c>
      <x:c r="Q551" s="42" t="n">
        <x:f>IF(AND(L551&lt;=L567,L551&lt;=L519,L551&lt;=L535,M551&lt;=M559,M551&lt;=M547,M551&lt;=M555,N551&lt;=N553,N551&lt;=N550,N551&lt;=N552),1,0)</x:f>
        <x:v>0</x:v>
      </x:c>
      <x:c r="R551" s="42" t="n">
        <x:v>0</x:v>
      </x:c>
      <x:c r="S551" s="42" t="n">
        <x:v>0</x:v>
      </x:c>
    </x:row>
    <x:row r="552">
      <x:c r="A552" t="n">
        <x:v>9</x:v>
      </x:c>
      <x:c r="B552" t="n">
        <x:v>3</x:v>
      </x:c>
      <x:c r="C552" t="n">
        <x:v>1</x:v>
      </x:c>
      <x:c r="D552" t="n">
        <x:v>4</x:v>
      </x:c>
      <x:c r="E552" t="str">
        <x:v>olo</x:v>
      </x:c>
      <x:c r="F552" s="45" t="n">
        <x:f>(1/2)*$C552+(1/2)*$D552</x:f>
        <x:v>2.5</x:v>
      </x:c>
      <x:c r="G552" s="45" t="n">
        <x:f>1*$C552+2*$D552</x:f>
        <x:v>9</x:v>
      </x:c>
      <x:c r="H552" s="45" t="n">
        <x:f>(1/2)*$C552+(1/2)*$D552</x:f>
        <x:v>2.5</x:v>
      </x:c>
      <x:c r="I552" s="45" t="n">
        <x:f>(3/2)*($C552+$D552)</x:f>
        <x:v>7.5</x:v>
      </x:c>
      <x:c r="J552" s="45" t="n">
        <x:f>0</x:f>
        <x:v>0</x:v>
      </x:c>
      <x:c r="K552" s="45" t="n">
        <x:f>(3/2)*($C552+$D552)</x:f>
        <x:v>7.5</x:v>
      </x:c>
      <x:c r="L552" s="45" t="n">
        <x:f>F552+I552</x:f>
        <x:v>10</x:v>
      </x:c>
      <x:c r="M552" s="45" t="n">
        <x:f>G552+J552</x:f>
        <x:v>9</x:v>
      </x:c>
      <x:c r="N552" s="45" t="n">
        <x:f>H552+K552</x:f>
        <x:v>10</x:v>
      </x:c>
      <x:c r="O552" s="45" t="n">
        <x:f>SUM(F552:H552)</x:f>
        <x:v>14</x:v>
      </x:c>
      <x:c r="P552" s="42" t="n">
        <x:f>IF(AND(F552&lt;=F568,F552&lt;=F520,F552&lt;=F536,G552&lt;=G560,G552&lt;=G548,G552&lt;=G556,H552&lt;=H553,H552&lt;=H550,H552&lt;=H551),1,0)</x:f>
        <x:v>0</x:v>
      </x:c>
      <x:c r="Q552" s="42" t="n">
        <x:f>IF(AND(L552&lt;=L568,L552&lt;=L520,L552&lt;=L536,M552&lt;=M560,M552&lt;=M548,M552&lt;=M556,N552&lt;=N553,N552&lt;=N550,N552&lt;=N551),1,0)</x:f>
        <x:v>0</x:v>
      </x:c>
      <x:c r="R552" s="42" t="n">
        <x:v>0</x:v>
      </x:c>
      <x:c r="S552" s="42" t="n">
        <x:v>0</x:v>
      </x:c>
    </x:row>
    <x:row r="553">
      <x:c r="A553" t="n">
        <x:v>9</x:v>
      </x:c>
      <x:c r="B553" t="n">
        <x:v>3</x:v>
      </x:c>
      <x:c r="C553" t="n">
        <x:v>1</x:v>
      </x:c>
      <x:c r="D553" t="n">
        <x:v>4</x:v>
      </x:c>
      <x:c r="E553" t="str">
        <x:v>olv</x:v>
      </x:c>
      <x:c r="F553" s="45" t="n">
        <x:f>0</x:f>
        <x:v>0</x:v>
      </x:c>
      <x:c r="G553" s="45" t="n">
        <x:f>1*$D553</x:f>
        <x:v>4</x:v>
      </x:c>
      <x:c r="H553" s="45" t="n">
        <x:f>2*$B553</x:f>
        <x:v>6</x:v>
      </x:c>
      <x:c r="I553" s="45" t="n">
        <x:f>0</x:f>
        <x:v>0</x:v>
      </x:c>
      <x:c r="J553" s="45" t="n">
        <x:f>0</x:f>
        <x:v>0</x:v>
      </x:c>
      <x:c r="K553" s="45" t="n">
        <x:f>0</x:f>
        <x:v>0</x:v>
      </x:c>
      <x:c r="L553" s="45" t="n">
        <x:f>F553+I553</x:f>
        <x:v>0</x:v>
      </x:c>
      <x:c r="M553" s="45" t="n">
        <x:f>G553+J553</x:f>
        <x:v>4</x:v>
      </x:c>
      <x:c r="N553" s="45" t="n">
        <x:f>H553+K553</x:f>
        <x:v>6</x:v>
      </x:c>
      <x:c r="O553" s="45" t="n">
        <x:f>SUM(F553:H553)</x:f>
        <x:v>10</x:v>
      </x:c>
      <x:c r="P553" s="42" t="n">
        <x:f>IF(AND(F553&lt;=F569,F553&lt;=F521,F553&lt;=F537,G553&lt;=G561,G553&lt;=G549,G553&lt;=G557,H553&lt;=H550,H553&lt;=H552,H553&lt;=H551),1,0)</x:f>
        <x:v>0</x:v>
      </x:c>
      <x:c r="Q553" s="42" t="n">
        <x:f>IF(AND(L553&lt;=L569,L553&lt;=L521,L553&lt;=L537,M553&lt;=M561,M553&lt;=M549,M553&lt;=M557,N553&lt;=N550,N553&lt;=N552,N553&lt;=N551),1,0)</x:f>
        <x:v>0</x:v>
      </x:c>
      <x:c r="R553" s="42" t="n">
        <x:v>0</x:v>
      </x:c>
      <x:c r="S553" s="42" t="n">
        <x:v>0</x:v>
      </x:c>
    </x:row>
    <x:row r="554">
      <x:c r="A554" t="n">
        <x:v>9</x:v>
      </x:c>
      <x:c r="B554" t="n">
        <x:v>3</x:v>
      </x:c>
      <x:c r="C554" t="n">
        <x:v>1</x:v>
      </x:c>
      <x:c r="D554" t="n">
        <x:v>4</x:v>
      </x:c>
      <x:c r="E554" t="str">
        <x:v>ooe</x:v>
      </x:c>
      <x:c r="F554" s="45" t="n">
        <x:f>(1/2)*$C554+(1/2)*$D554</x:f>
        <x:v>2.5</x:v>
      </x:c>
      <x:c r="G554" s="45" t="n">
        <x:f>(1/2)*$C554+(1/2)*$D554</x:f>
        <x:v>2.5</x:v>
      </x:c>
      <x:c r="H554" s="45" t="n">
        <x:f>1*$B554</x:f>
        <x:v>3</x:v>
      </x:c>
      <x:c r="I554" s="45" t="n">
        <x:f>(1/2)*($C554+$D554)</x:f>
        <x:v>2.5</x:v>
      </x:c>
      <x:c r="J554" s="45" t="n">
        <x:f>(1/2)*($C554+$D554)</x:f>
        <x:v>2.5</x:v>
      </x:c>
      <x:c r="K554" s="45" t="n">
        <x:f>0</x:f>
        <x:v>0</x:v>
      </x:c>
      <x:c r="L554" s="45" t="n">
        <x:f>F554+I554</x:f>
        <x:v>5</x:v>
      </x:c>
      <x:c r="M554" s="45" t="n">
        <x:f>G554+J554</x:f>
        <x:v>5</x:v>
      </x:c>
      <x:c r="N554" s="45" t="n">
        <x:f>H554+K554</x:f>
        <x:v>3</x:v>
      </x:c>
      <x:c r="O554" s="45" t="n">
        <x:f>SUM(F554:H554)</x:f>
        <x:v>8</x:v>
      </x:c>
      <x:c r="P554" s="42" t="n">
        <x:f>IF(AND(F554&lt;=F570,F554&lt;=F522,F554&lt;=F538,G554&lt;=G558,G554&lt;=G546,G554&lt;=G550,H554&lt;=H557,H554&lt;=H556,H554&lt;=H555),1,0)</x:f>
        <x:v>0</x:v>
      </x:c>
      <x:c r="Q554" s="42" t="n">
        <x:f>IF(AND(L554&lt;=L570,L554&lt;=L522,L554&lt;=L538,M554&lt;=M558,M554&lt;=M546,M554&lt;=M550,N554&lt;=N557,N554&lt;=N556,N554&lt;=N555),1,0)</x:f>
        <x:v>0</x:v>
      </x:c>
      <x:c r="R554" s="42" t="n">
        <x:v>0</x:v>
      </x:c>
      <x:c r="S554" s="42" t="n">
        <x:v>0</x:v>
      </x:c>
    </x:row>
    <x:row r="555">
      <x:c r="A555" t="n">
        <x:v>9</x:v>
      </x:c>
      <x:c r="B555" t="n">
        <x:v>3</x:v>
      </x:c>
      <x:c r="C555" t="n">
        <x:v>1</x:v>
      </x:c>
      <x:c r="D555" t="n">
        <x:v>4</x:v>
      </x:c>
      <x:c r="E555" t="str">
        <x:v>ool</x:v>
      </x:c>
      <x:c r="F555" s="45" t="n">
        <x:f>(1/2)*$C555+(1/2)*$D555</x:f>
        <x:v>2.5</x:v>
      </x:c>
      <x:c r="G555" s="45" t="n">
        <x:f>(1/2)*$C555+(1/2)*$D555</x:f>
        <x:v>2.5</x:v>
      </x:c>
      <x:c r="H555" s="45" t="n">
        <x:f>1*$C555+2*$D555</x:f>
        <x:v>9</x:v>
      </x:c>
      <x:c r="I555" s="45" t="n">
        <x:f>(3/2)*($C555+$D555)</x:f>
        <x:v>7.5</x:v>
      </x:c>
      <x:c r="J555" s="45" t="n">
        <x:f>(3/2)*($C555+$D555)</x:f>
        <x:v>7.5</x:v>
      </x:c>
      <x:c r="K555" s="45" t="n">
        <x:f>0</x:f>
        <x:v>0</x:v>
      </x:c>
      <x:c r="L555" s="45" t="n">
        <x:f>F555+I555</x:f>
        <x:v>10</x:v>
      </x:c>
      <x:c r="M555" s="45" t="n">
        <x:f>G555+J555</x:f>
        <x:v>10</x:v>
      </x:c>
      <x:c r="N555" s="45" t="n">
        <x:f>H555+K555</x:f>
        <x:v>9</x:v>
      </x:c>
      <x:c r="O555" s="45" t="n">
        <x:f>SUM(F555:H555)</x:f>
        <x:v>14</x:v>
      </x:c>
      <x:c r="P555" s="42" t="n">
        <x:f>IF(AND(F555&lt;=F571,F555&lt;=F523,F555&lt;=F539,G555&lt;=G559,G555&lt;=G547,G555&lt;=G551,H555&lt;=H557,H555&lt;=H554,H555&lt;=H556),1,0)</x:f>
        <x:v>0</x:v>
      </x:c>
      <x:c r="Q555" s="42" t="n">
        <x:f>IF(AND(L555&lt;=L571,L555&lt;=L523,L555&lt;=L539,M555&lt;=M559,M555&lt;=M547,M555&lt;=M551,N555&lt;=N557,N555&lt;=N554,N555&lt;=N556),1,0)</x:f>
        <x:v>0</x:v>
      </x:c>
      <x:c r="R555" s="42" t="n">
        <x:v>0</x:v>
      </x:c>
      <x:c r="S555" s="42" t="n">
        <x:v>0</x:v>
      </x:c>
    </x:row>
    <x:row r="556">
      <x:c r="A556" t="n">
        <x:v>9</x:v>
      </x:c>
      <x:c r="B556" t="n">
        <x:v>3</x:v>
      </x:c>
      <x:c r="C556" t="n">
        <x:v>1</x:v>
      </x:c>
      <x:c r="D556" t="n">
        <x:v>4</x:v>
      </x:c>
      <x:c r="E556" t="str">
        <x:v>ooo</x:v>
      </x:c>
      <x:c r="F556" s="45" t="n">
        <x:f>1*$C556+1*$D556</x:f>
        <x:v>5</x:v>
      </x:c>
      <x:c r="G556" s="45" t="n">
        <x:f>1*$C556+1*$D556</x:f>
        <x:v>5</x:v>
      </x:c>
      <x:c r="H556" s="45" t="n">
        <x:f>1*$C556+1*$D556</x:f>
        <x:v>5</x:v>
      </x:c>
      <x:c r="I556" s="45" t="n">
        <x:f>$C556+$D556</x:f>
        <x:v>5</x:v>
      </x:c>
      <x:c r="J556" s="45" t="n">
        <x:f>$C556+$D556</x:f>
        <x:v>5</x:v>
      </x:c>
      <x:c r="K556" s="45" t="n">
        <x:f>$C556+$D556</x:f>
        <x:v>5</x:v>
      </x:c>
      <x:c r="L556" s="45" t="n">
        <x:f>F556+I556</x:f>
        <x:v>10</x:v>
      </x:c>
      <x:c r="M556" s="45" t="n">
        <x:f>G556+J556</x:f>
        <x:v>10</x:v>
      </x:c>
      <x:c r="N556" s="45" t="n">
        <x:f>H556+K556</x:f>
        <x:v>10</x:v>
      </x:c>
      <x:c r="O556" s="45" t="n">
        <x:f>SUM(F556:H556)</x:f>
        <x:v>15</x:v>
      </x:c>
      <x:c r="P556" s="42" t="n">
        <x:f>IF(AND(F556&lt;=F572,F556&lt;=F524,F556&lt;=F540,G556&lt;=G560,G556&lt;=G548,G556&lt;=G552,H556&lt;=H557,H556&lt;=H554,H556&lt;=H555),1,0)</x:f>
        <x:v>0</x:v>
      </x:c>
      <x:c r="Q556" s="42" t="n">
        <x:f>IF(AND(L556&lt;=L572,L556&lt;=L524,L556&lt;=L540,M556&lt;=M560,M556&lt;=M548,M556&lt;=M552,N556&lt;=N557,N556&lt;=N554,N556&lt;=N555),1,0)</x:f>
        <x:v>0</x:v>
      </x:c>
      <x:c r="R556" s="42" t="n">
        <x:v>0</x:v>
      </x:c>
      <x:c r="S556" s="42" t="n">
        <x:v>0</x:v>
      </x:c>
    </x:row>
    <x:row r="557">
      <x:c r="A557" t="n">
        <x:v>9</x:v>
      </x:c>
      <x:c r="B557" t="n">
        <x:v>3</x:v>
      </x:c>
      <x:c r="C557" t="n">
        <x:v>1</x:v>
      </x:c>
      <x:c r="D557" t="n">
        <x:v>4</x:v>
      </x:c>
      <x:c r="E557" t="str">
        <x:v>oov</x:v>
      </x:c>
      <x:c r="F557" s="45" t="n">
        <x:f>(1/2)*$C557+(1/2)*$D557</x:f>
        <x:v>2.5</x:v>
      </x:c>
      <x:c r="G557" s="45" t="n">
        <x:f>(1/2)*$C557+(1/2)*$D557</x:f>
        <x:v>2.5</x:v>
      </x:c>
      <x:c r="H557" s="45" t="n">
        <x:f>2*$B557</x:f>
        <x:v>6</x:v>
      </x:c>
      <x:c r="I557" s="45" t="n">
        <x:f>(1/2)*($C557+$D557)</x:f>
        <x:v>2.5</x:v>
      </x:c>
      <x:c r="J557" s="45" t="n">
        <x:f>(1/2)*($C557+$D557)</x:f>
        <x:v>2.5</x:v>
      </x:c>
      <x:c r="K557" s="45" t="n">
        <x:f>0</x:f>
        <x:v>0</x:v>
      </x:c>
      <x:c r="L557" s="45" t="n">
        <x:f>F557+I557</x:f>
        <x:v>5</x:v>
      </x:c>
      <x:c r="M557" s="45" t="n">
        <x:f>G557+J557</x:f>
        <x:v>5</x:v>
      </x:c>
      <x:c r="N557" s="45" t="n">
        <x:f>H557+K557</x:f>
        <x:v>6</x:v>
      </x:c>
      <x:c r="O557" s="45" t="n">
        <x:f>SUM(F557:H557)</x:f>
        <x:v>11</x:v>
      </x:c>
      <x:c r="P557" s="42" t="n">
        <x:f>IF(AND(F557&lt;=F573,F557&lt;=F525,F557&lt;=F541,G557&lt;=G561,G557&lt;=G549,G557&lt;=G553,H557&lt;=H554,H557&lt;=H556,H557&lt;=H555),1,0)</x:f>
        <x:v>0</x:v>
      </x:c>
      <x:c r="Q557" s="42" t="n">
        <x:f>IF(AND(L557&lt;=L573,L557&lt;=L525,L557&lt;=L541,M557&lt;=M561,M557&lt;=M549,M557&lt;=M553,N557&lt;=N554,N557&lt;=N556,N557&lt;=N555),1,0)</x:f>
        <x:v>0</x:v>
      </x:c>
      <x:c r="R557" s="42" t="n">
        <x:v>0</x:v>
      </x:c>
      <x:c r="S557" s="42" t="n">
        <x:v>0</x:v>
      </x:c>
    </x:row>
    <x:row r="558">
      <x:c r="A558" t="n">
        <x:v>9</x:v>
      </x:c>
      <x:c r="B558" t="n">
        <x:v>3</x:v>
      </x:c>
      <x:c r="C558" t="n">
        <x:v>1</x:v>
      </x:c>
      <x:c r="D558" t="n">
        <x:v>4</x:v>
      </x:c>
      <x:c r="E558" t="str">
        <x:v>ove</x:v>
      </x:c>
      <x:c r="F558" s="45" t="n">
        <x:f>0</x:f>
        <x:v>0</x:v>
      </x:c>
      <x:c r="G558" s="45" t="n">
        <x:f>2*$B558</x:f>
        <x:v>6</x:v>
      </x:c>
      <x:c r="H558" s="45" t="n">
        <x:f>1*$B558</x:f>
        <x:v>3</x:v>
      </x:c>
      <x:c r="I558" s="45" t="n">
        <x:f>0</x:f>
        <x:v>0</x:v>
      </x:c>
      <x:c r="J558" s="45" t="n">
        <x:f>0</x:f>
        <x:v>0</x:v>
      </x:c>
      <x:c r="K558" s="45" t="n">
        <x:f>0</x:f>
        <x:v>0</x:v>
      </x:c>
      <x:c r="L558" s="45" t="n">
        <x:f>F558+I558</x:f>
        <x:v>0</x:v>
      </x:c>
      <x:c r="M558" s="45" t="n">
        <x:f>G558+J558</x:f>
        <x:v>6</x:v>
      </x:c>
      <x:c r="N558" s="45" t="n">
        <x:f>H558+K558</x:f>
        <x:v>3</x:v>
      </x:c>
      <x:c r="O558" s="45" t="n">
        <x:f>SUM(F558:H558)</x:f>
        <x:v>9</x:v>
      </x:c>
      <x:c r="P558" s="42" t="n">
        <x:f>IF(AND(F558&lt;=F574,F558&lt;=F526,F558&lt;=F542,G558&lt;=G546,G558&lt;=G554,G558&lt;=G550,H558&lt;=H561,H558&lt;=H560,H558&lt;=H559),1,0)</x:f>
        <x:v>0</x:v>
      </x:c>
      <x:c r="Q558" s="42" t="n">
        <x:f>IF(AND(L558&lt;=L574,L558&lt;=L526,L558&lt;=L542,M558&lt;=M546,M558&lt;=M554,M558&lt;=M550,N558&lt;=N561,N558&lt;=N560,N558&lt;=N559),1,0)</x:f>
        <x:v>0</x:v>
      </x:c>
      <x:c r="R558" s="42" t="n">
        <x:v>0</x:v>
      </x:c>
      <x:c r="S558" s="42" t="n">
        <x:v>0</x:v>
      </x:c>
    </x:row>
    <x:row r="559">
      <x:c r="A559" t="n">
        <x:v>9</x:v>
      </x:c>
      <x:c r="B559" t="n">
        <x:v>3</x:v>
      </x:c>
      <x:c r="C559" t="n">
        <x:v>1</x:v>
      </x:c>
      <x:c r="D559" t="n">
        <x:v>4</x:v>
      </x:c>
      <x:c r="E559" t="str">
        <x:v>ovl</x:v>
      </x:c>
      <x:c r="F559" s="45" t="n">
        <x:f>0</x:f>
        <x:v>0</x:v>
      </x:c>
      <x:c r="G559" s="45" t="n">
        <x:f>2*$B559</x:f>
        <x:v>6</x:v>
      </x:c>
      <x:c r="H559" s="45" t="n">
        <x:f>1*$D559</x:f>
        <x:v>4</x:v>
      </x:c>
      <x:c r="I559" s="45" t="n">
        <x:f>0</x:f>
        <x:v>0</x:v>
      </x:c>
      <x:c r="J559" s="45" t="n">
        <x:f>0</x:f>
        <x:v>0</x:v>
      </x:c>
      <x:c r="K559" s="45" t="n">
        <x:f>0</x:f>
        <x:v>0</x:v>
      </x:c>
      <x:c r="L559" s="45" t="n">
        <x:f>F559+I559</x:f>
        <x:v>0</x:v>
      </x:c>
      <x:c r="M559" s="45" t="n">
        <x:f>G559+J559</x:f>
        <x:v>6</x:v>
      </x:c>
      <x:c r="N559" s="45" t="n">
        <x:f>H559+K559</x:f>
        <x:v>4</x:v>
      </x:c>
      <x:c r="O559" s="45" t="n">
        <x:f>SUM(F559:H559)</x:f>
        <x:v>10</x:v>
      </x:c>
      <x:c r="P559" s="42" t="n">
        <x:f>IF(AND(F559&lt;=F575,F559&lt;=F527,F559&lt;=F543,G559&lt;=G547,G559&lt;=G555,G559&lt;=G551,H559&lt;=H561,H559&lt;=H558,H559&lt;=H560),1,0)</x:f>
        <x:v>0</x:v>
      </x:c>
      <x:c r="Q559" s="42" t="n">
        <x:f>IF(AND(L559&lt;=L575,L559&lt;=L527,L559&lt;=L543,M559&lt;=M547,M559&lt;=M555,M559&lt;=M551,N559&lt;=N561,N559&lt;=N558,N559&lt;=N560),1,0)</x:f>
        <x:v>0</x:v>
      </x:c>
      <x:c r="R559" s="42" t="n">
        <x:v>0</x:v>
      </x:c>
      <x:c r="S559" s="42" t="n">
        <x:v>0</x:v>
      </x:c>
    </x:row>
    <x:row r="560">
      <x:c r="A560" t="n">
        <x:v>9</x:v>
      </x:c>
      <x:c r="B560" t="n">
        <x:v>3</x:v>
      </x:c>
      <x:c r="C560" t="n">
        <x:v>1</x:v>
      </x:c>
      <x:c r="D560" t="n">
        <x:v>4</x:v>
      </x:c>
      <x:c r="E560" t="str">
        <x:v>ovo</x:v>
      </x:c>
      <x:c r="F560" s="45" t="n">
        <x:f>(1/2)*$C560+(1/2)*$D560</x:f>
        <x:v>2.5</x:v>
      </x:c>
      <x:c r="G560" s="45" t="n">
        <x:f>2*$B560</x:f>
        <x:v>6</x:v>
      </x:c>
      <x:c r="H560" s="45" t="n">
        <x:f>(1/2)*$C560+(1/2)*$D560</x:f>
        <x:v>2.5</x:v>
      </x:c>
      <x:c r="I560" s="45" t="n">
        <x:f>(1/2)*($C560+$D560)</x:f>
        <x:v>2.5</x:v>
      </x:c>
      <x:c r="J560" s="45" t="n">
        <x:f>0</x:f>
        <x:v>0</x:v>
      </x:c>
      <x:c r="K560" s="45" t="n">
        <x:f>(1/2)*($C560+$D560)</x:f>
        <x:v>2.5</x:v>
      </x:c>
      <x:c r="L560" s="45" t="n">
        <x:f>F560+I560</x:f>
        <x:v>5</x:v>
      </x:c>
      <x:c r="M560" s="45" t="n">
        <x:f>G560+J560</x:f>
        <x:v>6</x:v>
      </x:c>
      <x:c r="N560" s="45" t="n">
        <x:f>H560+K560</x:f>
        <x:v>5</x:v>
      </x:c>
      <x:c r="O560" s="45" t="n">
        <x:f>SUM(F560:H560)</x:f>
        <x:v>11</x:v>
      </x:c>
      <x:c r="P560" s="42" t="n">
        <x:f>IF(AND(F560&lt;=F576,F560&lt;=F528,F560&lt;=F544,G560&lt;=G548,G560&lt;=G556,G560&lt;=G552,H560&lt;=H561,H560&lt;=H558,H560&lt;=H559),1,0)</x:f>
        <x:v>0</x:v>
      </x:c>
      <x:c r="Q560" s="42" t="n">
        <x:f>IF(AND(L560&lt;=L576,L560&lt;=L528,L560&lt;=L544,M560&lt;=M548,M560&lt;=M556,M560&lt;=M552,N560&lt;=N561,N560&lt;=N558,N560&lt;=N559),1,0)</x:f>
        <x:v>0</x:v>
      </x:c>
      <x:c r="R560" s="42" t="n">
        <x:v>0</x:v>
      </x:c>
      <x:c r="S560" s="42" t="n">
        <x:v>0</x:v>
      </x:c>
    </x:row>
    <x:row r="561">
      <x:c r="A561" t="n">
        <x:v>9</x:v>
      </x:c>
      <x:c r="B561" t="n">
        <x:v>3</x:v>
      </x:c>
      <x:c r="C561" t="n">
        <x:v>1</x:v>
      </x:c>
      <x:c r="D561" t="n">
        <x:v>4</x:v>
      </x:c>
      <x:c r="E561" t="str">
        <x:v>ovv</x:v>
      </x:c>
      <x:c r="F561" s="45" t="n">
        <x:f>0</x:f>
        <x:v>0</x:v>
      </x:c>
      <x:c r="G561" s="45" t="n">
        <x:f>(3/2)*$B561+(1/2)*$C561</x:f>
        <x:v>5</x:v>
      </x:c>
      <x:c r="H561" s="45" t="n">
        <x:f>(3/2)*$B561+(1/2)*$C561</x:f>
        <x:v>5</x:v>
      </x:c>
      <x:c r="I561" s="45" t="n">
        <x:f>0</x:f>
        <x:v>0</x:v>
      </x:c>
      <x:c r="J561" s="45" t="n">
        <x:f>MAX((1/2)*($C561-$B561),0)</x:f>
        <x:v>0</x:v>
      </x:c>
      <x:c r="K561" s="45" t="n">
        <x:f>MAX((1/2)*($C561-$B561),0)</x:f>
        <x:v>0</x:v>
      </x:c>
      <x:c r="L561" s="45" t="n">
        <x:f>F561+I561</x:f>
        <x:v>0</x:v>
      </x:c>
      <x:c r="M561" s="45" t="n">
        <x:f>G561+J561</x:f>
        <x:v>5</x:v>
      </x:c>
      <x:c r="N561" s="45" t="n">
        <x:f>H561+K561</x:f>
        <x:v>5</x:v>
      </x:c>
      <x:c r="O561" s="45" t="n">
        <x:f>SUM(F561:H561)</x:f>
        <x:v>10</x:v>
      </x:c>
      <x:c r="P561" s="42" t="n">
        <x:f>IF(AND(F561&lt;=F577,F561&lt;=F529,F561&lt;=F545,G561&lt;=G549,G561&lt;=G557,G561&lt;=G553,H561&lt;=H558,H561&lt;=H560,H561&lt;=H559),1,0)</x:f>
        <x:v>0</x:v>
      </x:c>
      <x:c r="Q561" s="42" t="n">
        <x:f>IF(AND(L561&lt;=L577,L561&lt;=L529,L561&lt;=L545,M561&lt;=M549,M561&lt;=M557,M561&lt;=M553,N561&lt;=N558,N561&lt;=N560,N561&lt;=N559),1,0)</x:f>
        <x:v>0</x:v>
      </x:c>
      <x:c r="R561" s="42" t="n">
        <x:v>0</x:v>
      </x:c>
      <x:c r="S561" s="42" t="n">
        <x:v>0</x:v>
      </x:c>
    </x:row>
    <x:row r="562">
      <x:c r="A562" t="n">
        <x:v>9</x:v>
      </x:c>
      <x:c r="B562" t="n">
        <x:v>3</x:v>
      </x:c>
      <x:c r="C562" t="n">
        <x:v>1</x:v>
      </x:c>
      <x:c r="D562" t="n">
        <x:v>4</x:v>
      </x:c>
      <x:c r="E562" t="str">
        <x:v>vee</x:v>
      </x:c>
      <x:c r="F562" s="45" t="n">
        <x:f>2*$B562</x:f>
        <x:v>6</x:v>
      </x:c>
      <x:c r="G562" s="45" t="n">
        <x:f>(1/2)*$B562+(1/2)*$C562</x:f>
        <x:v>2</x:v>
      </x:c>
      <x:c r="H562" s="45" t="n">
        <x:f>(1/2)*$B562+(1/2)*$C562</x:f>
        <x:v>2</x:v>
      </x:c>
      <x:c r="I562" s="45" t="n">
        <x:f>0</x:f>
        <x:v>0</x:v>
      </x:c>
      <x:c r="J562" s="45" t="n">
        <x:f>MAX((1/2)*($C562-$B562),0)</x:f>
        <x:v>0</x:v>
      </x:c>
      <x:c r="K562" s="45" t="n">
        <x:f>MAX((1/2)*($C562-$B562),0)</x:f>
        <x:v>0</x:v>
      </x:c>
      <x:c r="L562" s="45" t="n">
        <x:f>F562+I562</x:f>
        <x:v>6</x:v>
      </x:c>
      <x:c r="M562" s="45" t="n">
        <x:f>G562+J562</x:f>
        <x:v>2</x:v>
      </x:c>
      <x:c r="N562" s="45" t="n">
        <x:f>H562+K562</x:f>
        <x:v>2</x:v>
      </x:c>
      <x:c r="O562" s="45" t="n">
        <x:f>SUM(F562:H562)</x:f>
        <x:v>10</x:v>
      </x:c>
      <x:c r="P562" s="42" t="n">
        <x:f>IF(AND(F562&lt;=F514,F562&lt;=F546,F562&lt;=F530,G562&lt;=G574,G562&lt;=G570,G562&lt;=G566,H562&lt;=H565,H562&lt;=H564,H562&lt;=H563),1,0)</x:f>
        <x:v>0</x:v>
      </x:c>
      <x:c r="Q562" s="42" t="n">
        <x:f>IF(AND(L562&lt;=L514,L562&lt;=L546,L562&lt;=L530,M562&lt;=M574,M562&lt;=M570,M562&lt;=M566,N562&lt;=N565,N562&lt;=N564,N562&lt;=N563),1,0)</x:f>
        <x:v>0</x:v>
      </x:c>
      <x:c r="R562" s="42" t="n">
        <x:v>0</x:v>
      </x:c>
      <x:c r="S562" s="42" t="n">
        <x:v>0</x:v>
      </x:c>
    </x:row>
    <x:row r="563">
      <x:c r="A563" t="n">
        <x:v>9</x:v>
      </x:c>
      <x:c r="B563" t="n">
        <x:v>3</x:v>
      </x:c>
      <x:c r="C563" t="n">
        <x:v>1</x:v>
      </x:c>
      <x:c r="D563" t="n">
        <x:v>4</x:v>
      </x:c>
      <x:c r="E563" t="str">
        <x:v>vel</x:v>
      </x:c>
      <x:c r="F563" s="45" t="n">
        <x:f>2*$B563</x:f>
        <x:v>6</x:v>
      </x:c>
      <x:c r="G563" s="45" t="n">
        <x:f>1*$B563</x:f>
        <x:v>3</x:v>
      </x:c>
      <x:c r="H563" s="45" t="n">
        <x:f>1*$D563</x:f>
        <x:v>4</x:v>
      </x:c>
      <x:c r="I563" s="45" t="n">
        <x:f>0</x:f>
        <x:v>0</x:v>
      </x:c>
      <x:c r="J563" s="45" t="n">
        <x:f>0</x:f>
        <x:v>0</x:v>
      </x:c>
      <x:c r="K563" s="45" t="n">
        <x:f>0</x:f>
        <x:v>0</x:v>
      </x:c>
      <x:c r="L563" s="45" t="n">
        <x:f>F563+I563</x:f>
        <x:v>6</x:v>
      </x:c>
      <x:c r="M563" s="45" t="n">
        <x:f>G563+J563</x:f>
        <x:v>3</x:v>
      </x:c>
      <x:c r="N563" s="45" t="n">
        <x:f>H563+K563</x:f>
        <x:v>4</x:v>
      </x:c>
      <x:c r="O563" s="45" t="n">
        <x:f>SUM(F563:H563)</x:f>
        <x:v>13</x:v>
      </x:c>
      <x:c r="P563" s="42" t="n">
        <x:f>IF(AND(F563&lt;=F515,F563&lt;=F547,F563&lt;=F531,G563&lt;=G575,G563&lt;=G571,G563&lt;=G567,H563&lt;=H565,H563&lt;=H562,H563&lt;=H564),1,0)</x:f>
        <x:v>0</x:v>
      </x:c>
      <x:c r="Q563" s="42" t="n">
        <x:f>IF(AND(L563&lt;=L515,L563&lt;=L547,L563&lt;=L531,M563&lt;=M575,M563&lt;=M571,M563&lt;=M567,N563&lt;=N565,N563&lt;=N562,N563&lt;=N564),1,0)</x:f>
        <x:v>0</x:v>
      </x:c>
      <x:c r="R563" s="42" t="n">
        <x:v>0</x:v>
      </x:c>
      <x:c r="S563" s="42" t="n">
        <x:v>0</x:v>
      </x:c>
    </x:row>
    <x:row r="564">
      <x:c r="A564" t="n">
        <x:v>9</x:v>
      </x:c>
      <x:c r="B564" t="n">
        <x:v>3</x:v>
      </x:c>
      <x:c r="C564" t="n">
        <x:v>1</x:v>
      </x:c>
      <x:c r="D564" t="n">
        <x:v>4</x:v>
      </x:c>
      <x:c r="E564" t="str">
        <x:v>veo</x:v>
      </x:c>
      <x:c r="F564" s="45" t="n">
        <x:f>2*$B564</x:f>
        <x:v>6</x:v>
      </x:c>
      <x:c r="G564" s="45" t="n">
        <x:f>1*$B564</x:f>
        <x:v>3</x:v>
      </x:c>
      <x:c r="H564" s="45" t="n">
        <x:f>0</x:f>
        <x:v>0</x:v>
      </x:c>
      <x:c r="I564" s="45" t="n">
        <x:f>0</x:f>
        <x:v>0</x:v>
      </x:c>
      <x:c r="J564" s="45" t="n">
        <x:f>0</x:f>
        <x:v>0</x:v>
      </x:c>
      <x:c r="K564" s="45" t="n">
        <x:f>0</x:f>
        <x:v>0</x:v>
      </x:c>
      <x:c r="L564" s="45" t="n">
        <x:f>F564+I564</x:f>
        <x:v>6</x:v>
      </x:c>
      <x:c r="M564" s="45" t="n">
        <x:f>G564+J564</x:f>
        <x:v>3</x:v>
      </x:c>
      <x:c r="N564" s="45" t="n">
        <x:f>H564+K564</x:f>
        <x:v>0</x:v>
      </x:c>
      <x:c r="O564" s="45" t="n">
        <x:f>SUM(F564:H564)</x:f>
        <x:v>9</x:v>
      </x:c>
      <x:c r="P564" s="42" t="n">
        <x:f>IF(AND(F564&lt;=F516,F564&lt;=F548,F564&lt;=F532,G564&lt;=G576,G564&lt;=G572,G564&lt;=G568,H564&lt;=H565,H564&lt;=H562,H564&lt;=H563),1,0)</x:f>
        <x:v>0</x:v>
      </x:c>
      <x:c r="Q564" s="42" t="n">
        <x:f>IF(AND(L564&lt;=L516,L564&lt;=L548,L564&lt;=L532,M564&lt;=M576,M564&lt;=M572,M564&lt;=M568,N564&lt;=N565,N564&lt;=N562,N564&lt;=N563),1,0)</x:f>
        <x:v>0</x:v>
      </x:c>
      <x:c r="R564" s="42" t="n">
        <x:v>0</x:v>
      </x:c>
      <x:c r="S564" s="42" t="n">
        <x:v>0</x:v>
      </x:c>
    </x:row>
    <x:row r="565">
      <x:c r="A565" t="n">
        <x:v>9</x:v>
      </x:c>
      <x:c r="B565" t="n">
        <x:v>3</x:v>
      </x:c>
      <x:c r="C565" t="n">
        <x:v>1</x:v>
      </x:c>
      <x:c r="D565" t="n">
        <x:v>4</x:v>
      </x:c>
      <x:c r="E565" t="str">
        <x:v>vev</x:v>
      </x:c>
      <x:c r="F565" s="45" t="n">
        <x:f>(3/2)*$B565+(1/2)*$C565</x:f>
        <x:v>5</x:v>
      </x:c>
      <x:c r="G565" s="45" t="n">
        <x:f>1*$C565</x:f>
        <x:v>1</x:v>
      </x:c>
      <x:c r="H565" s="45" t="n">
        <x:f>(3/2)*$B565+(1/2)*$C565</x:f>
        <x:v>5</x:v>
      </x:c>
      <x:c r="I565" s="45" t="n">
        <x:f>MAX((3/2)*($C565-$B565),0)</x:f>
        <x:v>0</x:v>
      </x:c>
      <x:c r="J565" s="45" t="n">
        <x:f>0</x:f>
        <x:v>0</x:v>
      </x:c>
      <x:c r="K565" s="45" t="n">
        <x:f>MAX((3/2)*($C565-$B565),0)</x:f>
        <x:v>0</x:v>
      </x:c>
      <x:c r="L565" s="45" t="n">
        <x:f>F565+I565</x:f>
        <x:v>5</x:v>
      </x:c>
      <x:c r="M565" s="45" t="n">
        <x:f>G565+J565</x:f>
        <x:v>1</x:v>
      </x:c>
      <x:c r="N565" s="45" t="n">
        <x:f>H565+K565</x:f>
        <x:v>5</x:v>
      </x:c>
      <x:c r="O565" s="45" t="n">
        <x:f>SUM(F565:H565)</x:f>
        <x:v>11</x:v>
      </x:c>
      <x:c r="P565" s="42" t="n">
        <x:f>IF(AND(F565&lt;=F517,F565&lt;=F549,F565&lt;=F533,G565&lt;=G577,G565&lt;=G573,G565&lt;=G569,H565&lt;=H562,H565&lt;=H564,H565&lt;=H563),1,0)</x:f>
        <x:v>0</x:v>
      </x:c>
      <x:c r="Q565" s="42" t="n">
        <x:f>IF(AND(L565&lt;=L517,L565&lt;=L549,L565&lt;=L533,M565&lt;=M577,M565&lt;=M573,M565&lt;=M569,N565&lt;=N562,N565&lt;=N564,N565&lt;=N563),1,0)</x:f>
        <x:v>0</x:v>
      </x:c>
      <x:c r="R565" s="42" t="n">
        <x:v>0</x:v>
      </x:c>
      <x:c r="S565" s="42" t="n">
        <x:v>0</x:v>
      </x:c>
    </x:row>
    <x:row r="566">
      <x:c r="A566" t="n">
        <x:v>9</x:v>
      </x:c>
      <x:c r="B566" t="n">
        <x:v>3</x:v>
      </x:c>
      <x:c r="C566" t="n">
        <x:v>1</x:v>
      </x:c>
      <x:c r="D566" t="n">
        <x:v>4</x:v>
      </x:c>
      <x:c r="E566" t="str">
        <x:v>vle</x:v>
      </x:c>
      <x:c r="F566" s="45" t="n">
        <x:f>2*$B566</x:f>
        <x:v>6</x:v>
      </x:c>
      <x:c r="G566" s="45" t="n">
        <x:f>1*$D566</x:f>
        <x:v>4</x:v>
      </x:c>
      <x:c r="H566" s="45" t="n">
        <x:f>1*$B566</x:f>
        <x:v>3</x:v>
      </x:c>
      <x:c r="I566" s="45" t="n">
        <x:f>0</x:f>
        <x:v>0</x:v>
      </x:c>
      <x:c r="J566" s="45" t="n">
        <x:f>0</x:f>
        <x:v>0</x:v>
      </x:c>
      <x:c r="K566" s="45" t="n">
        <x:f>0</x:f>
        <x:v>0</x:v>
      </x:c>
      <x:c r="L566" s="45" t="n">
        <x:f>F566+I566</x:f>
        <x:v>6</x:v>
      </x:c>
      <x:c r="M566" s="45" t="n">
        <x:f>G566+J566</x:f>
        <x:v>4</x:v>
      </x:c>
      <x:c r="N566" s="45" t="n">
        <x:f>H566+K566</x:f>
        <x:v>3</x:v>
      </x:c>
      <x:c r="O566" s="45" t="n">
        <x:f>SUM(F566:H566)</x:f>
        <x:v>13</x:v>
      </x:c>
      <x:c r="P566" s="42" t="n">
        <x:f>IF(AND(F566&lt;=F518,F566&lt;=F550,F566&lt;=F534,G566&lt;=G574,G566&lt;=G562,G566&lt;=G570,H566&lt;=H569,H566&lt;=H568,H566&lt;=H567),1,0)</x:f>
        <x:v>0</x:v>
      </x:c>
      <x:c r="Q566" s="42" t="n">
        <x:f>IF(AND(L566&lt;=L518,L566&lt;=L550,L566&lt;=L534,M566&lt;=M574,M566&lt;=M562,M566&lt;=M570,N566&lt;=N569,N566&lt;=N568,N566&lt;=N567),1,0)</x:f>
        <x:v>0</x:v>
      </x:c>
      <x:c r="R566" s="42" t="n">
        <x:v>0</x:v>
      </x:c>
      <x:c r="S566" s="42" t="n">
        <x:v>0</x:v>
      </x:c>
    </x:row>
    <x:row r="567">
      <x:c r="A567" t="n">
        <x:v>9</x:v>
      </x:c>
      <x:c r="B567" t="n">
        <x:v>3</x:v>
      </x:c>
      <x:c r="C567" t="n">
        <x:v>1</x:v>
      </x:c>
      <x:c r="D567" t="n">
        <x:v>4</x:v>
      </x:c>
      <x:c r="E567" t="str">
        <x:v>vll</x:v>
      </x:c>
      <x:c r="F567" s="45" t="n">
        <x:f>2*$B567</x:f>
        <x:v>6</x:v>
      </x:c>
      <x:c r="G567" s="45" t="n">
        <x:f>(1/2)*$C567+(3/2)*$D567</x:f>
        <x:v>6.5</x:v>
      </x:c>
      <x:c r="H567" s="45" t="n">
        <x:f>(1/2)*$C567+(3/2)*$D567</x:f>
        <x:v>6.5</x:v>
      </x:c>
      <x:c r="I567" s="45" t="n">
        <x:f>0</x:f>
        <x:v>0</x:v>
      </x:c>
      <x:c r="J567" s="45" t="n">
        <x:f>(1/2)*($C567+$D567)</x:f>
        <x:v>2.5</x:v>
      </x:c>
      <x:c r="K567" s="45" t="n">
        <x:f>(1/2)*($C567+$D567)</x:f>
        <x:v>2.5</x:v>
      </x:c>
      <x:c r="L567" s="45" t="n">
        <x:f>F567+I567</x:f>
        <x:v>6</x:v>
      </x:c>
      <x:c r="M567" s="45" t="n">
        <x:f>G567+J567</x:f>
        <x:v>9</x:v>
      </x:c>
      <x:c r="N567" s="45" t="n">
        <x:f>H567+K567</x:f>
        <x:v>9</x:v>
      </x:c>
      <x:c r="O567" s="45" t="n">
        <x:f>SUM(F567:H567)</x:f>
        <x:v>19</x:v>
      </x:c>
      <x:c r="P567" s="42" t="n">
        <x:f>IF(AND(F567&lt;=F519,F567&lt;=F551,F567&lt;=F535,G567&lt;=G575,G567&lt;=G563,G567&lt;=G571,H567&lt;=H569,H567&lt;=H566,H567&lt;=H568),1,0)</x:f>
        <x:v>0</x:v>
      </x:c>
      <x:c r="Q567" s="42" t="n">
        <x:f>IF(AND(L567&lt;=L519,L567&lt;=L551,L567&lt;=L535,M567&lt;=M575,M567&lt;=M563,M567&lt;=M571,N567&lt;=N569,N567&lt;=N566,N567&lt;=N568),1,0)</x:f>
        <x:v>0</x:v>
      </x:c>
      <x:c r="R567" s="42" t="n">
        <x:v>0</x:v>
      </x:c>
      <x:c r="S567" s="42" t="n">
        <x:v>0</x:v>
      </x:c>
    </x:row>
    <x:row r="568">
      <x:c r="A568" t="n">
        <x:v>9</x:v>
      </x:c>
      <x:c r="B568" t="n">
        <x:v>3</x:v>
      </x:c>
      <x:c r="C568" t="n">
        <x:v>1</x:v>
      </x:c>
      <x:c r="D568" t="n">
        <x:v>4</x:v>
      </x:c>
      <x:c r="E568" t="str">
        <x:v>vlo</x:v>
      </x:c>
      <x:c r="F568" s="45" t="n">
        <x:f>2*$B568</x:f>
        <x:v>6</x:v>
      </x:c>
      <x:c r="G568" s="45" t="n">
        <x:f>1*$D568</x:f>
        <x:v>4</x:v>
      </x:c>
      <x:c r="H568" s="45" t="n">
        <x:f>0</x:f>
        <x:v>0</x:v>
      </x:c>
      <x:c r="I568" s="45" t="n">
        <x:f>0</x:f>
        <x:v>0</x:v>
      </x:c>
      <x:c r="J568" s="45" t="n">
        <x:f>0</x:f>
        <x:v>0</x:v>
      </x:c>
      <x:c r="K568" s="45" t="n">
        <x:f>0</x:f>
        <x:v>0</x:v>
      </x:c>
      <x:c r="L568" s="45" t="n">
        <x:f>F568+I568</x:f>
        <x:v>6</x:v>
      </x:c>
      <x:c r="M568" s="45" t="n">
        <x:f>G568+J568</x:f>
        <x:v>4</x:v>
      </x:c>
      <x:c r="N568" s="45" t="n">
        <x:f>H568+K568</x:f>
        <x:v>0</x:v>
      </x:c>
      <x:c r="O568" s="45" t="n">
        <x:f>SUM(F568:H568)</x:f>
        <x:v>10</x:v>
      </x:c>
      <x:c r="P568" s="42" t="n">
        <x:f>IF(AND(F568&lt;=F520,F568&lt;=F552,F568&lt;=F536,G568&lt;=G576,G568&lt;=G564,G568&lt;=G572,H568&lt;=H569,H568&lt;=H566,H568&lt;=H567),1,0)</x:f>
        <x:v>0</x:v>
      </x:c>
      <x:c r="Q568" s="42" t="n">
        <x:f>IF(AND(L568&lt;=L520,L568&lt;=L552,L568&lt;=L536,M568&lt;=M576,M568&lt;=M564,M568&lt;=M572,N568&lt;=N569,N568&lt;=N566,N568&lt;=N567),1,0)</x:f>
        <x:v>0</x:v>
      </x:c>
      <x:c r="R568" s="42" t="n">
        <x:v>0</x:v>
      </x:c>
      <x:c r="S568" s="42" t="n">
        <x:v>0</x:v>
      </x:c>
    </x:row>
    <x:row r="569">
      <x:c r="A569" t="n">
        <x:v>9</x:v>
      </x:c>
      <x:c r="B569" t="n">
        <x:v>3</x:v>
      </x:c>
      <x:c r="C569" t="n">
        <x:v>1</x:v>
      </x:c>
      <x:c r="D569" t="n">
        <x:v>4</x:v>
      </x:c>
      <x:c r="E569" t="str">
        <x:v>vlv</x:v>
      </x:c>
      <x:c r="F569" s="45" t="n">
        <x:f>(3/2)*$B569+(1/2)*$C569</x:f>
        <x:v>5</x:v>
      </x:c>
      <x:c r="G569" s="45" t="n">
        <x:f>1*$D569</x:f>
        <x:v>4</x:v>
      </x:c>
      <x:c r="H569" s="45" t="n">
        <x:f>(3/2)*$B569+(1/2)*$C569</x:f>
        <x:v>5</x:v>
      </x:c>
      <x:c r="I569" s="45" t="n">
        <x:f>MAX((1/2)*($C569-$B569),0)</x:f>
        <x:v>0</x:v>
      </x:c>
      <x:c r="J569" s="45" t="n">
        <x:f>0</x:f>
        <x:v>0</x:v>
      </x:c>
      <x:c r="K569" s="45" t="n">
        <x:f>MAX((1/2)*($C569-$B569),0)</x:f>
        <x:v>0</x:v>
      </x:c>
      <x:c r="L569" s="45" t="n">
        <x:f>F569+I569</x:f>
        <x:v>5</x:v>
      </x:c>
      <x:c r="M569" s="45" t="n">
        <x:f>G569+J569</x:f>
        <x:v>4</x:v>
      </x:c>
      <x:c r="N569" s="45" t="n">
        <x:f>H569+K569</x:f>
        <x:v>5</x:v>
      </x:c>
      <x:c r="O569" s="45" t="n">
        <x:f>SUM(F569:H569)</x:f>
        <x:v>14</x:v>
      </x:c>
      <x:c r="P569" s="42" t="n">
        <x:f>IF(AND(F569&lt;=F521,F569&lt;=F553,F569&lt;=F537,G569&lt;=G577,G569&lt;=G565,G569&lt;=G573,H569&lt;=H566,H569&lt;=H568,H569&lt;=H567),1,0)</x:f>
        <x:v>0</x:v>
      </x:c>
      <x:c r="Q569" s="42" t="n">
        <x:f>IF(AND(L569&lt;=L521,L569&lt;=L553,L569&lt;=L537,M569&lt;=M577,M569&lt;=M565,M569&lt;=M573,N569&lt;=N566,N569&lt;=N568,N569&lt;=N567),1,0)</x:f>
        <x:v>0</x:v>
      </x:c>
      <x:c r="R569" s="42" t="n">
        <x:v>0</x:v>
      </x:c>
      <x:c r="S569" s="42" t="n">
        <x:v>0</x:v>
      </x:c>
    </x:row>
    <x:row r="570">
      <x:c r="A570" t="n">
        <x:v>9</x:v>
      </x:c>
      <x:c r="B570" t="n">
        <x:v>3</x:v>
      </x:c>
      <x:c r="C570" t="n">
        <x:v>1</x:v>
      </x:c>
      <x:c r="D570" t="n">
        <x:v>4</x:v>
      </x:c>
      <x:c r="E570" t="str">
        <x:v>voe</x:v>
      </x:c>
      <x:c r="F570" s="45" t="n">
        <x:f>2*$B570</x:f>
        <x:v>6</x:v>
      </x:c>
      <x:c r="G570" s="45" t="n">
        <x:f>0</x:f>
        <x:v>0</x:v>
      </x:c>
      <x:c r="H570" s="45" t="n">
        <x:f>1*$B570</x:f>
        <x:v>3</x:v>
      </x:c>
      <x:c r="I570" s="45" t="n">
        <x:f>0</x:f>
        <x:v>0</x:v>
      </x:c>
      <x:c r="J570" s="45" t="n">
        <x:f>0</x:f>
        <x:v>0</x:v>
      </x:c>
      <x:c r="K570" s="45" t="n">
        <x:f>0</x:f>
        <x:v>0</x:v>
      </x:c>
      <x:c r="L570" s="45" t="n">
        <x:f>F570+I570</x:f>
        <x:v>6</x:v>
      </x:c>
      <x:c r="M570" s="45" t="n">
        <x:f>G570+J570</x:f>
        <x:v>0</x:v>
      </x:c>
      <x:c r="N570" s="45" t="n">
        <x:f>H570+K570</x:f>
        <x:v>3</x:v>
      </x:c>
      <x:c r="O570" s="45" t="n">
        <x:f>SUM(F570:H570)</x:f>
        <x:v>9</x:v>
      </x:c>
      <x:c r="P570" s="42" t="n">
        <x:f>IF(AND(F570&lt;=F522,F570&lt;=F554,F570&lt;=F538,G570&lt;=G574,G570&lt;=G562,G570&lt;=G566,H570&lt;=H573,H570&lt;=H572,H570&lt;=H571),1,0)</x:f>
        <x:v>0</x:v>
      </x:c>
      <x:c r="Q570" s="42" t="n">
        <x:f>IF(AND(L570&lt;=L522,L570&lt;=L554,L570&lt;=L538,M570&lt;=M574,M570&lt;=M562,M570&lt;=M566,N570&lt;=N573,N570&lt;=N572,N570&lt;=N571),1,0)</x:f>
        <x:v>0</x:v>
      </x:c>
      <x:c r="R570" s="42" t="n">
        <x:v>0</x:v>
      </x:c>
      <x:c r="S570" s="42" t="n">
        <x:v>0</x:v>
      </x:c>
    </x:row>
    <x:row r="571">
      <x:c r="A571" t="n">
        <x:v>9</x:v>
      </x:c>
      <x:c r="B571" t="n">
        <x:v>3</x:v>
      </x:c>
      <x:c r="C571" t="n">
        <x:v>1</x:v>
      </x:c>
      <x:c r="D571" t="n">
        <x:v>4</x:v>
      </x:c>
      <x:c r="E571" t="str">
        <x:v>vol</x:v>
      </x:c>
      <x:c r="F571" s="45" t="n">
        <x:f>2*$B571</x:f>
        <x:v>6</x:v>
      </x:c>
      <x:c r="G571" s="45" t="n">
        <x:f>0</x:f>
        <x:v>0</x:v>
      </x:c>
      <x:c r="H571" s="45" t="n">
        <x:f>1*$D571</x:f>
        <x:v>4</x:v>
      </x:c>
      <x:c r="I571" s="45" t="n">
        <x:f>0</x:f>
        <x:v>0</x:v>
      </x:c>
      <x:c r="J571" s="45" t="n">
        <x:f>0</x:f>
        <x:v>0</x:v>
      </x:c>
      <x:c r="K571" s="45" t="n">
        <x:f>0</x:f>
        <x:v>0</x:v>
      </x:c>
      <x:c r="L571" s="45" t="n">
        <x:f>F571+I571</x:f>
        <x:v>6</x:v>
      </x:c>
      <x:c r="M571" s="45" t="n">
        <x:f>G571+J571</x:f>
        <x:v>0</x:v>
      </x:c>
      <x:c r="N571" s="45" t="n">
        <x:f>H571+K571</x:f>
        <x:v>4</x:v>
      </x:c>
      <x:c r="O571" s="45" t="n">
        <x:f>SUM(F571:H571)</x:f>
        <x:v>10</x:v>
      </x:c>
      <x:c r="P571" s="42" t="n">
        <x:f>IF(AND(F571&lt;=F523,F571&lt;=F555,F571&lt;=F539,G571&lt;=G575,G571&lt;=G563,G571&lt;=G567,H571&lt;=H573,H571&lt;=H570,H571&lt;=H572),1,0)</x:f>
        <x:v>0</x:v>
      </x:c>
      <x:c r="Q571" s="42" t="n">
        <x:f>IF(AND(L571&lt;=L523,L571&lt;=L555,L571&lt;=L539,M571&lt;=M575,M571&lt;=M563,M571&lt;=M567,N571&lt;=N573,N571&lt;=N570,N571&lt;=N572),1,0)</x:f>
        <x:v>0</x:v>
      </x:c>
      <x:c r="R571" s="42" t="n">
        <x:v>0</x:v>
      </x:c>
      <x:c r="S571" s="42" t="n">
        <x:v>0</x:v>
      </x:c>
    </x:row>
    <x:row r="572">
      <x:c r="A572" t="n">
        <x:v>9</x:v>
      </x:c>
      <x:c r="B572" t="n">
        <x:v>3</x:v>
      </x:c>
      <x:c r="C572" t="n">
        <x:v>1</x:v>
      </x:c>
      <x:c r="D572" t="n">
        <x:v>4</x:v>
      </x:c>
      <x:c r="E572" t="str">
        <x:v>voo</x:v>
      </x:c>
      <x:c r="F572" s="45" t="n">
        <x:f>2*$B572</x:f>
        <x:v>6</x:v>
      </x:c>
      <x:c r="G572" s="45" t="n">
        <x:f>(1/2)*$C572+(1/2)*$D572</x:f>
        <x:v>2.5</x:v>
      </x:c>
      <x:c r="H572" s="45" t="n">
        <x:f>(1/2)*$C572+(1/2)*$D572</x:f>
        <x:v>2.5</x:v>
      </x:c>
      <x:c r="I572" s="45" t="n">
        <x:f>0</x:f>
        <x:v>0</x:v>
      </x:c>
      <x:c r="J572" s="45" t="n">
        <x:f>(1/2)*($C572+$D572)</x:f>
        <x:v>2.5</x:v>
      </x:c>
      <x:c r="K572" s="45" t="n">
        <x:f>(1/2)*($C572+$D572)</x:f>
        <x:v>2.5</x:v>
      </x:c>
      <x:c r="L572" s="45" t="n">
        <x:f>F572+I572</x:f>
        <x:v>6</x:v>
      </x:c>
      <x:c r="M572" s="45" t="n">
        <x:f>G572+J572</x:f>
        <x:v>5</x:v>
      </x:c>
      <x:c r="N572" s="45" t="n">
        <x:f>H572+K572</x:f>
        <x:v>5</x:v>
      </x:c>
      <x:c r="O572" s="45" t="n">
        <x:f>SUM(F572:H572)</x:f>
        <x:v>11</x:v>
      </x:c>
      <x:c r="P572" s="42" t="n">
        <x:f>IF(AND(F572&lt;=F524,F572&lt;=F556,F572&lt;=F540,G572&lt;=G576,G572&lt;=G564,G572&lt;=G568,H572&lt;=H573,H572&lt;=H570,H572&lt;=H571),1,0)</x:f>
        <x:v>0</x:v>
      </x:c>
      <x:c r="Q572" s="42" t="n">
        <x:f>IF(AND(L572&lt;=L524,L572&lt;=L556,L572&lt;=L540,M572&lt;=M576,M572&lt;=M564,M572&lt;=M568,N572&lt;=N573,N572&lt;=N570,N572&lt;=N571),1,0)</x:f>
        <x:v>0</x:v>
      </x:c>
      <x:c r="R572" s="42" t="n">
        <x:v>0</x:v>
      </x:c>
      <x:c r="S572" s="42" t="n">
        <x:v>0</x:v>
      </x:c>
    </x:row>
    <x:row r="573">
      <x:c r="A573" t="n">
        <x:v>9</x:v>
      </x:c>
      <x:c r="B573" t="n">
        <x:v>3</x:v>
      </x:c>
      <x:c r="C573" t="n">
        <x:v>1</x:v>
      </x:c>
      <x:c r="D573" t="n">
        <x:v>4</x:v>
      </x:c>
      <x:c r="E573" t="str">
        <x:v>vov</x:v>
      </x:c>
      <x:c r="F573" s="45" t="n">
        <x:f>(3/2)*$B573+(1/2)*$C573</x:f>
        <x:v>5</x:v>
      </x:c>
      <x:c r="G573" s="45" t="n">
        <x:f>0</x:f>
        <x:v>0</x:v>
      </x:c>
      <x:c r="H573" s="45" t="n">
        <x:f>(3/2)*$B573+(1/2)*$C573</x:f>
        <x:v>5</x:v>
      </x:c>
      <x:c r="I573" s="45" t="n">
        <x:f>MAX((1/2)*($C573-$B573),0)</x:f>
        <x:v>0</x:v>
      </x:c>
      <x:c r="J573" s="45" t="n">
        <x:f>0</x:f>
        <x:v>0</x:v>
      </x:c>
      <x:c r="K573" s="45" t="n">
        <x:f>MAX((1/2)*($C573-$B573),0)</x:f>
        <x:v>0</x:v>
      </x:c>
      <x:c r="L573" s="45" t="n">
        <x:f>F573+I573</x:f>
        <x:v>5</x:v>
      </x:c>
      <x:c r="M573" s="45" t="n">
        <x:f>G573+J573</x:f>
        <x:v>0</x:v>
      </x:c>
      <x:c r="N573" s="45" t="n">
        <x:f>H573+K573</x:f>
        <x:v>5</x:v>
      </x:c>
      <x:c r="O573" s="45" t="n">
        <x:f>SUM(F573:H573)</x:f>
        <x:v>10</x:v>
      </x:c>
      <x:c r="P573" s="42" t="n">
        <x:f>IF(AND(F573&lt;=F525,F573&lt;=F557,F573&lt;=F541,G573&lt;=G577,G573&lt;=G565,G573&lt;=G569,H573&lt;=H570,H573&lt;=H572,H573&lt;=H571),1,0)</x:f>
        <x:v>0</x:v>
      </x:c>
      <x:c r="Q573" s="42" t="n">
        <x:f>IF(AND(L573&lt;=L525,L573&lt;=L557,L573&lt;=L541,M573&lt;=M577,M573&lt;=M565,M573&lt;=M569,N573&lt;=N570,N573&lt;=N572,N573&lt;=N571),1,0)</x:f>
        <x:v>0</x:v>
      </x:c>
      <x:c r="R573" s="42" t="n">
        <x:v>0</x:v>
      </x:c>
      <x:c r="S573" s="42" t="n">
        <x:v>0</x:v>
      </x:c>
    </x:row>
    <x:row r="574">
      <x:c r="A574" t="n">
        <x:v>9</x:v>
      </x:c>
      <x:c r="B574" t="n">
        <x:v>3</x:v>
      </x:c>
      <x:c r="C574" t="n">
        <x:v>1</x:v>
      </x:c>
      <x:c r="D574" t="n">
        <x:v>4</x:v>
      </x:c>
      <x:c r="E574" t="str">
        <x:v>vve</x:v>
      </x:c>
      <x:c r="F574" s="45" t="n">
        <x:f>(3/2)*$B574+(1/2)*$C574</x:f>
        <x:v>5</x:v>
      </x:c>
      <x:c r="G574" s="45" t="n">
        <x:f>(3/2)*$B574+(1/2)*$C574</x:f>
        <x:v>5</x:v>
      </x:c>
      <x:c r="H574" s="45" t="n">
        <x:f>1*$C574</x:f>
        <x:v>1</x:v>
      </x:c>
      <x:c r="I574" s="45" t="n">
        <x:f>MAX((3/2)*($C574-$B574),0)</x:f>
        <x:v>0</x:v>
      </x:c>
      <x:c r="J574" s="45" t="n">
        <x:f>MAX((3/2)*($C574-$B574),0)</x:f>
        <x:v>0</x:v>
      </x:c>
      <x:c r="K574" s="45" t="n">
        <x:f>0</x:f>
        <x:v>0</x:v>
      </x:c>
      <x:c r="L574" s="45" t="n">
        <x:f>F574+I574</x:f>
        <x:v>5</x:v>
      </x:c>
      <x:c r="M574" s="45" t="n">
        <x:f>G574+J574</x:f>
        <x:v>5</x:v>
      </x:c>
      <x:c r="N574" s="45" t="n">
        <x:f>H574+K574</x:f>
        <x:v>1</x:v>
      </x:c>
      <x:c r="O574" s="45" t="n">
        <x:f>SUM(F574:H574)</x:f>
        <x:v>11</x:v>
      </x:c>
      <x:c r="P574" s="42" t="n">
        <x:f>IF(AND(F574&lt;=F526,F574&lt;=F558,F574&lt;=F542,G574&lt;=G562,G574&lt;=G570,G574&lt;=G566,H574&lt;=H577,H574&lt;=H576,H574&lt;=H575),1,0)</x:f>
        <x:v>0</x:v>
      </x:c>
      <x:c r="Q574" s="42" t="n">
        <x:f>IF(AND(L574&lt;=L526,L574&lt;=L558,L574&lt;=L542,M574&lt;=M562,M574&lt;=M570,M574&lt;=M566,N574&lt;=N577,N574&lt;=N576,N574&lt;=N575),1,0)</x:f>
        <x:v>0</x:v>
      </x:c>
      <x:c r="R574" s="42" t="n">
        <x:v>0</x:v>
      </x:c>
      <x:c r="S574" s="42" t="n">
        <x:v>0</x:v>
      </x:c>
    </x:row>
    <x:row r="575">
      <x:c r="A575" t="n">
        <x:v>9</x:v>
      </x:c>
      <x:c r="B575" t="n">
        <x:v>3</x:v>
      </x:c>
      <x:c r="C575" t="n">
        <x:v>1</x:v>
      </x:c>
      <x:c r="D575" t="n">
        <x:v>4</x:v>
      </x:c>
      <x:c r="E575" t="str">
        <x:v>vvl</x:v>
      </x:c>
      <x:c r="F575" s="45" t="n">
        <x:f>(3/2)*$B575+(1/2)*$C575</x:f>
        <x:v>5</x:v>
      </x:c>
      <x:c r="G575" s="45" t="n">
        <x:f>(3/2)*$B575+(1/2)*$C575</x:f>
        <x:v>5</x:v>
      </x:c>
      <x:c r="H575" s="45" t="n">
        <x:f>1*$D575</x:f>
        <x:v>4</x:v>
      </x:c>
      <x:c r="I575" s="45" t="n">
        <x:f>MAX((1/2)*($C575-$B575),0)</x:f>
        <x:v>0</x:v>
      </x:c>
      <x:c r="J575" s="45" t="n">
        <x:f>MAX((1/2)*($C575-$B575),0)</x:f>
        <x:v>0</x:v>
      </x:c>
      <x:c r="K575" s="45" t="n">
        <x:f>0</x:f>
        <x:v>0</x:v>
      </x:c>
      <x:c r="L575" s="45" t="n">
        <x:f>F575+I575</x:f>
        <x:v>5</x:v>
      </x:c>
      <x:c r="M575" s="45" t="n">
        <x:f>G575+J575</x:f>
        <x:v>5</x:v>
      </x:c>
      <x:c r="N575" s="45" t="n">
        <x:f>H575+K575</x:f>
        <x:v>4</x:v>
      </x:c>
      <x:c r="O575" s="45" t="n">
        <x:f>SUM(F575:H575)</x:f>
        <x:v>14</x:v>
      </x:c>
      <x:c r="P575" s="42" t="n">
        <x:f>IF(AND(F575&lt;=F527,F575&lt;=F559,F575&lt;=F543,G575&lt;=G563,G575&lt;=G571,G575&lt;=G567,H575&lt;=H577,H575&lt;=H574,H575&lt;=H576),1,0)</x:f>
        <x:v>0</x:v>
      </x:c>
      <x:c r="Q575" s="42" t="n">
        <x:f>IF(AND(L575&lt;=L527,L575&lt;=L559,L575&lt;=L543,M575&lt;=M563,M575&lt;=M571,M575&lt;=M567,N575&lt;=N577,N575&lt;=N574,N575&lt;=N576),1,0)</x:f>
        <x:v>0</x:v>
      </x:c>
      <x:c r="R575" s="42" t="n">
        <x:v>0</x:v>
      </x:c>
      <x:c r="S575" s="42" t="n">
        <x:v>0</x:v>
      </x:c>
    </x:row>
    <x:row r="576">
      <x:c r="A576" t="n">
        <x:v>9</x:v>
      </x:c>
      <x:c r="B576" t="n">
        <x:v>3</x:v>
      </x:c>
      <x:c r="C576" t="n">
        <x:v>1</x:v>
      </x:c>
      <x:c r="D576" t="n">
        <x:v>4</x:v>
      </x:c>
      <x:c r="E576" t="str">
        <x:v>vvo</x:v>
      </x:c>
      <x:c r="F576" s="45" t="n">
        <x:f>(3/2)*$B576+(1/2)*$C576</x:f>
        <x:v>5</x:v>
      </x:c>
      <x:c r="G576" s="45" t="n">
        <x:f>(3/2)*$B576+(1/2)*$C576</x:f>
        <x:v>5</x:v>
      </x:c>
      <x:c r="H576" s="45" t="n">
        <x:f>0</x:f>
        <x:v>0</x:v>
      </x:c>
      <x:c r="I576" s="45" t="n">
        <x:f>MAX((1/2)*($C576-$B576),0)</x:f>
        <x:v>0</x:v>
      </x:c>
      <x:c r="J576" s="45" t="n">
        <x:f>MAX((1/2)*($C576-$B576),0)</x:f>
        <x:v>0</x:v>
      </x:c>
      <x:c r="K576" s="45" t="n">
        <x:f>0</x:f>
        <x:v>0</x:v>
      </x:c>
      <x:c r="L576" s="45" t="n">
        <x:f>F576+I576</x:f>
        <x:v>5</x:v>
      </x:c>
      <x:c r="M576" s="45" t="n">
        <x:f>G576+J576</x:f>
        <x:v>5</x:v>
      </x:c>
      <x:c r="N576" s="45" t="n">
        <x:f>H576+K576</x:f>
        <x:v>0</x:v>
      </x:c>
      <x:c r="O576" s="45" t="n">
        <x:f>SUM(F576:H576)</x:f>
        <x:v>10</x:v>
      </x:c>
      <x:c r="P576" s="42" t="n">
        <x:f>IF(AND(F576&lt;=F528,F576&lt;=F560,F576&lt;=F544,G576&lt;=G564,G576&lt;=G572,G576&lt;=G568,H576&lt;=H577,H576&lt;=H574,H576&lt;=H575),1,0)</x:f>
        <x:v>0</x:v>
      </x:c>
      <x:c r="Q576" s="42" t="n">
        <x:f>IF(AND(L576&lt;=L528,L576&lt;=L560,L576&lt;=L544,M576&lt;=M564,M576&lt;=M572,M576&lt;=M568,N576&lt;=N577,N576&lt;=N574,N576&lt;=N575),1,0)</x:f>
        <x:v>0</x:v>
      </x:c>
      <x:c r="R576" s="42" t="n">
        <x:v>0</x:v>
      </x:c>
      <x:c r="S576" s="42" t="n">
        <x:v>0</x:v>
      </x:c>
    </x:row>
    <x:row r="577">
      <x:c r="A577" t="n">
        <x:v>9</x:v>
      </x:c>
      <x:c r="B577" t="n">
        <x:v>3</x:v>
      </x:c>
      <x:c r="C577" t="n">
        <x:v>1</x:v>
      </x:c>
      <x:c r="D577" t="n">
        <x:v>4</x:v>
      </x:c>
      <x:c r="E577" t="str">
        <x:v>vvv</x:v>
      </x:c>
      <x:c r="F577" s="45" t="n">
        <x:f>1*$B577+1*$C577</x:f>
        <x:v>4</x:v>
      </x:c>
      <x:c r="G577" s="45" t="n">
        <x:f>1*$B577+1*$C577</x:f>
        <x:v>4</x:v>
      </x:c>
      <x:c r="H577" s="45" t="n">
        <x:f>1*$B577+1*$C577</x:f>
        <x:v>4</x:v>
      </x:c>
      <x:c r="I577" s="45" t="n">
        <x:f>MAX($C577-$B577,0)</x:f>
        <x:v>0</x:v>
      </x:c>
      <x:c r="J577" s="45" t="n">
        <x:f>MAX($C577-$B577,0)</x:f>
        <x:v>0</x:v>
      </x:c>
      <x:c r="K577" s="45" t="n">
        <x:f>MAX($C577-$B577,0)</x:f>
        <x:v>0</x:v>
      </x:c>
      <x:c r="L577" s="45" t="n">
        <x:f>F577+I577</x:f>
        <x:v>4</x:v>
      </x:c>
      <x:c r="M577" s="45" t="n">
        <x:f>G577+J577</x:f>
        <x:v>4</x:v>
      </x:c>
      <x:c r="N577" s="45" t="n">
        <x:f>H577+K577</x:f>
        <x:v>4</x:v>
      </x:c>
      <x:c r="O577" s="45" t="n">
        <x:f>SUM(F577:H577)</x:f>
        <x:v>12</x:v>
      </x:c>
      <x:c r="P577" s="42" t="n">
        <x:f>IF(AND(F577&lt;=F529,F577&lt;=F561,F577&lt;=F545,G577&lt;=G565,G577&lt;=G573,G577&lt;=G569,H577&lt;=H574,H577&lt;=H576,H577&lt;=H575),1,0)</x:f>
        <x:v>0</x:v>
      </x:c>
      <x:c r="Q577" s="42" t="n">
        <x:f>IF(AND(L577&lt;=L529,L577&lt;=L561,L577&lt;=L545,M577&lt;=M565,M577&lt;=M573,M577&lt;=M569,N577&lt;=N574,N577&lt;=N576,N577&lt;=N575),1,0)</x:f>
        <x:v>0</x:v>
      </x:c>
      <x:c r="R577" s="42" t="n">
        <x:v>0</x:v>
      </x:c>
      <x:c r="S577" s="42" t="n">
        <x:v>0</x:v>
      </x:c>
    </x:row>
    <x:row r="578">
      <x:c r="A578" t="n">
        <x:v>10</x:v>
      </x:c>
      <x:c r="B578" t="n">
        <x:v>4</x:v>
      </x:c>
      <x:c r="C578" t="n">
        <x:v>0</x:v>
      </x:c>
      <x:c r="D578" t="n">
        <x:v>3</x:v>
      </x:c>
      <x:c r="E578" t="str">
        <x:v>eee</x:v>
      </x:c>
      <x:c r="F578" s="45" t="n">
        <x:f>(1/3)*$B578+1*$C578+(1/3)*$D578</x:f>
        <x:v>2.333333333333333</x:v>
      </x:c>
      <x:c r="G578" s="45" t="n">
        <x:f>(1/3)*$B578+1*$C578+(1/3)*$D578</x:f>
        <x:v>2.333333333333333</x:v>
      </x:c>
      <x:c r="H578" s="45" t="n">
        <x:f>(1/3)*$B578+1*$C578+(1/3)*$D578</x:f>
        <x:v>2.333333333333333</x:v>
      </x:c>
      <x:c r="I578" s="45" t="n">
        <x:f>MAX($C578+(2/3)*$D578-(1/3)*$B578,0)</x:f>
        <x:v>0.6666666666666667</x:v>
      </x:c>
      <x:c r="J578" s="45" t="n">
        <x:f>MAX($C578+(2/3)*$D578-(1/3)*$B578,0)</x:f>
        <x:v>0.6666666666666667</x:v>
      </x:c>
      <x:c r="K578" s="45" t="n">
        <x:f>MAX($C578+(2/3)*$D578-(1/3)*$B578,0)</x:f>
        <x:v>0.6666666666666667</x:v>
      </x:c>
      <x:c r="L578" s="45" t="n">
        <x:f>F578+I578</x:f>
        <x:v>3</x:v>
      </x:c>
      <x:c r="M578" s="45" t="n">
        <x:f>G578+J578</x:f>
        <x:v>3</x:v>
      </x:c>
      <x:c r="N578" s="45" t="n">
        <x:f>H578+K578</x:f>
        <x:v>3</x:v>
      </x:c>
      <x:c r="O578" s="45" t="n">
        <x:f>SUM(F578:H578)</x:f>
        <x:v>6.999999999999999</x:v>
      </x:c>
      <x:c r="P578" s="42" t="n">
        <x:f>IF(AND(F578&lt;=F626,F578&lt;=F610,F578&lt;=F594,G578&lt;=G590,G578&lt;=G586,G578&lt;=G582,H578&lt;=H581,H578&lt;=H580,H578&lt;=H579),1,0)</x:f>
        <x:v>1</x:v>
      </x:c>
      <x:c r="Q578" s="42" t="n">
        <x:f>IF(AND(L578&lt;=L626,L578&lt;=L610,L578&lt;=L594,M578&lt;=M590,M578&lt;=M586,M578&lt;=M582,N578&lt;=N581,N578&lt;=N580,N578&lt;=N579),1,0)</x:f>
        <x:v>1</x:v>
      </x:c>
      <x:c r="R578" s="42" t="n">
        <x:v>1</x:v>
      </x:c>
      <x:c r="S578" s="42" t="n">
        <x:v>1</x:v>
      </x:c>
    </x:row>
    <x:row r="579">
      <x:c r="A579" t="n">
        <x:v>10</x:v>
      </x:c>
      <x:c r="B579" t="n">
        <x:v>4</x:v>
      </x:c>
      <x:c r="C579" t="n">
        <x:v>0</x:v>
      </x:c>
      <x:c r="D579" t="n">
        <x:v>3</x:v>
      </x:c>
      <x:c r="E579" t="str">
        <x:v>eel</x:v>
      </x:c>
      <x:c r="F579" s="45" t="n">
        <x:f>(1/2)*$B579+(1/2)*$C579</x:f>
        <x:v>2</x:v>
      </x:c>
      <x:c r="G579" s="45" t="n">
        <x:f>(1/2)*$B579+(1/2)*$C579</x:f>
        <x:v>2</x:v>
      </x:c>
      <x:c r="H579" s="45" t="n">
        <x:f>1*$D579</x:f>
        <x:v>3</x:v>
      </x:c>
      <x:c r="I579" s="45" t="n">
        <x:f>MAX((1/2)*($C579-$B579),0)</x:f>
        <x:v>0</x:v>
      </x:c>
      <x:c r="J579" s="45" t="n">
        <x:f>MAX((1/2)*($C579-$B579),0)</x:f>
        <x:v>0</x:v>
      </x:c>
      <x:c r="K579" s="45" t="n">
        <x:f>0</x:f>
        <x:v>0</x:v>
      </x:c>
      <x:c r="L579" s="45" t="n">
        <x:f>F579+I579</x:f>
        <x:v>2</x:v>
      </x:c>
      <x:c r="M579" s="45" t="n">
        <x:f>G579+J579</x:f>
        <x:v>2</x:v>
      </x:c>
      <x:c r="N579" s="45" t="n">
        <x:f>H579+K579</x:f>
        <x:v>3</x:v>
      </x:c>
      <x:c r="O579" s="45" t="n">
        <x:f>SUM(F579:H579)</x:f>
        <x:v>7</x:v>
      </x:c>
      <x:c r="P579" s="42" t="n">
        <x:f>IF(AND(F579&lt;=F627,F579&lt;=F611,F579&lt;=F595,G579&lt;=G591,G579&lt;=G587,G579&lt;=G583,H579&lt;=H581,H579&lt;=H578,H579&lt;=H580),1,0)</x:f>
        <x:v>0</x:v>
      </x:c>
      <x:c r="Q579" s="42" t="n">
        <x:f>IF(AND(L579&lt;=L627,L579&lt;=L611,L579&lt;=L595,M579&lt;=M591,M579&lt;=M587,M579&lt;=M583,N579&lt;=N581,N579&lt;=N578,N579&lt;=N580),1,0)</x:f>
        <x:v>0</x:v>
      </x:c>
      <x:c r="R579" s="42" t="n">
        <x:v>0</x:v>
      </x:c>
      <x:c r="S579" s="42" t="n">
        <x:v>0</x:v>
      </x:c>
    </x:row>
    <x:row r="580">
      <x:c r="A580" t="n">
        <x:v>10</x:v>
      </x:c>
      <x:c r="B580" t="n">
        <x:v>4</x:v>
      </x:c>
      <x:c r="C580" t="n">
        <x:v>0</x:v>
      </x:c>
      <x:c r="D580" t="n">
        <x:v>3</x:v>
      </x:c>
      <x:c r="E580" t="str">
        <x:v>eeo</x:v>
      </x:c>
      <x:c r="F580" s="45" t="n">
        <x:f>(1/2)*$B580+(1/2)*$C580</x:f>
        <x:v>2</x:v>
      </x:c>
      <x:c r="G580" s="45" t="n">
        <x:f>(1/2)*$B580+(1/2)*$C580</x:f>
        <x:v>2</x:v>
      </x:c>
      <x:c r="H580" s="45" t="n">
        <x:f>1*$C580+1*$D580</x:f>
        <x:v>3</x:v>
      </x:c>
      <x:c r="I580" s="45" t="n">
        <x:f>MAX((3/2)*$C580+$D580-(1/2)*$B580,0)</x:f>
        <x:v>1</x:v>
      </x:c>
      <x:c r="J580" s="45" t="n">
        <x:f>MAX((3/2)*$C580+$D580-(1/2)*$B580,0)</x:f>
        <x:v>1</x:v>
      </x:c>
      <x:c r="K580" s="45" t="n">
        <x:f>0</x:f>
        <x:v>0</x:v>
      </x:c>
      <x:c r="L580" s="45" t="n">
        <x:f>F580+I580</x:f>
        <x:v>3</x:v>
      </x:c>
      <x:c r="M580" s="45" t="n">
        <x:f>G580+J580</x:f>
        <x:v>3</x:v>
      </x:c>
      <x:c r="N580" s="45" t="n">
        <x:f>H580+K580</x:f>
        <x:v>3</x:v>
      </x:c>
      <x:c r="O580" s="45" t="n">
        <x:f>SUM(F580:H580)</x:f>
        <x:v>7</x:v>
      </x:c>
      <x:c r="P580" s="42" t="n">
        <x:f>IF(AND(F580&lt;=F628,F580&lt;=F612,F580&lt;=F596,G580&lt;=G592,G580&lt;=G588,G580&lt;=G584,H580&lt;=H581,H580&lt;=H578,H580&lt;=H579),1,0)</x:f>
        <x:v>0</x:v>
      </x:c>
      <x:c r="Q580" s="42" t="n">
        <x:f>IF(AND(L580&lt;=L628,L580&lt;=L612,L580&lt;=L596,M580&lt;=M592,M580&lt;=M588,M580&lt;=M584,N580&lt;=N581,N580&lt;=N578,N580&lt;=N579),1,0)</x:f>
        <x:v>1</x:v>
      </x:c>
      <x:c r="R580" s="42" t="n">
        <x:v>0</x:v>
      </x:c>
      <x:c r="S580" s="42" t="n">
        <x:v>0</x:v>
      </x:c>
    </x:row>
    <x:row r="581">
      <x:c r="A581" t="n">
        <x:v>10</x:v>
      </x:c>
      <x:c r="B581" t="n">
        <x:v>4</x:v>
      </x:c>
      <x:c r="C581" t="n">
        <x:v>0</x:v>
      </x:c>
      <x:c r="D581" t="n">
        <x:v>3</x:v>
      </x:c>
      <x:c r="E581" t="str">
        <x:v>eev</x:v>
      </x:c>
      <x:c r="F581" s="45" t="n">
        <x:f>(1/2)*$B581+(1/2)*$C581</x:f>
        <x:v>2</x:v>
      </x:c>
      <x:c r="G581" s="45" t="n">
        <x:f>(1/2)*$B581+(1/2)*$C581</x:f>
        <x:v>2</x:v>
      </x:c>
      <x:c r="H581" s="45" t="n">
        <x:f>2*$B581</x:f>
        <x:v>8</x:v>
      </x:c>
      <x:c r="I581" s="45" t="n">
        <x:f>MAX((1/2)*($C581-$B581),0)</x:f>
        <x:v>0</x:v>
      </x:c>
      <x:c r="J581" s="45" t="n">
        <x:f>MAX((1/2)*($C581-$B581),0)</x:f>
        <x:v>0</x:v>
      </x:c>
      <x:c r="K581" s="45" t="n">
        <x:f>0</x:f>
        <x:v>0</x:v>
      </x:c>
      <x:c r="L581" s="45" t="n">
        <x:f>F581+I581</x:f>
        <x:v>2</x:v>
      </x:c>
      <x:c r="M581" s="45" t="n">
        <x:f>G581+J581</x:f>
        <x:v>2</x:v>
      </x:c>
      <x:c r="N581" s="45" t="n">
        <x:f>H581+K581</x:f>
        <x:v>8</x:v>
      </x:c>
      <x:c r="O581" s="45" t="n">
        <x:f>SUM(F581:H581)</x:f>
        <x:v>12</x:v>
      </x:c>
      <x:c r="P581" s="42" t="n">
        <x:f>IF(AND(F581&lt;=F629,F581&lt;=F613,F581&lt;=F597,G581&lt;=G593,G581&lt;=G589,G581&lt;=G585,H581&lt;=H578,H581&lt;=H580,H581&lt;=H579),1,0)</x:f>
        <x:v>0</x:v>
      </x:c>
      <x:c r="Q581" s="42" t="n">
        <x:f>IF(AND(L581&lt;=L629,L581&lt;=L613,L581&lt;=L597,M581&lt;=M593,M581&lt;=M589,M581&lt;=M585,N581&lt;=N578,N581&lt;=N580,N581&lt;=N579),1,0)</x:f>
        <x:v>0</x:v>
      </x:c>
      <x:c r="R581" s="42" t="n">
        <x:v>0</x:v>
      </x:c>
      <x:c r="S581" s="42" t="n">
        <x:v>0</x:v>
      </x:c>
    </x:row>
    <x:row r="582">
      <x:c r="A582" t="n">
        <x:v>10</x:v>
      </x:c>
      <x:c r="B582" t="n">
        <x:v>4</x:v>
      </x:c>
      <x:c r="C582" t="n">
        <x:v>0</x:v>
      </x:c>
      <x:c r="D582" t="n">
        <x:v>3</x:v>
      </x:c>
      <x:c r="E582" t="str">
        <x:v>ele</x:v>
      </x:c>
      <x:c r="F582" s="45" t="n">
        <x:f>(1/2)*$B582+(1/2)*$C582</x:f>
        <x:v>2</x:v>
      </x:c>
      <x:c r="G582" s="45" t="n">
        <x:f>1*$D582</x:f>
        <x:v>3</x:v>
      </x:c>
      <x:c r="H582" s="45" t="n">
        <x:f>(1/2)*$B582+(1/2)*$C582</x:f>
        <x:v>2</x:v>
      </x:c>
      <x:c r="I582" s="45" t="n">
        <x:f>MAX((1/2)*($C582-$B582),0)</x:f>
        <x:v>0</x:v>
      </x:c>
      <x:c r="J582" s="45" t="n">
        <x:f>0</x:f>
        <x:v>0</x:v>
      </x:c>
      <x:c r="K582" s="45" t="n">
        <x:f>MAX((1/2)*($C582-$B582),0)</x:f>
        <x:v>0</x:v>
      </x:c>
      <x:c r="L582" s="45" t="n">
        <x:f>F582+I582</x:f>
        <x:v>2</x:v>
      </x:c>
      <x:c r="M582" s="45" t="n">
        <x:f>G582+J582</x:f>
        <x:v>3</x:v>
      </x:c>
      <x:c r="N582" s="45" t="n">
        <x:f>H582+K582</x:f>
        <x:v>2</x:v>
      </x:c>
      <x:c r="O582" s="45" t="n">
        <x:f>SUM(F582:H582)</x:f>
        <x:v>7</x:v>
      </x:c>
      <x:c r="P582" s="42" t="n">
        <x:f>IF(AND(F582&lt;=F630,F582&lt;=F614,F582&lt;=F598,G582&lt;=G590,G582&lt;=G578,G582&lt;=G586,H582&lt;=H585,H582&lt;=H584,H582&lt;=H583),1,0)</x:f>
        <x:v>0</x:v>
      </x:c>
      <x:c r="Q582" s="42" t="n">
        <x:f>IF(AND(L582&lt;=L630,L582&lt;=L614,L582&lt;=L598,M582&lt;=M590,M582&lt;=M578,M582&lt;=M586,N582&lt;=N585,N582&lt;=N584,N582&lt;=N583),1,0)</x:f>
        <x:v>0</x:v>
      </x:c>
      <x:c r="R582" s="42" t="n">
        <x:v>0</x:v>
      </x:c>
      <x:c r="S582" s="42" t="n">
        <x:v>0</x:v>
      </x:c>
    </x:row>
    <x:row r="583">
      <x:c r="A583" t="n">
        <x:v>10</x:v>
      </x:c>
      <x:c r="B583" t="n">
        <x:v>4</x:v>
      </x:c>
      <x:c r="C583" t="n">
        <x:v>0</x:v>
      </x:c>
      <x:c r="D583" t="n">
        <x:v>3</x:v>
      </x:c>
      <x:c r="E583" t="str">
        <x:v>ell</x:v>
      </x:c>
      <x:c r="F583" s="45" t="n">
        <x:f>1*$B583</x:f>
        <x:v>4</x:v>
      </x:c>
      <x:c r="G583" s="45" t="n">
        <x:f>(1/2)*$C583+(3/2)*$D583</x:f>
        <x:v>4.5</x:v>
      </x:c>
      <x:c r="H583" s="45" t="n">
        <x:f>(1/2)*$C583+(3/2)*$D583</x:f>
        <x:v>4.5</x:v>
      </x:c>
      <x:c r="I583" s="45" t="n">
        <x:f>0</x:f>
        <x:v>0</x:v>
      </x:c>
      <x:c r="J583" s="45" t="n">
        <x:f>(1/2)*($C583+$D583)</x:f>
        <x:v>1.5</x:v>
      </x:c>
      <x:c r="K583" s="45" t="n">
        <x:f>(1/2)*($C583+$D583)</x:f>
        <x:v>1.5</x:v>
      </x:c>
      <x:c r="L583" s="45" t="n">
        <x:f>F583+I583</x:f>
        <x:v>4</x:v>
      </x:c>
      <x:c r="M583" s="45" t="n">
        <x:f>G583+J583</x:f>
        <x:v>6</x:v>
      </x:c>
      <x:c r="N583" s="45" t="n">
        <x:f>H583+K583</x:f>
        <x:v>6</x:v>
      </x:c>
      <x:c r="O583" s="45" t="n">
        <x:f>SUM(F583:H583)</x:f>
        <x:v>13</x:v>
      </x:c>
      <x:c r="P583" s="42" t="n">
        <x:f>IF(AND(F583&lt;=F631,F583&lt;=F615,F583&lt;=F599,G583&lt;=G591,G583&lt;=G579,G583&lt;=G587,H583&lt;=H585,H583&lt;=H582,H583&lt;=H584),1,0)</x:f>
        <x:v>0</x:v>
      </x:c>
      <x:c r="Q583" s="42" t="n">
        <x:f>IF(AND(L583&lt;=L631,L583&lt;=L615,L583&lt;=L599,M583&lt;=M591,M583&lt;=M579,M583&lt;=M587,N583&lt;=N585,N583&lt;=N582,N583&lt;=N584),1,0)</x:f>
        <x:v>0</x:v>
      </x:c>
      <x:c r="R583" s="42" t="n">
        <x:v>0</x:v>
      </x:c>
      <x:c r="S583" s="42" t="n">
        <x:v>0</x:v>
      </x:c>
    </x:row>
    <x:row r="584">
      <x:c r="A584" t="n">
        <x:v>10</x:v>
      </x:c>
      <x:c r="B584" t="n">
        <x:v>4</x:v>
      </x:c>
      <x:c r="C584" t="n">
        <x:v>0</x:v>
      </x:c>
      <x:c r="D584" t="n">
        <x:v>3</x:v>
      </x:c>
      <x:c r="E584" t="str">
        <x:v>elo</x:v>
      </x:c>
      <x:c r="F584" s="45" t="n">
        <x:f>1*$B584</x:f>
        <x:v>4</x:v>
      </x:c>
      <x:c r="G584" s="45" t="n">
        <x:f>1*$D584</x:f>
        <x:v>3</x:v>
      </x:c>
      <x:c r="H584" s="45" t="n">
        <x:f>0</x:f>
        <x:v>0</x:v>
      </x:c>
      <x:c r="I584" s="45" t="n">
        <x:f>0</x:f>
        <x:v>0</x:v>
      </x:c>
      <x:c r="J584" s="45" t="n">
        <x:f>0</x:f>
        <x:v>0</x:v>
      </x:c>
      <x:c r="K584" s="45" t="n">
        <x:f>0</x:f>
        <x:v>0</x:v>
      </x:c>
      <x:c r="L584" s="45" t="n">
        <x:f>F584+I584</x:f>
        <x:v>4</x:v>
      </x:c>
      <x:c r="M584" s="45" t="n">
        <x:f>G584+J584</x:f>
        <x:v>3</x:v>
      </x:c>
      <x:c r="N584" s="45" t="n">
        <x:f>H584+K584</x:f>
        <x:v>0</x:v>
      </x:c>
      <x:c r="O584" s="45" t="n">
        <x:f>SUM(F584:H584)</x:f>
        <x:v>7</x:v>
      </x:c>
      <x:c r="P584" s="42" t="n">
        <x:f>IF(AND(F584&lt;=F632,F584&lt;=F616,F584&lt;=F600,G584&lt;=G592,G584&lt;=G580,G584&lt;=G588,H584&lt;=H585,H584&lt;=H582,H584&lt;=H583),1,0)</x:f>
        <x:v>0</x:v>
      </x:c>
      <x:c r="Q584" s="42" t="n">
        <x:f>IF(AND(L584&lt;=L632,L584&lt;=L616,L584&lt;=L600,M584&lt;=M592,M584&lt;=M580,M584&lt;=M588,N584&lt;=N585,N584&lt;=N582,N584&lt;=N583),1,0)</x:f>
        <x:v>1</x:v>
      </x:c>
      <x:c r="R584" s="42" t="n">
        <x:v>0</x:v>
      </x:c>
      <x:c r="S584" s="42" t="n">
        <x:v>1</x:v>
      </x:c>
    </x:row>
    <x:row r="585">
      <x:c r="A585" t="n">
        <x:v>10</x:v>
      </x:c>
      <x:c r="B585" t="n">
        <x:v>4</x:v>
      </x:c>
      <x:c r="C585" t="n">
        <x:v>0</x:v>
      </x:c>
      <x:c r="D585" t="n">
        <x:v>3</x:v>
      </x:c>
      <x:c r="E585" t="str">
        <x:v>elv</x:v>
      </x:c>
      <x:c r="F585" s="45" t="n">
        <x:f>1*$B585</x:f>
        <x:v>4</x:v>
      </x:c>
      <x:c r="G585" s="45" t="n">
        <x:f>1*$D585</x:f>
        <x:v>3</x:v>
      </x:c>
      <x:c r="H585" s="45" t="n">
        <x:f>2*$B585</x:f>
        <x:v>8</x:v>
      </x:c>
      <x:c r="I585" s="45" t="n">
        <x:f>0</x:f>
        <x:v>0</x:v>
      </x:c>
      <x:c r="J585" s="45" t="n">
        <x:f>0</x:f>
        <x:v>0</x:v>
      </x:c>
      <x:c r="K585" s="45" t="n">
        <x:f>0</x:f>
        <x:v>0</x:v>
      </x:c>
      <x:c r="L585" s="45" t="n">
        <x:f>F585+I585</x:f>
        <x:v>4</x:v>
      </x:c>
      <x:c r="M585" s="45" t="n">
        <x:f>G585+J585</x:f>
        <x:v>3</x:v>
      </x:c>
      <x:c r="N585" s="45" t="n">
        <x:f>H585+K585</x:f>
        <x:v>8</x:v>
      </x:c>
      <x:c r="O585" s="45" t="n">
        <x:f>SUM(F585:H585)</x:f>
        <x:v>15</x:v>
      </x:c>
      <x:c r="P585" s="42" t="n">
        <x:f>IF(AND(F585&lt;=F633,F585&lt;=F617,F585&lt;=F601,G585&lt;=G593,G585&lt;=G581,G585&lt;=G589,H585&lt;=H582,H585&lt;=H584,H585&lt;=H583),1,0)</x:f>
        <x:v>0</x:v>
      </x:c>
      <x:c r="Q585" s="42" t="n">
        <x:f>IF(AND(L585&lt;=L633,L585&lt;=L617,L585&lt;=L601,M585&lt;=M593,M585&lt;=M581,M585&lt;=M589,N585&lt;=N582,N585&lt;=N584,N585&lt;=N583),1,0)</x:f>
        <x:v>0</x:v>
      </x:c>
      <x:c r="R585" s="42" t="n">
        <x:v>0</x:v>
      </x:c>
      <x:c r="S585" s="42" t="n">
        <x:v>0</x:v>
      </x:c>
    </x:row>
    <x:row r="586">
      <x:c r="A586" t="n">
        <x:v>10</x:v>
      </x:c>
      <x:c r="B586" t="n">
        <x:v>4</x:v>
      </x:c>
      <x:c r="C586" t="n">
        <x:v>0</x:v>
      </x:c>
      <x:c r="D586" t="n">
        <x:v>3</x:v>
      </x:c>
      <x:c r="E586" t="str">
        <x:v>eoe</x:v>
      </x:c>
      <x:c r="F586" s="45" t="n">
        <x:f>(1/2)*$B586+(1/2)*$C586</x:f>
        <x:v>2</x:v>
      </x:c>
      <x:c r="G586" s="45" t="n">
        <x:f>1*$C586+1*$D586</x:f>
        <x:v>3</x:v>
      </x:c>
      <x:c r="H586" s="45" t="n">
        <x:f>(1/2)*$B586+(1/2)*$C586</x:f>
        <x:v>2</x:v>
      </x:c>
      <x:c r="I586" s="45" t="n">
        <x:f>MAX((3/2)*$C586+$D586-(1/2)*$B586,0)</x:f>
        <x:v>1</x:v>
      </x:c>
      <x:c r="J586" s="45" t="n">
        <x:f>0</x:f>
        <x:v>0</x:v>
      </x:c>
      <x:c r="K586" s="45" t="n">
        <x:f>MAX((3/2)*$C586+$D586-(1/2)*$B586,0)</x:f>
        <x:v>1</x:v>
      </x:c>
      <x:c r="L586" s="45" t="n">
        <x:f>F586+I586</x:f>
        <x:v>3</x:v>
      </x:c>
      <x:c r="M586" s="45" t="n">
        <x:f>G586+J586</x:f>
        <x:v>3</x:v>
      </x:c>
      <x:c r="N586" s="45" t="n">
        <x:f>H586+K586</x:f>
        <x:v>3</x:v>
      </x:c>
      <x:c r="O586" s="45" t="n">
        <x:f>SUM(F586:H586)</x:f>
        <x:v>7</x:v>
      </x:c>
      <x:c r="P586" s="42" t="n">
        <x:f>IF(AND(F586&lt;=F634,F586&lt;=F618,F586&lt;=F602,G586&lt;=G590,G586&lt;=G578,G586&lt;=G582,H586&lt;=H589,H586&lt;=H588,H586&lt;=H587),1,0)</x:f>
        <x:v>0</x:v>
      </x:c>
      <x:c r="Q586" s="42" t="n">
        <x:f>IF(AND(L586&lt;=L634,L586&lt;=L618,L586&lt;=L602,M586&lt;=M590,M586&lt;=M578,M586&lt;=M582,N586&lt;=N589,N586&lt;=N588,N586&lt;=N587),1,0)</x:f>
        <x:v>1</x:v>
      </x:c>
      <x:c r="R586" s="42" t="n">
        <x:v>0</x:v>
      </x:c>
      <x:c r="S586" s="42" t="n">
        <x:v>0</x:v>
      </x:c>
    </x:row>
    <x:row r="587">
      <x:c r="A587" t="n">
        <x:v>10</x:v>
      </x:c>
      <x:c r="B587" t="n">
        <x:v>4</x:v>
      </x:c>
      <x:c r="C587" t="n">
        <x:v>0</x:v>
      </x:c>
      <x:c r="D587" t="n">
        <x:v>3</x:v>
      </x:c>
      <x:c r="E587" t="str">
        <x:v>eol</x:v>
      </x:c>
      <x:c r="F587" s="45" t="n">
        <x:f>1*$B587</x:f>
        <x:v>4</x:v>
      </x:c>
      <x:c r="G587" s="45" t="n">
        <x:f>0</x:f>
        <x:v>0</x:v>
      </x:c>
      <x:c r="H587" s="45" t="n">
        <x:f>1*$D587</x:f>
        <x:v>3</x:v>
      </x:c>
      <x:c r="I587" s="45" t="n">
        <x:f>0</x:f>
        <x:v>0</x:v>
      </x:c>
      <x:c r="J587" s="45" t="n">
        <x:f>0</x:f>
        <x:v>0</x:v>
      </x:c>
      <x:c r="K587" s="45" t="n">
        <x:f>0</x:f>
        <x:v>0</x:v>
      </x:c>
      <x:c r="L587" s="45" t="n">
        <x:f>F587+I587</x:f>
        <x:v>4</x:v>
      </x:c>
      <x:c r="M587" s="45" t="n">
        <x:f>G587+J587</x:f>
        <x:v>0</x:v>
      </x:c>
      <x:c r="N587" s="45" t="n">
        <x:f>H587+K587</x:f>
        <x:v>3</x:v>
      </x:c>
      <x:c r="O587" s="45" t="n">
        <x:f>SUM(F587:H587)</x:f>
        <x:v>7</x:v>
      </x:c>
      <x:c r="P587" s="42" t="n">
        <x:f>IF(AND(F587&lt;=F635,F587&lt;=F619,F587&lt;=F603,G587&lt;=G591,G587&lt;=G579,G587&lt;=G583,H587&lt;=H589,H587&lt;=H586,H587&lt;=H588),1,0)</x:f>
        <x:v>0</x:v>
      </x:c>
      <x:c r="Q587" s="42" t="n">
        <x:f>IF(AND(L587&lt;=L635,L587&lt;=L619,L587&lt;=L603,M587&lt;=M591,M587&lt;=M579,M587&lt;=M583,N587&lt;=N589,N587&lt;=N586,N587&lt;=N588),1,0)</x:f>
        <x:v>1</x:v>
      </x:c>
      <x:c r="R587" s="42" t="n">
        <x:v>0</x:v>
      </x:c>
      <x:c r="S587" s="42" t="n">
        <x:v>1</x:v>
      </x:c>
    </x:row>
    <x:row r="588">
      <x:c r="A588" t="n">
        <x:v>10</x:v>
      </x:c>
      <x:c r="B588" t="n">
        <x:v>4</x:v>
      </x:c>
      <x:c r="C588" t="n">
        <x:v>0</x:v>
      </x:c>
      <x:c r="D588" t="n">
        <x:v>3</x:v>
      </x:c>
      <x:c r="E588" t="str">
        <x:v>eoo</x:v>
      </x:c>
      <x:c r="F588" s="45" t="n">
        <x:f>1*$B588</x:f>
        <x:v>4</x:v>
      </x:c>
      <x:c r="G588" s="45" t="n">
        <x:f>(1/2)*$C588+(1/2)*$D588</x:f>
        <x:v>1.5</x:v>
      </x:c>
      <x:c r="H588" s="45" t="n">
        <x:f>(1/2)*$C588+(1/2)*$D588</x:f>
        <x:v>1.5</x:v>
      </x:c>
      <x:c r="I588" s="45" t="n">
        <x:f>0</x:f>
        <x:v>0</x:v>
      </x:c>
      <x:c r="J588" s="45" t="n">
        <x:f>(1/2)*($C588+$D588)</x:f>
        <x:v>1.5</x:v>
      </x:c>
      <x:c r="K588" s="45" t="n">
        <x:f>(1/2)*($C588+$D588)</x:f>
        <x:v>1.5</x:v>
      </x:c>
      <x:c r="L588" s="45" t="n">
        <x:f>F588+I588</x:f>
        <x:v>4</x:v>
      </x:c>
      <x:c r="M588" s="45" t="n">
        <x:f>G588+J588</x:f>
        <x:v>3</x:v>
      </x:c>
      <x:c r="N588" s="45" t="n">
        <x:f>H588+K588</x:f>
        <x:v>3</x:v>
      </x:c>
      <x:c r="O588" s="45" t="n">
        <x:f>SUM(F588:H588)</x:f>
        <x:v>7</x:v>
      </x:c>
      <x:c r="P588" s="42" t="n">
        <x:f>IF(AND(F588&lt;=F636,F588&lt;=F620,F588&lt;=F604,G588&lt;=G592,G588&lt;=G580,G588&lt;=G584,H588&lt;=H589,H588&lt;=H586,H588&lt;=H587),1,0)</x:f>
        <x:v>0</x:v>
      </x:c>
      <x:c r="Q588" s="42" t="n">
        <x:f>IF(AND(L588&lt;=L636,L588&lt;=L620,L588&lt;=L604,M588&lt;=M592,M588&lt;=M580,M588&lt;=M584,N588&lt;=N589,N588&lt;=N586,N588&lt;=N587),1,0)</x:f>
        <x:v>1</x:v>
      </x:c>
      <x:c r="R588" s="42" t="n">
        <x:v>0</x:v>
      </x:c>
      <x:c r="S588" s="42" t="n">
        <x:v>1</x:v>
      </x:c>
    </x:row>
    <x:row r="589">
      <x:c r="A589" t="n">
        <x:v>10</x:v>
      </x:c>
      <x:c r="B589" t="n">
        <x:v>4</x:v>
      </x:c>
      <x:c r="C589" t="n">
        <x:v>0</x:v>
      </x:c>
      <x:c r="D589" t="n">
        <x:v>3</x:v>
      </x:c>
      <x:c r="E589" t="str">
        <x:v>eov</x:v>
      </x:c>
      <x:c r="F589" s="45" t="n">
        <x:f>1*$B589</x:f>
        <x:v>4</x:v>
      </x:c>
      <x:c r="G589" s="45" t="n">
        <x:f>0</x:f>
        <x:v>0</x:v>
      </x:c>
      <x:c r="H589" s="45" t="n">
        <x:f>2*$B589</x:f>
        <x:v>8</x:v>
      </x:c>
      <x:c r="I589" s="45" t="n">
        <x:f>0</x:f>
        <x:v>0</x:v>
      </x:c>
      <x:c r="J589" s="45" t="n">
        <x:f>0</x:f>
        <x:v>0</x:v>
      </x:c>
      <x:c r="K589" s="45" t="n">
        <x:f>0</x:f>
        <x:v>0</x:v>
      </x:c>
      <x:c r="L589" s="45" t="n">
        <x:f>F589+I589</x:f>
        <x:v>4</x:v>
      </x:c>
      <x:c r="M589" s="45" t="n">
        <x:f>G589+J589</x:f>
        <x:v>0</x:v>
      </x:c>
      <x:c r="N589" s="45" t="n">
        <x:f>H589+K589</x:f>
        <x:v>8</x:v>
      </x:c>
      <x:c r="O589" s="45" t="n">
        <x:f>SUM(F589:H589)</x:f>
        <x:v>12</x:v>
      </x:c>
      <x:c r="P589" s="42" t="n">
        <x:f>IF(AND(F589&lt;=F637,F589&lt;=F621,F589&lt;=F605,G589&lt;=G593,G589&lt;=G581,G589&lt;=G585,H589&lt;=H586,H589&lt;=H588,H589&lt;=H587),1,0)</x:f>
        <x:v>0</x:v>
      </x:c>
      <x:c r="Q589" s="42" t="n">
        <x:f>IF(AND(L589&lt;=L637,L589&lt;=L621,L589&lt;=L605,M589&lt;=M593,M589&lt;=M581,M589&lt;=M585,N589&lt;=N586,N589&lt;=N588,N589&lt;=N587),1,0)</x:f>
        <x:v>0</x:v>
      </x:c>
      <x:c r="R589" s="42" t="n">
        <x:v>0</x:v>
      </x:c>
      <x:c r="S589" s="42" t="n">
        <x:v>0</x:v>
      </x:c>
    </x:row>
    <x:row r="590">
      <x:c r="A590" t="n">
        <x:v>10</x:v>
      </x:c>
      <x:c r="B590" t="n">
        <x:v>4</x:v>
      </x:c>
      <x:c r="C590" t="n">
        <x:v>0</x:v>
      </x:c>
      <x:c r="D590" t="n">
        <x:v>3</x:v>
      </x:c>
      <x:c r="E590" t="str">
        <x:v>eve</x:v>
      </x:c>
      <x:c r="F590" s="45" t="n">
        <x:f>(1/2)*$B590+(1/2)*$C590</x:f>
        <x:v>2</x:v>
      </x:c>
      <x:c r="G590" s="45" t="n">
        <x:f>2*$B590</x:f>
        <x:v>8</x:v>
      </x:c>
      <x:c r="H590" s="45" t="n">
        <x:f>(1/2)*$B590+(1/2)*$C590</x:f>
        <x:v>2</x:v>
      </x:c>
      <x:c r="I590" s="45" t="n">
        <x:f>MAX((1/2)*($C590-$B590),0)</x:f>
        <x:v>0</x:v>
      </x:c>
      <x:c r="J590" s="45" t="n">
        <x:f>0</x:f>
        <x:v>0</x:v>
      </x:c>
      <x:c r="K590" s="45" t="n">
        <x:f>MAX((1/2)*($C590-$B590),0)</x:f>
        <x:v>0</x:v>
      </x:c>
      <x:c r="L590" s="45" t="n">
        <x:f>F590+I590</x:f>
        <x:v>2</x:v>
      </x:c>
      <x:c r="M590" s="45" t="n">
        <x:f>G590+J590</x:f>
        <x:v>8</x:v>
      </x:c>
      <x:c r="N590" s="45" t="n">
        <x:f>H590+K590</x:f>
        <x:v>2</x:v>
      </x:c>
      <x:c r="O590" s="45" t="n">
        <x:f>SUM(F590:H590)</x:f>
        <x:v>12</x:v>
      </x:c>
      <x:c r="P590" s="42" t="n">
        <x:f>IF(AND(F590&lt;=F638,F590&lt;=F622,F590&lt;=F606,G590&lt;=G578,G590&lt;=G586,G590&lt;=G582,H590&lt;=H593,H590&lt;=H592,H590&lt;=H591),1,0)</x:f>
        <x:v>0</x:v>
      </x:c>
      <x:c r="Q590" s="42" t="n">
        <x:f>IF(AND(L590&lt;=L638,L590&lt;=L622,L590&lt;=L606,M590&lt;=M578,M590&lt;=M586,M590&lt;=M582,N590&lt;=N593,N590&lt;=N592,N590&lt;=N591),1,0)</x:f>
        <x:v>0</x:v>
      </x:c>
      <x:c r="R590" s="42" t="n">
        <x:v>0</x:v>
      </x:c>
      <x:c r="S590" s="42" t="n">
        <x:v>0</x:v>
      </x:c>
    </x:row>
    <x:row r="591">
      <x:c r="A591" t="n">
        <x:v>10</x:v>
      </x:c>
      <x:c r="B591" t="n">
        <x:v>4</x:v>
      </x:c>
      <x:c r="C591" t="n">
        <x:v>0</x:v>
      </x:c>
      <x:c r="D591" t="n">
        <x:v>3</x:v>
      </x:c>
      <x:c r="E591" t="str">
        <x:v>evl</x:v>
      </x:c>
      <x:c r="F591" s="45" t="n">
        <x:f>1*$B591</x:f>
        <x:v>4</x:v>
      </x:c>
      <x:c r="G591" s="45" t="n">
        <x:f>2*$B591</x:f>
        <x:v>8</x:v>
      </x:c>
      <x:c r="H591" s="45" t="n">
        <x:f>1*$D591</x:f>
        <x:v>3</x:v>
      </x:c>
      <x:c r="I591" s="45" t="n">
        <x:f>0</x:f>
        <x:v>0</x:v>
      </x:c>
      <x:c r="J591" s="45" t="n">
        <x:f>0</x:f>
        <x:v>0</x:v>
      </x:c>
      <x:c r="K591" s="45" t="n">
        <x:f>0</x:f>
        <x:v>0</x:v>
      </x:c>
      <x:c r="L591" s="45" t="n">
        <x:f>F591+I591</x:f>
        <x:v>4</x:v>
      </x:c>
      <x:c r="M591" s="45" t="n">
        <x:f>G591+J591</x:f>
        <x:v>8</x:v>
      </x:c>
      <x:c r="N591" s="45" t="n">
        <x:f>H591+K591</x:f>
        <x:v>3</x:v>
      </x:c>
      <x:c r="O591" s="45" t="n">
        <x:f>SUM(F591:H591)</x:f>
        <x:v>15</x:v>
      </x:c>
      <x:c r="P591" s="42" t="n">
        <x:f>IF(AND(F591&lt;=F639,F591&lt;=F623,F591&lt;=F607,G591&lt;=G579,G591&lt;=G587,G591&lt;=G583,H591&lt;=H593,H591&lt;=H590,H591&lt;=H592),1,0)</x:f>
        <x:v>0</x:v>
      </x:c>
      <x:c r="Q591" s="42" t="n">
        <x:f>IF(AND(L591&lt;=L639,L591&lt;=L623,L591&lt;=L607,M591&lt;=M579,M591&lt;=M587,M591&lt;=M583,N591&lt;=N593,N591&lt;=N590,N591&lt;=N592),1,0)</x:f>
        <x:v>0</x:v>
      </x:c>
      <x:c r="R591" s="42" t="n">
        <x:v>0</x:v>
      </x:c>
      <x:c r="S591" s="42" t="n">
        <x:v>0</x:v>
      </x:c>
    </x:row>
    <x:row r="592">
      <x:c r="A592" t="n">
        <x:v>10</x:v>
      </x:c>
      <x:c r="B592" t="n">
        <x:v>4</x:v>
      </x:c>
      <x:c r="C592" t="n">
        <x:v>0</x:v>
      </x:c>
      <x:c r="D592" t="n">
        <x:v>3</x:v>
      </x:c>
      <x:c r="E592" t="str">
        <x:v>evo</x:v>
      </x:c>
      <x:c r="F592" s="45" t="n">
        <x:f>1*$B592</x:f>
        <x:v>4</x:v>
      </x:c>
      <x:c r="G592" s="45" t="n">
        <x:f>2*$B592</x:f>
        <x:v>8</x:v>
      </x:c>
      <x:c r="H592" s="45" t="n">
        <x:f>0</x:f>
        <x:v>0</x:v>
      </x:c>
      <x:c r="I592" s="45" t="n">
        <x:f>0</x:f>
        <x:v>0</x:v>
      </x:c>
      <x:c r="J592" s="45" t="n">
        <x:f>0</x:f>
        <x:v>0</x:v>
      </x:c>
      <x:c r="K592" s="45" t="n">
        <x:f>0</x:f>
        <x:v>0</x:v>
      </x:c>
      <x:c r="L592" s="45" t="n">
        <x:f>F592+I592</x:f>
        <x:v>4</x:v>
      </x:c>
      <x:c r="M592" s="45" t="n">
        <x:f>G592+J592</x:f>
        <x:v>8</x:v>
      </x:c>
      <x:c r="N592" s="45" t="n">
        <x:f>H592+K592</x:f>
        <x:v>0</x:v>
      </x:c>
      <x:c r="O592" s="45" t="n">
        <x:f>SUM(F592:H592)</x:f>
        <x:v>12</x:v>
      </x:c>
      <x:c r="P592" s="42" t="n">
        <x:f>IF(AND(F592&lt;=F640,F592&lt;=F624,F592&lt;=F608,G592&lt;=G580,G592&lt;=G588,G592&lt;=G584,H592&lt;=H593,H592&lt;=H590,H592&lt;=H591),1,0)</x:f>
        <x:v>0</x:v>
      </x:c>
      <x:c r="Q592" s="42" t="n">
        <x:f>IF(AND(L592&lt;=L640,L592&lt;=L624,L592&lt;=L608,M592&lt;=M580,M592&lt;=M588,M592&lt;=M584,N592&lt;=N593,N592&lt;=N590,N592&lt;=N591),1,0)</x:f>
        <x:v>0</x:v>
      </x:c>
      <x:c r="R592" s="42" t="n">
        <x:v>0</x:v>
      </x:c>
      <x:c r="S592" s="42" t="n">
        <x:v>0</x:v>
      </x:c>
    </x:row>
    <x:row r="593">
      <x:c r="A593" t="n">
        <x:v>10</x:v>
      </x:c>
      <x:c r="B593" t="n">
        <x:v>4</x:v>
      </x:c>
      <x:c r="C593" t="n">
        <x:v>0</x:v>
      </x:c>
      <x:c r="D593" t="n">
        <x:v>3</x:v>
      </x:c>
      <x:c r="E593" t="str">
        <x:v>evv</x:v>
      </x:c>
      <x:c r="F593" s="45" t="n">
        <x:f>1*$C593</x:f>
        <x:v>0</x:v>
      </x:c>
      <x:c r="G593" s="45" t="n">
        <x:f>(3/2)*$B593+(1/2)*$C593</x:f>
        <x:v>6</x:v>
      </x:c>
      <x:c r="H593" s="45" t="n">
        <x:f>(3/2)*$B593+(1/2)*$C593</x:f>
        <x:v>6</x:v>
      </x:c>
      <x:c r="I593" s="45" t="n">
        <x:f>0</x:f>
        <x:v>0</x:v>
      </x:c>
      <x:c r="J593" s="45" t="n">
        <x:f>MAX((3/2)*($C593-$B593),0)</x:f>
        <x:v>0</x:v>
      </x:c>
      <x:c r="K593" s="45" t="n">
        <x:f>MAX((3/2)*($C593-$B593),0)</x:f>
        <x:v>0</x:v>
      </x:c>
      <x:c r="L593" s="45" t="n">
        <x:f>F593+I593</x:f>
        <x:v>0</x:v>
      </x:c>
      <x:c r="M593" s="45" t="n">
        <x:f>G593+J593</x:f>
        <x:v>6</x:v>
      </x:c>
      <x:c r="N593" s="45" t="n">
        <x:f>H593+K593</x:f>
        <x:v>6</x:v>
      </x:c>
      <x:c r="O593" s="45" t="n">
        <x:f>SUM(F593:H593)</x:f>
        <x:v>12</x:v>
      </x:c>
      <x:c r="P593" s="42" t="n">
        <x:f>IF(AND(F593&lt;=F641,F593&lt;=F625,F593&lt;=F609,G593&lt;=G581,G593&lt;=G589,G593&lt;=G585,H593&lt;=H590,H593&lt;=H592,H593&lt;=H591),1,0)</x:f>
        <x:v>0</x:v>
      </x:c>
      <x:c r="Q593" s="42" t="n">
        <x:f>IF(AND(L593&lt;=L641,L593&lt;=L625,L593&lt;=L609,M593&lt;=M581,M593&lt;=M589,M593&lt;=M585,N593&lt;=N590,N593&lt;=N592,N593&lt;=N591),1,0)</x:f>
        <x:v>0</x:v>
      </x:c>
      <x:c r="R593" s="42" t="n">
        <x:v>0</x:v>
      </x:c>
      <x:c r="S593" s="42" t="n">
        <x:v>0</x:v>
      </x:c>
    </x:row>
    <x:row r="594">
      <x:c r="A594" t="n">
        <x:v>10</x:v>
      </x:c>
      <x:c r="B594" t="n">
        <x:v>4</x:v>
      </x:c>
      <x:c r="C594" t="n">
        <x:v>0</x:v>
      </x:c>
      <x:c r="D594" t="n">
        <x:v>3</x:v>
      </x:c>
      <x:c r="E594" t="str">
        <x:v>lee</x:v>
      </x:c>
      <x:c r="F594" s="45" t="n">
        <x:f>1*$D594</x:f>
        <x:v>3</x:v>
      </x:c>
      <x:c r="G594" s="45" t="n">
        <x:f>(1/2)*$B594+(1/2)*$C594</x:f>
        <x:v>2</x:v>
      </x:c>
      <x:c r="H594" s="45" t="n">
        <x:f>(1/2)*$B594+(1/2)*$C594</x:f>
        <x:v>2</x:v>
      </x:c>
      <x:c r="I594" s="45" t="n">
        <x:f>0</x:f>
        <x:v>0</x:v>
      </x:c>
      <x:c r="J594" s="45" t="n">
        <x:f>MAX((1/2)*($C594-$B594),0)</x:f>
        <x:v>0</x:v>
      </x:c>
      <x:c r="K594" s="45" t="n">
        <x:f>MAX((1/2)*($C594-$B594),0)</x:f>
        <x:v>0</x:v>
      </x:c>
      <x:c r="L594" s="45" t="n">
        <x:f>F594+I594</x:f>
        <x:v>3</x:v>
      </x:c>
      <x:c r="M594" s="45" t="n">
        <x:f>G594+J594</x:f>
        <x:v>2</x:v>
      </x:c>
      <x:c r="N594" s="45" t="n">
        <x:f>H594+K594</x:f>
        <x:v>2</x:v>
      </x:c>
      <x:c r="O594" s="45" t="n">
        <x:f>SUM(F594:H594)</x:f>
        <x:v>7</x:v>
      </x:c>
      <x:c r="P594" s="42" t="n">
        <x:f>IF(AND(F594&lt;=F626,F594&lt;=F578,F594&lt;=F610,G594&lt;=G606,G594&lt;=G602,G594&lt;=G598,H594&lt;=H597,H594&lt;=H596,H594&lt;=H595),1,0)</x:f>
        <x:v>0</x:v>
      </x:c>
      <x:c r="Q594" s="42" t="n">
        <x:f>IF(AND(L594&lt;=L626,L594&lt;=L578,L594&lt;=L610,M594&lt;=M606,M594&lt;=M602,M594&lt;=M598,N594&lt;=N597,N594&lt;=N596,N594&lt;=N595),1,0)</x:f>
        <x:v>0</x:v>
      </x:c>
      <x:c r="R594" s="42" t="n">
        <x:v>0</x:v>
      </x:c>
      <x:c r="S594" s="42" t="n">
        <x:v>0</x:v>
      </x:c>
    </x:row>
    <x:row r="595">
      <x:c r="A595" t="n">
        <x:v>10</x:v>
      </x:c>
      <x:c r="B595" t="n">
        <x:v>4</x:v>
      </x:c>
      <x:c r="C595" t="n">
        <x:v>0</x:v>
      </x:c>
      <x:c r="D595" t="n">
        <x:v>3</x:v>
      </x:c>
      <x:c r="E595" t="str">
        <x:v>lel</x:v>
      </x:c>
      <x:c r="F595" s="45" t="n">
        <x:f>(1/2)*$C595+(3/2)*$D595</x:f>
        <x:v>4.5</x:v>
      </x:c>
      <x:c r="G595" s="45" t="n">
        <x:f>1*$B595</x:f>
        <x:v>4</x:v>
      </x:c>
      <x:c r="H595" s="45" t="n">
        <x:f>(1/2)*$C595+(3/2)*$D595</x:f>
        <x:v>4.5</x:v>
      </x:c>
      <x:c r="I595" s="45" t="n">
        <x:f>(1/2)*($C595+$D595)</x:f>
        <x:v>1.5</x:v>
      </x:c>
      <x:c r="J595" s="45" t="n">
        <x:f>0</x:f>
        <x:v>0</x:v>
      </x:c>
      <x:c r="K595" s="45" t="n">
        <x:f>(1/2)*($C595+$D595)</x:f>
        <x:v>1.5</x:v>
      </x:c>
      <x:c r="L595" s="45" t="n">
        <x:f>F595+I595</x:f>
        <x:v>6</x:v>
      </x:c>
      <x:c r="M595" s="45" t="n">
        <x:f>G595+J595</x:f>
        <x:v>4</x:v>
      </x:c>
      <x:c r="N595" s="45" t="n">
        <x:f>H595+K595</x:f>
        <x:v>6</x:v>
      </x:c>
      <x:c r="O595" s="45" t="n">
        <x:f>SUM(F595:H595)</x:f>
        <x:v>13</x:v>
      </x:c>
      <x:c r="P595" s="42" t="n">
        <x:f>IF(AND(F595&lt;=F627,F595&lt;=F579,F595&lt;=F611,G595&lt;=G607,G595&lt;=G603,G595&lt;=G599,H595&lt;=H597,H595&lt;=H594,H595&lt;=H596),1,0)</x:f>
        <x:v>0</x:v>
      </x:c>
      <x:c r="Q595" s="42" t="n">
        <x:f>IF(AND(L595&lt;=L627,L595&lt;=L579,L595&lt;=L611,M595&lt;=M607,M595&lt;=M603,M595&lt;=M599,N595&lt;=N597,N595&lt;=N594,N595&lt;=N596),1,0)</x:f>
        <x:v>0</x:v>
      </x:c>
      <x:c r="R595" s="42" t="n">
        <x:v>0</x:v>
      </x:c>
      <x:c r="S595" s="42" t="n">
        <x:v>0</x:v>
      </x:c>
    </x:row>
    <x:row r="596">
      <x:c r="A596" t="n">
        <x:v>10</x:v>
      </x:c>
      <x:c r="B596" t="n">
        <x:v>4</x:v>
      </x:c>
      <x:c r="C596" t="n">
        <x:v>0</x:v>
      </x:c>
      <x:c r="D596" t="n">
        <x:v>3</x:v>
      </x:c>
      <x:c r="E596" t="str">
        <x:v>leo</x:v>
      </x:c>
      <x:c r="F596" s="45" t="n">
        <x:f>1*$D596</x:f>
        <x:v>3</x:v>
      </x:c>
      <x:c r="G596" s="45" t="n">
        <x:f>1*$B596</x:f>
        <x:v>4</x:v>
      </x:c>
      <x:c r="H596" s="45" t="n">
        <x:f>0</x:f>
        <x:v>0</x:v>
      </x:c>
      <x:c r="I596" s="45" t="n">
        <x:f>0</x:f>
        <x:v>0</x:v>
      </x:c>
      <x:c r="J596" s="45" t="n">
        <x:f>0</x:f>
        <x:v>0</x:v>
      </x:c>
      <x:c r="K596" s="45" t="n">
        <x:f>0</x:f>
        <x:v>0</x:v>
      </x:c>
      <x:c r="L596" s="45" t="n">
        <x:f>F596+I596</x:f>
        <x:v>3</x:v>
      </x:c>
      <x:c r="M596" s="45" t="n">
        <x:f>G596+J596</x:f>
        <x:v>4</x:v>
      </x:c>
      <x:c r="N596" s="45" t="n">
        <x:f>H596+K596</x:f>
        <x:v>0</x:v>
      </x:c>
      <x:c r="O596" s="45" t="n">
        <x:f>SUM(F596:H596)</x:f>
        <x:v>7</x:v>
      </x:c>
      <x:c r="P596" s="42" t="n">
        <x:f>IF(AND(F596&lt;=F628,F596&lt;=F580,F596&lt;=F612,G596&lt;=G608,G596&lt;=G604,G596&lt;=G600,H596&lt;=H597,H596&lt;=H594,H596&lt;=H595),1,0)</x:f>
        <x:v>0</x:v>
      </x:c>
      <x:c r="Q596" s="42" t="n">
        <x:f>IF(AND(L596&lt;=L628,L596&lt;=L580,L596&lt;=L612,M596&lt;=M608,M596&lt;=M604,M596&lt;=M600,N596&lt;=N597,N596&lt;=N594,N596&lt;=N595),1,0)</x:f>
        <x:v>1</x:v>
      </x:c>
      <x:c r="R596" s="42" t="n">
        <x:v>0</x:v>
      </x:c>
      <x:c r="S596" s="42" t="n">
        <x:v>1</x:v>
      </x:c>
    </x:row>
    <x:row r="597">
      <x:c r="A597" t="n">
        <x:v>10</x:v>
      </x:c>
      <x:c r="B597" t="n">
        <x:v>4</x:v>
      </x:c>
      <x:c r="C597" t="n">
        <x:v>0</x:v>
      </x:c>
      <x:c r="D597" t="n">
        <x:v>3</x:v>
      </x:c>
      <x:c r="E597" t="str">
        <x:v>lev</x:v>
      </x:c>
      <x:c r="F597" s="45" t="n">
        <x:f>1*$D597</x:f>
        <x:v>3</x:v>
      </x:c>
      <x:c r="G597" s="45" t="n">
        <x:f>1*$B597</x:f>
        <x:v>4</x:v>
      </x:c>
      <x:c r="H597" s="45" t="n">
        <x:f>2*$B597</x:f>
        <x:v>8</x:v>
      </x:c>
      <x:c r="I597" s="45" t="n">
        <x:f>0</x:f>
        <x:v>0</x:v>
      </x:c>
      <x:c r="J597" s="45" t="n">
        <x:f>0</x:f>
        <x:v>0</x:v>
      </x:c>
      <x:c r="K597" s="45" t="n">
        <x:f>0</x:f>
        <x:v>0</x:v>
      </x:c>
      <x:c r="L597" s="45" t="n">
        <x:f>F597+I597</x:f>
        <x:v>3</x:v>
      </x:c>
      <x:c r="M597" s="45" t="n">
        <x:f>G597+J597</x:f>
        <x:v>4</x:v>
      </x:c>
      <x:c r="N597" s="45" t="n">
        <x:f>H597+K597</x:f>
        <x:v>8</x:v>
      </x:c>
      <x:c r="O597" s="45" t="n">
        <x:f>SUM(F597:H597)</x:f>
        <x:v>15</x:v>
      </x:c>
      <x:c r="P597" s="42" t="n">
        <x:f>IF(AND(F597&lt;=F629,F597&lt;=F581,F597&lt;=F613,G597&lt;=G609,G597&lt;=G605,G597&lt;=G601,H597&lt;=H594,H597&lt;=H596,H597&lt;=H595),1,0)</x:f>
        <x:v>0</x:v>
      </x:c>
      <x:c r="Q597" s="42" t="n">
        <x:f>IF(AND(L597&lt;=L629,L597&lt;=L581,L597&lt;=L613,M597&lt;=M609,M597&lt;=M605,M597&lt;=M601,N597&lt;=N594,N597&lt;=N596,N597&lt;=N595),1,0)</x:f>
        <x:v>0</x:v>
      </x:c>
      <x:c r="R597" s="42" t="n">
        <x:v>0</x:v>
      </x:c>
      <x:c r="S597" s="42" t="n">
        <x:v>0</x:v>
      </x:c>
    </x:row>
    <x:row r="598">
      <x:c r="A598" t="n">
        <x:v>10</x:v>
      </x:c>
      <x:c r="B598" t="n">
        <x:v>4</x:v>
      </x:c>
      <x:c r="C598" t="n">
        <x:v>0</x:v>
      </x:c>
      <x:c r="D598" t="n">
        <x:v>3</x:v>
      </x:c>
      <x:c r="E598" t="str">
        <x:v>lle</x:v>
      </x:c>
      <x:c r="F598" s="45" t="n">
        <x:f>(1/2)*$C598+(3/2)*$D598</x:f>
        <x:v>4.5</x:v>
      </x:c>
      <x:c r="G598" s="45" t="n">
        <x:f>(1/2)*$C598+(3/2)*$D598</x:f>
        <x:v>4.5</x:v>
      </x:c>
      <x:c r="H598" s="45" t="n">
        <x:f>1*$B598</x:f>
        <x:v>4</x:v>
      </x:c>
      <x:c r="I598" s="45" t="n">
        <x:f>(1/2)*($C598+$D598)</x:f>
        <x:v>1.5</x:v>
      </x:c>
      <x:c r="J598" s="45" t="n">
        <x:f>(1/2)*($C598+$D598)</x:f>
        <x:v>1.5</x:v>
      </x:c>
      <x:c r="K598" s="45" t="n">
        <x:f>0</x:f>
        <x:v>0</x:v>
      </x:c>
      <x:c r="L598" s="45" t="n">
        <x:f>F598+I598</x:f>
        <x:v>6</x:v>
      </x:c>
      <x:c r="M598" s="45" t="n">
        <x:f>G598+J598</x:f>
        <x:v>6</x:v>
      </x:c>
      <x:c r="N598" s="45" t="n">
        <x:f>H598+K598</x:f>
        <x:v>4</x:v>
      </x:c>
      <x:c r="O598" s="45" t="n">
        <x:f>SUM(F598:H598)</x:f>
        <x:v>13</x:v>
      </x:c>
      <x:c r="P598" s="42" t="n">
        <x:f>IF(AND(F598&lt;=F630,F598&lt;=F582,F598&lt;=F614,G598&lt;=G606,G598&lt;=G594,G598&lt;=G602,H598&lt;=H601,H598&lt;=H600,H598&lt;=H599),1,0)</x:f>
        <x:v>0</x:v>
      </x:c>
      <x:c r="Q598" s="42" t="n">
        <x:f>IF(AND(L598&lt;=L630,L598&lt;=L582,L598&lt;=L614,M598&lt;=M606,M598&lt;=M594,M598&lt;=M602,N598&lt;=N601,N598&lt;=N600,N598&lt;=N599),1,0)</x:f>
        <x:v>0</x:v>
      </x:c>
      <x:c r="R598" s="42" t="n">
        <x:v>0</x:v>
      </x:c>
      <x:c r="S598" s="42" t="n">
        <x:v>0</x:v>
      </x:c>
    </x:row>
    <x:row r="599">
      <x:c r="A599" t="n">
        <x:v>10</x:v>
      </x:c>
      <x:c r="B599" t="n">
        <x:v>4</x:v>
      </x:c>
      <x:c r="C599" t="n">
        <x:v>0</x:v>
      </x:c>
      <x:c r="D599" t="n">
        <x:v>3</x:v>
      </x:c>
      <x:c r="E599" t="str">
        <x:v>lll</x:v>
      </x:c>
      <x:c r="F599" s="45" t="n">
        <x:f>1*$C599+2*$D599</x:f>
        <x:v>6</x:v>
      </x:c>
      <x:c r="G599" s="45" t="n">
        <x:f>1*$C599+2*$D599</x:f>
        <x:v>6</x:v>
      </x:c>
      <x:c r="H599" s="45" t="n">
        <x:f>1*$C599+2*$D599</x:f>
        <x:v>6</x:v>
      </x:c>
      <x:c r="I599" s="45" t="n">
        <x:f>$C599+$D599</x:f>
        <x:v>3</x:v>
      </x:c>
      <x:c r="J599" s="45" t="n">
        <x:f>$C599+$D599</x:f>
        <x:v>3</x:v>
      </x:c>
      <x:c r="K599" s="45" t="n">
        <x:f>$C599+$D599</x:f>
        <x:v>3</x:v>
      </x:c>
      <x:c r="L599" s="45" t="n">
        <x:f>F599+I599</x:f>
        <x:v>9</x:v>
      </x:c>
      <x:c r="M599" s="45" t="n">
        <x:f>G599+J599</x:f>
        <x:v>9</x:v>
      </x:c>
      <x:c r="N599" s="45" t="n">
        <x:f>H599+K599</x:f>
        <x:v>9</x:v>
      </x:c>
      <x:c r="O599" s="45" t="n">
        <x:f>SUM(F599:H599)</x:f>
        <x:v>18</x:v>
      </x:c>
      <x:c r="P599" s="42" t="n">
        <x:f>IF(AND(F599&lt;=F631,F599&lt;=F583,F599&lt;=F615,G599&lt;=G607,G599&lt;=G595,G599&lt;=G603,H599&lt;=H601,H599&lt;=H598,H599&lt;=H600),1,0)</x:f>
        <x:v>0</x:v>
      </x:c>
      <x:c r="Q599" s="42" t="n">
        <x:f>IF(AND(L599&lt;=L631,L599&lt;=L583,L599&lt;=L615,M599&lt;=M607,M599&lt;=M595,M599&lt;=M603,N599&lt;=N601,N599&lt;=N598,N599&lt;=N600),1,0)</x:f>
        <x:v>0</x:v>
      </x:c>
      <x:c r="R599" s="42" t="n">
        <x:v>0</x:v>
      </x:c>
      <x:c r="S599" s="42" t="n">
        <x:v>0</x:v>
      </x:c>
    </x:row>
    <x:row r="600">
      <x:c r="A600" t="n">
        <x:v>10</x:v>
      </x:c>
      <x:c r="B600" t="n">
        <x:v>4</x:v>
      </x:c>
      <x:c r="C600" t="n">
        <x:v>0</x:v>
      </x:c>
      <x:c r="D600" t="n">
        <x:v>3</x:v>
      </x:c>
      <x:c r="E600" t="str">
        <x:v>llo</x:v>
      </x:c>
      <x:c r="F600" s="45" t="n">
        <x:f>(1/2)*$C600+(3/2)*$D600</x:f>
        <x:v>4.5</x:v>
      </x:c>
      <x:c r="G600" s="45" t="n">
        <x:f>(1/2)*$C600+(3/2)*$D600</x:f>
        <x:v>4.5</x:v>
      </x:c>
      <x:c r="H600" s="45" t="n">
        <x:f>0</x:f>
        <x:v>0</x:v>
      </x:c>
      <x:c r="I600" s="45" t="n">
        <x:f>(1/2)*($C600+$D600)</x:f>
        <x:v>1.5</x:v>
      </x:c>
      <x:c r="J600" s="45" t="n">
        <x:f>(1/2)*($C600+$D600)</x:f>
        <x:v>1.5</x:v>
      </x:c>
      <x:c r="K600" s="45" t="n">
        <x:f>0</x:f>
        <x:v>0</x:v>
      </x:c>
      <x:c r="L600" s="45" t="n">
        <x:f>F600+I600</x:f>
        <x:v>6</x:v>
      </x:c>
      <x:c r="M600" s="45" t="n">
        <x:f>G600+J600</x:f>
        <x:v>6</x:v>
      </x:c>
      <x:c r="N600" s="45" t="n">
        <x:f>H600+K600</x:f>
        <x:v>0</x:v>
      </x:c>
      <x:c r="O600" s="45" t="n">
        <x:f>SUM(F600:H600)</x:f>
        <x:v>9</x:v>
      </x:c>
      <x:c r="P600" s="42" t="n">
        <x:f>IF(AND(F600&lt;=F632,F600&lt;=F584,F600&lt;=F616,G600&lt;=G608,G600&lt;=G596,G600&lt;=G604,H600&lt;=H601,H600&lt;=H598,H600&lt;=H599),1,0)</x:f>
        <x:v>0</x:v>
      </x:c>
      <x:c r="Q600" s="42" t="n">
        <x:f>IF(AND(L600&lt;=L632,L600&lt;=L584,L600&lt;=L616,M600&lt;=M608,M600&lt;=M596,M600&lt;=M604,N600&lt;=N601,N600&lt;=N598,N600&lt;=N599),1,0)</x:f>
        <x:v>0</x:v>
      </x:c>
      <x:c r="R600" s="42" t="n">
        <x:v>0</x:v>
      </x:c>
      <x:c r="S600" s="42" t="n">
        <x:v>0</x:v>
      </x:c>
    </x:row>
    <x:row r="601">
      <x:c r="A601" t="n">
        <x:v>10</x:v>
      </x:c>
      <x:c r="B601" t="n">
        <x:v>4</x:v>
      </x:c>
      <x:c r="C601" t="n">
        <x:v>0</x:v>
      </x:c>
      <x:c r="D601" t="n">
        <x:v>3</x:v>
      </x:c>
      <x:c r="E601" t="str">
        <x:v>llv</x:v>
      </x:c>
      <x:c r="F601" s="45" t="n">
        <x:f>(1/2)*$C601+(3/2)*$D601</x:f>
        <x:v>4.5</x:v>
      </x:c>
      <x:c r="G601" s="45" t="n">
        <x:f>(1/2)*$C601+(3/2)*$D601</x:f>
        <x:v>4.5</x:v>
      </x:c>
      <x:c r="H601" s="45" t="n">
        <x:f>2*$B601</x:f>
        <x:v>8</x:v>
      </x:c>
      <x:c r="I601" s="45" t="n">
        <x:f>(1/2)*($C601+$D601)</x:f>
        <x:v>1.5</x:v>
      </x:c>
      <x:c r="J601" s="45" t="n">
        <x:f>(1/2)*($C601+$D601)</x:f>
        <x:v>1.5</x:v>
      </x:c>
      <x:c r="K601" s="45" t="n">
        <x:f>0</x:f>
        <x:v>0</x:v>
      </x:c>
      <x:c r="L601" s="45" t="n">
        <x:f>F601+I601</x:f>
        <x:v>6</x:v>
      </x:c>
      <x:c r="M601" s="45" t="n">
        <x:f>G601+J601</x:f>
        <x:v>6</x:v>
      </x:c>
      <x:c r="N601" s="45" t="n">
        <x:f>H601+K601</x:f>
        <x:v>8</x:v>
      </x:c>
      <x:c r="O601" s="45" t="n">
        <x:f>SUM(F601:H601)</x:f>
        <x:v>17</x:v>
      </x:c>
      <x:c r="P601" s="42" t="n">
        <x:f>IF(AND(F601&lt;=F633,F601&lt;=F585,F601&lt;=F617,G601&lt;=G609,G601&lt;=G597,G601&lt;=G605,H601&lt;=H598,H601&lt;=H600,H601&lt;=H599),1,0)</x:f>
        <x:v>0</x:v>
      </x:c>
      <x:c r="Q601" s="42" t="n">
        <x:f>IF(AND(L601&lt;=L633,L601&lt;=L585,L601&lt;=L617,M601&lt;=M609,M601&lt;=M597,M601&lt;=M605,N601&lt;=N598,N601&lt;=N600,N601&lt;=N599),1,0)</x:f>
        <x:v>0</x:v>
      </x:c>
      <x:c r="R601" s="42" t="n">
        <x:v>0</x:v>
      </x:c>
      <x:c r="S601" s="42" t="n">
        <x:v>0</x:v>
      </x:c>
    </x:row>
    <x:row r="602">
      <x:c r="A602" t="n">
        <x:v>10</x:v>
      </x:c>
      <x:c r="B602" t="n">
        <x:v>4</x:v>
      </x:c>
      <x:c r="C602" t="n">
        <x:v>0</x:v>
      </x:c>
      <x:c r="D602" t="n">
        <x:v>3</x:v>
      </x:c>
      <x:c r="E602" t="str">
        <x:v>loe</x:v>
      </x:c>
      <x:c r="F602" s="45" t="n">
        <x:f>1*$D602</x:f>
        <x:v>3</x:v>
      </x:c>
      <x:c r="G602" s="45" t="n">
        <x:f>0</x:f>
        <x:v>0</x:v>
      </x:c>
      <x:c r="H602" s="45" t="n">
        <x:f>1*$B602</x:f>
        <x:v>4</x:v>
      </x:c>
      <x:c r="I602" s="45" t="n">
        <x:f>0</x:f>
        <x:v>0</x:v>
      </x:c>
      <x:c r="J602" s="45" t="n">
        <x:f>0</x:f>
        <x:v>0</x:v>
      </x:c>
      <x:c r="K602" s="45" t="n">
        <x:f>0</x:f>
        <x:v>0</x:v>
      </x:c>
      <x:c r="L602" s="45" t="n">
        <x:f>F602+I602</x:f>
        <x:v>3</x:v>
      </x:c>
      <x:c r="M602" s="45" t="n">
        <x:f>G602+J602</x:f>
        <x:v>0</x:v>
      </x:c>
      <x:c r="N602" s="45" t="n">
        <x:f>H602+K602</x:f>
        <x:v>4</x:v>
      </x:c>
      <x:c r="O602" s="45" t="n">
        <x:f>SUM(F602:H602)</x:f>
        <x:v>7</x:v>
      </x:c>
      <x:c r="P602" s="42" t="n">
        <x:f>IF(AND(F602&lt;=F634,F602&lt;=F586,F602&lt;=F618,G602&lt;=G606,G602&lt;=G594,G602&lt;=G598,H602&lt;=H605,H602&lt;=H604,H602&lt;=H603),1,0)</x:f>
        <x:v>0</x:v>
      </x:c>
      <x:c r="Q602" s="42" t="n">
        <x:f>IF(AND(L602&lt;=L634,L602&lt;=L586,L602&lt;=L618,M602&lt;=M606,M602&lt;=M594,M602&lt;=M598,N602&lt;=N605,N602&lt;=N604,N602&lt;=N603),1,0)</x:f>
        <x:v>1</x:v>
      </x:c>
      <x:c r="R602" s="42" t="n">
        <x:v>0</x:v>
      </x:c>
      <x:c r="S602" s="42" t="n">
        <x:v>1</x:v>
      </x:c>
    </x:row>
    <x:row r="603">
      <x:c r="A603" t="n">
        <x:v>10</x:v>
      </x:c>
      <x:c r="B603" t="n">
        <x:v>4</x:v>
      </x:c>
      <x:c r="C603" t="n">
        <x:v>0</x:v>
      </x:c>
      <x:c r="D603" t="n">
        <x:v>3</x:v>
      </x:c>
      <x:c r="E603" t="str">
        <x:v>lol</x:v>
      </x:c>
      <x:c r="F603" s="45" t="n">
        <x:f>(1/2)*$C603+(3/2)*$D603</x:f>
        <x:v>4.5</x:v>
      </x:c>
      <x:c r="G603" s="45" t="n">
        <x:f>0</x:f>
        <x:v>0</x:v>
      </x:c>
      <x:c r="H603" s="45" t="n">
        <x:f>(1/2)*$C603+(3/2)*$D603</x:f>
        <x:v>4.5</x:v>
      </x:c>
      <x:c r="I603" s="45" t="n">
        <x:f>(1/2)*($C603+$D603)</x:f>
        <x:v>1.5</x:v>
      </x:c>
      <x:c r="J603" s="45" t="n">
        <x:f>0</x:f>
        <x:v>0</x:v>
      </x:c>
      <x:c r="K603" s="45" t="n">
        <x:f>(1/2)*($C603+$D603)</x:f>
        <x:v>1.5</x:v>
      </x:c>
      <x:c r="L603" s="45" t="n">
        <x:f>F603+I603</x:f>
        <x:v>6</x:v>
      </x:c>
      <x:c r="M603" s="45" t="n">
        <x:f>G603+J603</x:f>
        <x:v>0</x:v>
      </x:c>
      <x:c r="N603" s="45" t="n">
        <x:f>H603+K603</x:f>
        <x:v>6</x:v>
      </x:c>
      <x:c r="O603" s="45" t="n">
        <x:f>SUM(F603:H603)</x:f>
        <x:v>9</x:v>
      </x:c>
      <x:c r="P603" s="42" t="n">
        <x:f>IF(AND(F603&lt;=F635,F603&lt;=F587,F603&lt;=F619,G603&lt;=G607,G603&lt;=G595,G603&lt;=G599,H603&lt;=H605,H603&lt;=H602,H603&lt;=H604),1,0)</x:f>
        <x:v>0</x:v>
      </x:c>
      <x:c r="Q603" s="42" t="n">
        <x:f>IF(AND(L603&lt;=L635,L603&lt;=L587,L603&lt;=L619,M603&lt;=M607,M603&lt;=M595,M603&lt;=M599,N603&lt;=N605,N603&lt;=N602,N603&lt;=N604),1,0)</x:f>
        <x:v>0</x:v>
      </x:c>
      <x:c r="R603" s="42" t="n">
        <x:v>0</x:v>
      </x:c>
      <x:c r="S603" s="42" t="n">
        <x:v>0</x:v>
      </x:c>
    </x:row>
    <x:row r="604">
      <x:c r="A604" t="n">
        <x:v>10</x:v>
      </x:c>
      <x:c r="B604" t="n">
        <x:v>4</x:v>
      </x:c>
      <x:c r="C604" t="n">
        <x:v>0</x:v>
      </x:c>
      <x:c r="D604" t="n">
        <x:v>3</x:v>
      </x:c>
      <x:c r="E604" t="str">
        <x:v>loo</x:v>
      </x:c>
      <x:c r="F604" s="45" t="n">
        <x:f>1*$C604+2*$D604</x:f>
        <x:v>6</x:v>
      </x:c>
      <x:c r="G604" s="45" t="n">
        <x:f>(1/2)*$C604+(1/2)*$D604</x:f>
        <x:v>1.5</x:v>
      </x:c>
      <x:c r="H604" s="45" t="n">
        <x:f>(1/2)*$C604+(1/2)*$D604</x:f>
        <x:v>1.5</x:v>
      </x:c>
      <x:c r="I604" s="45" t="n">
        <x:f>0</x:f>
        <x:v>0</x:v>
      </x:c>
      <x:c r="J604" s="45" t="n">
        <x:f>(3/2)*($C604+$D604)</x:f>
        <x:v>4.5</x:v>
      </x:c>
      <x:c r="K604" s="45" t="n">
        <x:f>(3/2)*($C604+$D604)</x:f>
        <x:v>4.5</x:v>
      </x:c>
      <x:c r="L604" s="45" t="n">
        <x:f>F604+I604</x:f>
        <x:v>6</x:v>
      </x:c>
      <x:c r="M604" s="45" t="n">
        <x:f>G604+J604</x:f>
        <x:v>6</x:v>
      </x:c>
      <x:c r="N604" s="45" t="n">
        <x:f>H604+K604</x:f>
        <x:v>6</x:v>
      </x:c>
      <x:c r="O604" s="45" t="n">
        <x:f>SUM(F604:H604)</x:f>
        <x:v>9</x:v>
      </x:c>
      <x:c r="P604" s="42" t="n">
        <x:f>IF(AND(F604&lt;=F636,F604&lt;=F588,F604&lt;=F620,G604&lt;=G608,G604&lt;=G596,G604&lt;=G600,H604&lt;=H605,H604&lt;=H602,H604&lt;=H603),1,0)</x:f>
        <x:v>0</x:v>
      </x:c>
      <x:c r="Q604" s="42" t="n">
        <x:f>IF(AND(L604&lt;=L636,L604&lt;=L588,L604&lt;=L620,M604&lt;=M608,M604&lt;=M596,M604&lt;=M600,N604&lt;=N605,N604&lt;=N602,N604&lt;=N603),1,0)</x:f>
        <x:v>0</x:v>
      </x:c>
      <x:c r="R604" s="42" t="n">
        <x:v>0</x:v>
      </x:c>
      <x:c r="S604" s="42" t="n">
        <x:v>0</x:v>
      </x:c>
    </x:row>
    <x:row r="605">
      <x:c r="A605" t="n">
        <x:v>10</x:v>
      </x:c>
      <x:c r="B605" t="n">
        <x:v>4</x:v>
      </x:c>
      <x:c r="C605" t="n">
        <x:v>0</x:v>
      </x:c>
      <x:c r="D605" t="n">
        <x:v>3</x:v>
      </x:c>
      <x:c r="E605" t="str">
        <x:v>lov</x:v>
      </x:c>
      <x:c r="F605" s="45" t="n">
        <x:f>1*$D605</x:f>
        <x:v>3</x:v>
      </x:c>
      <x:c r="G605" s="45" t="n">
        <x:f>0</x:f>
        <x:v>0</x:v>
      </x:c>
      <x:c r="H605" s="45" t="n">
        <x:f>2*$B605</x:f>
        <x:v>8</x:v>
      </x:c>
      <x:c r="I605" s="45" t="n">
        <x:f>0</x:f>
        <x:v>0</x:v>
      </x:c>
      <x:c r="J605" s="45" t="n">
        <x:f>0</x:f>
        <x:v>0</x:v>
      </x:c>
      <x:c r="K605" s="45" t="n">
        <x:f>0</x:f>
        <x:v>0</x:v>
      </x:c>
      <x:c r="L605" s="45" t="n">
        <x:f>F605+I605</x:f>
        <x:v>3</x:v>
      </x:c>
      <x:c r="M605" s="45" t="n">
        <x:f>G605+J605</x:f>
        <x:v>0</x:v>
      </x:c>
      <x:c r="N605" s="45" t="n">
        <x:f>H605+K605</x:f>
        <x:v>8</x:v>
      </x:c>
      <x:c r="O605" s="45" t="n">
        <x:f>SUM(F605:H605)</x:f>
        <x:v>11</x:v>
      </x:c>
      <x:c r="P605" s="42" t="n">
        <x:f>IF(AND(F605&lt;=F637,F605&lt;=F589,F605&lt;=F621,G605&lt;=G609,G605&lt;=G597,G605&lt;=G601,H605&lt;=H602,H605&lt;=H604,H605&lt;=H603),1,0)</x:f>
        <x:v>0</x:v>
      </x:c>
      <x:c r="Q605" s="42" t="n">
        <x:f>IF(AND(L605&lt;=L637,L605&lt;=L589,L605&lt;=L621,M605&lt;=M609,M605&lt;=M597,M605&lt;=M601,N605&lt;=N602,N605&lt;=N604,N605&lt;=N603),1,0)</x:f>
        <x:v>0</x:v>
      </x:c>
      <x:c r="R605" s="42" t="n">
        <x:v>0</x:v>
      </x:c>
      <x:c r="S605" s="42" t="n">
        <x:v>0</x:v>
      </x:c>
    </x:row>
    <x:row r="606">
      <x:c r="A606" t="n">
        <x:v>10</x:v>
      </x:c>
      <x:c r="B606" t="n">
        <x:v>4</x:v>
      </x:c>
      <x:c r="C606" t="n">
        <x:v>0</x:v>
      </x:c>
      <x:c r="D606" t="n">
        <x:v>3</x:v>
      </x:c>
      <x:c r="E606" t="str">
        <x:v>lve</x:v>
      </x:c>
      <x:c r="F606" s="45" t="n">
        <x:f>1*$D606</x:f>
        <x:v>3</x:v>
      </x:c>
      <x:c r="G606" s="45" t="n">
        <x:f>2*$B606</x:f>
        <x:v>8</x:v>
      </x:c>
      <x:c r="H606" s="45" t="n">
        <x:f>1*$B606</x:f>
        <x:v>4</x:v>
      </x:c>
      <x:c r="I606" s="45" t="n">
        <x:f>0</x:f>
        <x:v>0</x:v>
      </x:c>
      <x:c r="J606" s="45" t="n">
        <x:f>0</x:f>
        <x:v>0</x:v>
      </x:c>
      <x:c r="K606" s="45" t="n">
        <x:f>0</x:f>
        <x:v>0</x:v>
      </x:c>
      <x:c r="L606" s="45" t="n">
        <x:f>F606+I606</x:f>
        <x:v>3</x:v>
      </x:c>
      <x:c r="M606" s="45" t="n">
        <x:f>G606+J606</x:f>
        <x:v>8</x:v>
      </x:c>
      <x:c r="N606" s="45" t="n">
        <x:f>H606+K606</x:f>
        <x:v>4</x:v>
      </x:c>
      <x:c r="O606" s="45" t="n">
        <x:f>SUM(F606:H606)</x:f>
        <x:v>15</x:v>
      </x:c>
      <x:c r="P606" s="42" t="n">
        <x:f>IF(AND(F606&lt;=F638,F606&lt;=F590,F606&lt;=F622,G606&lt;=G594,G606&lt;=G602,G606&lt;=G598,H606&lt;=H609,H606&lt;=H608,H606&lt;=H607),1,0)</x:f>
        <x:v>0</x:v>
      </x:c>
      <x:c r="Q606" s="42" t="n">
        <x:f>IF(AND(L606&lt;=L638,L606&lt;=L590,L606&lt;=L622,M606&lt;=M594,M606&lt;=M602,M606&lt;=M598,N606&lt;=N609,N606&lt;=N608,N606&lt;=N607),1,0)</x:f>
        <x:v>0</x:v>
      </x:c>
      <x:c r="R606" s="42" t="n">
        <x:v>0</x:v>
      </x:c>
      <x:c r="S606" s="42" t="n">
        <x:v>0</x:v>
      </x:c>
    </x:row>
    <x:row r="607">
      <x:c r="A607" t="n">
        <x:v>10</x:v>
      </x:c>
      <x:c r="B607" t="n">
        <x:v>4</x:v>
      </x:c>
      <x:c r="C607" t="n">
        <x:v>0</x:v>
      </x:c>
      <x:c r="D607" t="n">
        <x:v>3</x:v>
      </x:c>
      <x:c r="E607" t="str">
        <x:v>lvl</x:v>
      </x:c>
      <x:c r="F607" s="45" t="n">
        <x:f>(1/2)*$C607+(3/2)*$D607</x:f>
        <x:v>4.5</x:v>
      </x:c>
      <x:c r="G607" s="45" t="n">
        <x:f>2*$B607</x:f>
        <x:v>8</x:v>
      </x:c>
      <x:c r="H607" s="45" t="n">
        <x:f>(1/2)*$C607+(3/2)*$D607</x:f>
        <x:v>4.5</x:v>
      </x:c>
      <x:c r="I607" s="45" t="n">
        <x:f>(1/2)*($C607+$D607)</x:f>
        <x:v>1.5</x:v>
      </x:c>
      <x:c r="J607" s="45" t="n">
        <x:f>0</x:f>
        <x:v>0</x:v>
      </x:c>
      <x:c r="K607" s="45" t="n">
        <x:f>(1/2)*($C607+$D607)</x:f>
        <x:v>1.5</x:v>
      </x:c>
      <x:c r="L607" s="45" t="n">
        <x:f>F607+I607</x:f>
        <x:v>6</x:v>
      </x:c>
      <x:c r="M607" s="45" t="n">
        <x:f>G607+J607</x:f>
        <x:v>8</x:v>
      </x:c>
      <x:c r="N607" s="45" t="n">
        <x:f>H607+K607</x:f>
        <x:v>6</x:v>
      </x:c>
      <x:c r="O607" s="45" t="n">
        <x:f>SUM(F607:H607)</x:f>
        <x:v>17</x:v>
      </x:c>
      <x:c r="P607" s="42" t="n">
        <x:f>IF(AND(F607&lt;=F639,F607&lt;=F591,F607&lt;=F623,G607&lt;=G595,G607&lt;=G603,G607&lt;=G599,H607&lt;=H609,H607&lt;=H606,H607&lt;=H608),1,0)</x:f>
        <x:v>0</x:v>
      </x:c>
      <x:c r="Q607" s="42" t="n">
        <x:f>IF(AND(L607&lt;=L639,L607&lt;=L591,L607&lt;=L623,M607&lt;=M595,M607&lt;=M603,M607&lt;=M599,N607&lt;=N609,N607&lt;=N606,N607&lt;=N608),1,0)</x:f>
        <x:v>0</x:v>
      </x:c>
      <x:c r="R607" s="42" t="n">
        <x:v>0</x:v>
      </x:c>
      <x:c r="S607" s="42" t="n">
        <x:v>0</x:v>
      </x:c>
    </x:row>
    <x:row r="608">
      <x:c r="A608" t="n">
        <x:v>10</x:v>
      </x:c>
      <x:c r="B608" t="n">
        <x:v>4</x:v>
      </x:c>
      <x:c r="C608" t="n">
        <x:v>0</x:v>
      </x:c>
      <x:c r="D608" t="n">
        <x:v>3</x:v>
      </x:c>
      <x:c r="E608" t="str">
        <x:v>lvo</x:v>
      </x:c>
      <x:c r="F608" s="45" t="n">
        <x:f>1*$D608</x:f>
        <x:v>3</x:v>
      </x:c>
      <x:c r="G608" s="45" t="n">
        <x:f>2*$B608</x:f>
        <x:v>8</x:v>
      </x:c>
      <x:c r="H608" s="45" t="n">
        <x:f>0</x:f>
        <x:v>0</x:v>
      </x:c>
      <x:c r="I608" s="45" t="n">
        <x:f>0</x:f>
        <x:v>0</x:v>
      </x:c>
      <x:c r="J608" s="45" t="n">
        <x:f>0</x:f>
        <x:v>0</x:v>
      </x:c>
      <x:c r="K608" s="45" t="n">
        <x:f>0</x:f>
        <x:v>0</x:v>
      </x:c>
      <x:c r="L608" s="45" t="n">
        <x:f>F608+I608</x:f>
        <x:v>3</x:v>
      </x:c>
      <x:c r="M608" s="45" t="n">
        <x:f>G608+J608</x:f>
        <x:v>8</x:v>
      </x:c>
      <x:c r="N608" s="45" t="n">
        <x:f>H608+K608</x:f>
        <x:v>0</x:v>
      </x:c>
      <x:c r="O608" s="45" t="n">
        <x:f>SUM(F608:H608)</x:f>
        <x:v>11</x:v>
      </x:c>
      <x:c r="P608" s="42" t="n">
        <x:f>IF(AND(F608&lt;=F640,F608&lt;=F592,F608&lt;=F624,G608&lt;=G596,G608&lt;=G604,G608&lt;=G600,H608&lt;=H609,H608&lt;=H606,H608&lt;=H607),1,0)</x:f>
        <x:v>0</x:v>
      </x:c>
      <x:c r="Q608" s="42" t="n">
        <x:f>IF(AND(L608&lt;=L640,L608&lt;=L592,L608&lt;=L624,M608&lt;=M596,M608&lt;=M604,M608&lt;=M600,N608&lt;=N609,N608&lt;=N606,N608&lt;=N607),1,0)</x:f>
        <x:v>0</x:v>
      </x:c>
      <x:c r="R608" s="42" t="n">
        <x:v>0</x:v>
      </x:c>
      <x:c r="S608" s="42" t="n">
        <x:v>0</x:v>
      </x:c>
    </x:row>
    <x:row r="609">
      <x:c r="A609" t="n">
        <x:v>10</x:v>
      </x:c>
      <x:c r="B609" t="n">
        <x:v>4</x:v>
      </x:c>
      <x:c r="C609" t="n">
        <x:v>0</x:v>
      </x:c>
      <x:c r="D609" t="n">
        <x:v>3</x:v>
      </x:c>
      <x:c r="E609" t="str">
        <x:v>lvv</x:v>
      </x:c>
      <x:c r="F609" s="45" t="n">
        <x:f>1*$D609</x:f>
        <x:v>3</x:v>
      </x:c>
      <x:c r="G609" s="45" t="n">
        <x:f>(3/2)*$B609+(1/2)*$C609</x:f>
        <x:v>6</x:v>
      </x:c>
      <x:c r="H609" s="45" t="n">
        <x:f>(3/2)*$B609+(1/2)*$C609</x:f>
        <x:v>6</x:v>
      </x:c>
      <x:c r="I609" s="45" t="n">
        <x:f>0</x:f>
        <x:v>0</x:v>
      </x:c>
      <x:c r="J609" s="45" t="n">
        <x:f>MAX((1/2)*($C609-$B609),0)</x:f>
        <x:v>0</x:v>
      </x:c>
      <x:c r="K609" s="45" t="n">
        <x:f>MAX((1/2)*($C609-$B609),0)</x:f>
        <x:v>0</x:v>
      </x:c>
      <x:c r="L609" s="45" t="n">
        <x:f>F609+I609</x:f>
        <x:v>3</x:v>
      </x:c>
      <x:c r="M609" s="45" t="n">
        <x:f>G609+J609</x:f>
        <x:v>6</x:v>
      </x:c>
      <x:c r="N609" s="45" t="n">
        <x:f>H609+K609</x:f>
        <x:v>6</x:v>
      </x:c>
      <x:c r="O609" s="45" t="n">
        <x:f>SUM(F609:H609)</x:f>
        <x:v>15</x:v>
      </x:c>
      <x:c r="P609" s="42" t="n">
        <x:f>IF(AND(F609&lt;=F641,F609&lt;=F593,F609&lt;=F625,G609&lt;=G597,G609&lt;=G605,G609&lt;=G601,H609&lt;=H606,H609&lt;=H608,H609&lt;=H607),1,0)</x:f>
        <x:v>0</x:v>
      </x:c>
      <x:c r="Q609" s="42" t="n">
        <x:f>IF(AND(L609&lt;=L641,L609&lt;=L593,L609&lt;=L625,M609&lt;=M597,M609&lt;=M605,M609&lt;=M601,N609&lt;=N606,N609&lt;=N608,N609&lt;=N607),1,0)</x:f>
        <x:v>0</x:v>
      </x:c>
      <x:c r="R609" s="42" t="n">
        <x:v>0</x:v>
      </x:c>
      <x:c r="S609" s="42" t="n">
        <x:v>0</x:v>
      </x:c>
    </x:row>
    <x:row r="610">
      <x:c r="A610" t="n">
        <x:v>10</x:v>
      </x:c>
      <x:c r="B610" t="n">
        <x:v>4</x:v>
      </x:c>
      <x:c r="C610" t="n">
        <x:v>0</x:v>
      </x:c>
      <x:c r="D610" t="n">
        <x:v>3</x:v>
      </x:c>
      <x:c r="E610" t="str">
        <x:v>oee</x:v>
      </x:c>
      <x:c r="F610" s="45" t="n">
        <x:f>1*$C610+1*$D610</x:f>
        <x:v>3</x:v>
      </x:c>
      <x:c r="G610" s="45" t="n">
        <x:f>(1/2)*$B610+(1/2)*$C610</x:f>
        <x:v>2</x:v>
      </x:c>
      <x:c r="H610" s="45" t="n">
        <x:f>(1/2)*$B610+(1/2)*$C610</x:f>
        <x:v>2</x:v>
      </x:c>
      <x:c r="I610" s="45" t="n">
        <x:f>0</x:f>
        <x:v>0</x:v>
      </x:c>
      <x:c r="J610" s="45" t="n">
        <x:f>MAX((3/2)*$C610+$D610-(1/2)*$B610,0)</x:f>
        <x:v>1</x:v>
      </x:c>
      <x:c r="K610" s="45" t="n">
        <x:f>MAX((3/2)*$C610+$D610-(1/2)*$B610,0)</x:f>
        <x:v>1</x:v>
      </x:c>
      <x:c r="L610" s="45" t="n">
        <x:f>F610+I610</x:f>
        <x:v>3</x:v>
      </x:c>
      <x:c r="M610" s="45" t="n">
        <x:f>G610+J610</x:f>
        <x:v>3</x:v>
      </x:c>
      <x:c r="N610" s="45" t="n">
        <x:f>H610+K610</x:f>
        <x:v>3</x:v>
      </x:c>
      <x:c r="O610" s="45" t="n">
        <x:f>SUM(F610:H610)</x:f>
        <x:v>7</x:v>
      </x:c>
      <x:c r="P610" s="42" t="n">
        <x:f>IF(AND(F610&lt;=F626,F610&lt;=F578,F610&lt;=F594,G610&lt;=G622,G610&lt;=G618,G610&lt;=G614,H610&lt;=H613,H610&lt;=H612,H610&lt;=H611),1,0)</x:f>
        <x:v>0</x:v>
      </x:c>
      <x:c r="Q610" s="42" t="n">
        <x:f>IF(AND(L610&lt;=L626,L610&lt;=L578,L610&lt;=L594,M610&lt;=M622,M610&lt;=M618,M610&lt;=M614,N610&lt;=N613,N610&lt;=N612,N610&lt;=N611),1,0)</x:f>
        <x:v>1</x:v>
      </x:c>
      <x:c r="R610" s="42" t="n">
        <x:v>0</x:v>
      </x:c>
      <x:c r="S610" s="42" t="n">
        <x:v>0</x:v>
      </x:c>
    </x:row>
    <x:row r="611">
      <x:c r="A611" t="n">
        <x:v>10</x:v>
      </x:c>
      <x:c r="B611" t="n">
        <x:v>4</x:v>
      </x:c>
      <x:c r="C611" t="n">
        <x:v>0</x:v>
      </x:c>
      <x:c r="D611" t="n">
        <x:v>3</x:v>
      </x:c>
      <x:c r="E611" t="str">
        <x:v>oel</x:v>
      </x:c>
      <x:c r="F611" s="45" t="n">
        <x:f>0</x:f>
        <x:v>0</x:v>
      </x:c>
      <x:c r="G611" s="45" t="n">
        <x:f>1*$B611</x:f>
        <x:v>4</x:v>
      </x:c>
      <x:c r="H611" s="45" t="n">
        <x:f>1*$D611</x:f>
        <x:v>3</x:v>
      </x:c>
      <x:c r="I611" s="45" t="n">
        <x:f>0</x:f>
        <x:v>0</x:v>
      </x:c>
      <x:c r="J611" s="45" t="n">
        <x:f>0</x:f>
        <x:v>0</x:v>
      </x:c>
      <x:c r="K611" s="45" t="n">
        <x:f>0</x:f>
        <x:v>0</x:v>
      </x:c>
      <x:c r="L611" s="45" t="n">
        <x:f>F611+I611</x:f>
        <x:v>0</x:v>
      </x:c>
      <x:c r="M611" s="45" t="n">
        <x:f>G611+J611</x:f>
        <x:v>4</x:v>
      </x:c>
      <x:c r="N611" s="45" t="n">
        <x:f>H611+K611</x:f>
        <x:v>3</x:v>
      </x:c>
      <x:c r="O611" s="45" t="n">
        <x:f>SUM(F611:H611)</x:f>
        <x:v>7</x:v>
      </x:c>
      <x:c r="P611" s="42" t="n">
        <x:f>IF(AND(F611&lt;=F627,F611&lt;=F579,F611&lt;=F595,G611&lt;=G623,G611&lt;=G619,G611&lt;=G615,H611&lt;=H613,H611&lt;=H610,H611&lt;=H612),1,0)</x:f>
        <x:v>0</x:v>
      </x:c>
      <x:c r="Q611" s="42" t="n">
        <x:f>IF(AND(L611&lt;=L627,L611&lt;=L579,L611&lt;=L595,M611&lt;=M623,M611&lt;=M619,M611&lt;=M615,N611&lt;=N613,N611&lt;=N610,N611&lt;=N612),1,0)</x:f>
        <x:v>1</x:v>
      </x:c>
      <x:c r="R611" s="42" t="n">
        <x:v>0</x:v>
      </x:c>
      <x:c r="S611" s="42" t="n">
        <x:v>1</x:v>
      </x:c>
    </x:row>
    <x:row r="612">
      <x:c r="A612" t="n">
        <x:v>10</x:v>
      </x:c>
      <x:c r="B612" t="n">
        <x:v>4</x:v>
      </x:c>
      <x:c r="C612" t="n">
        <x:v>0</x:v>
      </x:c>
      <x:c r="D612" t="n">
        <x:v>3</x:v>
      </x:c>
      <x:c r="E612" t="str">
        <x:v>oeo</x:v>
      </x:c>
      <x:c r="F612" s="45" t="n">
        <x:f>(1/2)*$C612+(1/2)*$D612</x:f>
        <x:v>1.5</x:v>
      </x:c>
      <x:c r="G612" s="45" t="n">
        <x:f>1*$B612</x:f>
        <x:v>4</x:v>
      </x:c>
      <x:c r="H612" s="45" t="n">
        <x:f>(1/2)*$C612+(1/2)*$D612</x:f>
        <x:v>1.5</x:v>
      </x:c>
      <x:c r="I612" s="45" t="n">
        <x:f>(1/2)*($C612+$D612)</x:f>
        <x:v>1.5</x:v>
      </x:c>
      <x:c r="J612" s="45" t="n">
        <x:f>0</x:f>
        <x:v>0</x:v>
      </x:c>
      <x:c r="K612" s="45" t="n">
        <x:f>(1/2)*($C612+$D612)</x:f>
        <x:v>1.5</x:v>
      </x:c>
      <x:c r="L612" s="45" t="n">
        <x:f>F612+I612</x:f>
        <x:v>3</x:v>
      </x:c>
      <x:c r="M612" s="45" t="n">
        <x:f>G612+J612</x:f>
        <x:v>4</x:v>
      </x:c>
      <x:c r="N612" s="45" t="n">
        <x:f>H612+K612</x:f>
        <x:v>3</x:v>
      </x:c>
      <x:c r="O612" s="45" t="n">
        <x:f>SUM(F612:H612)</x:f>
        <x:v>7</x:v>
      </x:c>
      <x:c r="P612" s="42" t="n">
        <x:f>IF(AND(F612&lt;=F628,F612&lt;=F580,F612&lt;=F596,G612&lt;=G624,G612&lt;=G620,G612&lt;=G616,H612&lt;=H613,H612&lt;=H610,H612&lt;=H611),1,0)</x:f>
        <x:v>0</x:v>
      </x:c>
      <x:c r="Q612" s="42" t="n">
        <x:f>IF(AND(L612&lt;=L628,L612&lt;=L580,L612&lt;=L596,M612&lt;=M624,M612&lt;=M620,M612&lt;=M616,N612&lt;=N613,N612&lt;=N610,N612&lt;=N611),1,0)</x:f>
        <x:v>1</x:v>
      </x:c>
      <x:c r="R612" s="42" t="n">
        <x:v>0</x:v>
      </x:c>
      <x:c r="S612" s="42" t="n">
        <x:v>1</x:v>
      </x:c>
    </x:row>
    <x:row r="613">
      <x:c r="A613" t="n">
        <x:v>10</x:v>
      </x:c>
      <x:c r="B613" t="n">
        <x:v>4</x:v>
      </x:c>
      <x:c r="C613" t="n">
        <x:v>0</x:v>
      </x:c>
      <x:c r="D613" t="n">
        <x:v>3</x:v>
      </x:c>
      <x:c r="E613" t="str">
        <x:v>oev</x:v>
      </x:c>
      <x:c r="F613" s="45" t="n">
        <x:f>0</x:f>
        <x:v>0</x:v>
      </x:c>
      <x:c r="G613" s="45" t="n">
        <x:f>1*$B613</x:f>
        <x:v>4</x:v>
      </x:c>
      <x:c r="H613" s="45" t="n">
        <x:f>2*$B613</x:f>
        <x:v>8</x:v>
      </x:c>
      <x:c r="I613" s="45" t="n">
        <x:f>0</x:f>
        <x:v>0</x:v>
      </x:c>
      <x:c r="J613" s="45" t="n">
        <x:f>0</x:f>
        <x:v>0</x:v>
      </x:c>
      <x:c r="K613" s="45" t="n">
        <x:f>0</x:f>
        <x:v>0</x:v>
      </x:c>
      <x:c r="L613" s="45" t="n">
        <x:f>F613+I613</x:f>
        <x:v>0</x:v>
      </x:c>
      <x:c r="M613" s="45" t="n">
        <x:f>G613+J613</x:f>
        <x:v>4</x:v>
      </x:c>
      <x:c r="N613" s="45" t="n">
        <x:f>H613+K613</x:f>
        <x:v>8</x:v>
      </x:c>
      <x:c r="O613" s="45" t="n">
        <x:f>SUM(F613:H613)</x:f>
        <x:v>12</x:v>
      </x:c>
      <x:c r="P613" s="42" t="n">
        <x:f>IF(AND(F613&lt;=F629,F613&lt;=F581,F613&lt;=F597,G613&lt;=G625,G613&lt;=G621,G613&lt;=G617,H613&lt;=H610,H613&lt;=H612,H613&lt;=H611),1,0)</x:f>
        <x:v>0</x:v>
      </x:c>
      <x:c r="Q613" s="42" t="n">
        <x:f>IF(AND(L613&lt;=L629,L613&lt;=L581,L613&lt;=L597,M613&lt;=M625,M613&lt;=M621,M613&lt;=M617,N613&lt;=N610,N613&lt;=N612,N613&lt;=N611),1,0)</x:f>
        <x:v>0</x:v>
      </x:c>
      <x:c r="R613" s="42" t="n">
        <x:v>0</x:v>
      </x:c>
      <x:c r="S613" s="42" t="n">
        <x:v>0</x:v>
      </x:c>
    </x:row>
    <x:row r="614">
      <x:c r="A614" t="n">
        <x:v>10</x:v>
      </x:c>
      <x:c r="B614" t="n">
        <x:v>4</x:v>
      </x:c>
      <x:c r="C614" t="n">
        <x:v>0</x:v>
      </x:c>
      <x:c r="D614" t="n">
        <x:v>3</x:v>
      </x:c>
      <x:c r="E614" t="str">
        <x:v>ole</x:v>
      </x:c>
      <x:c r="F614" s="45" t="n">
        <x:f>0</x:f>
        <x:v>0</x:v>
      </x:c>
      <x:c r="G614" s="45" t="n">
        <x:f>1*$D614</x:f>
        <x:v>3</x:v>
      </x:c>
      <x:c r="H614" s="45" t="n">
        <x:f>1*$B614</x:f>
        <x:v>4</x:v>
      </x:c>
      <x:c r="I614" s="45" t="n">
        <x:f>0</x:f>
        <x:v>0</x:v>
      </x:c>
      <x:c r="J614" s="45" t="n">
        <x:f>0</x:f>
        <x:v>0</x:v>
      </x:c>
      <x:c r="K614" s="45" t="n">
        <x:f>0</x:f>
        <x:v>0</x:v>
      </x:c>
      <x:c r="L614" s="45" t="n">
        <x:f>F614+I614</x:f>
        <x:v>0</x:v>
      </x:c>
      <x:c r="M614" s="45" t="n">
        <x:f>G614+J614</x:f>
        <x:v>3</x:v>
      </x:c>
      <x:c r="N614" s="45" t="n">
        <x:f>H614+K614</x:f>
        <x:v>4</x:v>
      </x:c>
      <x:c r="O614" s="45" t="n">
        <x:f>SUM(F614:H614)</x:f>
        <x:v>7</x:v>
      </x:c>
      <x:c r="P614" s="42" t="n">
        <x:f>IF(AND(F614&lt;=F630,F614&lt;=F582,F614&lt;=F598,G614&lt;=G622,G614&lt;=G610,G614&lt;=G618,H614&lt;=H617,H614&lt;=H616,H614&lt;=H615),1,0)</x:f>
        <x:v>0</x:v>
      </x:c>
      <x:c r="Q614" s="42" t="n">
        <x:f>IF(AND(L614&lt;=L630,L614&lt;=L582,L614&lt;=L598,M614&lt;=M622,M614&lt;=M610,M614&lt;=M618,N614&lt;=N617,N614&lt;=N616,N614&lt;=N615),1,0)</x:f>
        <x:v>1</x:v>
      </x:c>
      <x:c r="R614" s="42" t="n">
        <x:v>0</x:v>
      </x:c>
      <x:c r="S614" s="42" t="n">
        <x:v>1</x:v>
      </x:c>
    </x:row>
    <x:row r="615">
      <x:c r="A615" t="n">
        <x:v>10</x:v>
      </x:c>
      <x:c r="B615" t="n">
        <x:v>4</x:v>
      </x:c>
      <x:c r="C615" t="n">
        <x:v>0</x:v>
      </x:c>
      <x:c r="D615" t="n">
        <x:v>3</x:v>
      </x:c>
      <x:c r="E615" t="str">
        <x:v>oll</x:v>
      </x:c>
      <x:c r="F615" s="45" t="n">
        <x:f>0</x:f>
        <x:v>0</x:v>
      </x:c>
      <x:c r="G615" s="45" t="n">
        <x:f>(1/2)*$C615+(3/2)*$D615</x:f>
        <x:v>4.5</x:v>
      </x:c>
      <x:c r="H615" s="45" t="n">
        <x:f>(1/2)*$C615+(3/2)*$D615</x:f>
        <x:v>4.5</x:v>
      </x:c>
      <x:c r="I615" s="45" t="n">
        <x:f>0</x:f>
        <x:v>0</x:v>
      </x:c>
      <x:c r="J615" s="45" t="n">
        <x:f>(1/2)*($C615+$D615)</x:f>
        <x:v>1.5</x:v>
      </x:c>
      <x:c r="K615" s="45" t="n">
        <x:f>(1/2)*($C615+$D615)</x:f>
        <x:v>1.5</x:v>
      </x:c>
      <x:c r="L615" s="45" t="n">
        <x:f>F615+I615</x:f>
        <x:v>0</x:v>
      </x:c>
      <x:c r="M615" s="45" t="n">
        <x:f>G615+J615</x:f>
        <x:v>6</x:v>
      </x:c>
      <x:c r="N615" s="45" t="n">
        <x:f>H615+K615</x:f>
        <x:v>6</x:v>
      </x:c>
      <x:c r="O615" s="45" t="n">
        <x:f>SUM(F615:H615)</x:f>
        <x:v>9</x:v>
      </x:c>
      <x:c r="P615" s="42" t="n">
        <x:f>IF(AND(F615&lt;=F631,F615&lt;=F583,F615&lt;=F599,G615&lt;=G623,G615&lt;=G611,G615&lt;=G619,H615&lt;=H617,H615&lt;=H614,H615&lt;=H616),1,0)</x:f>
        <x:v>0</x:v>
      </x:c>
      <x:c r="Q615" s="42" t="n">
        <x:f>IF(AND(L615&lt;=L631,L615&lt;=L583,L615&lt;=L599,M615&lt;=M623,M615&lt;=M611,M615&lt;=M619,N615&lt;=N617,N615&lt;=N614,N615&lt;=N616),1,0)</x:f>
        <x:v>0</x:v>
      </x:c>
      <x:c r="R615" s="42" t="n">
        <x:v>0</x:v>
      </x:c>
      <x:c r="S615" s="42" t="n">
        <x:v>0</x:v>
      </x:c>
    </x:row>
    <x:row r="616">
      <x:c r="A616" t="n">
        <x:v>10</x:v>
      </x:c>
      <x:c r="B616" t="n">
        <x:v>4</x:v>
      </x:c>
      <x:c r="C616" t="n">
        <x:v>0</x:v>
      </x:c>
      <x:c r="D616" t="n">
        <x:v>3</x:v>
      </x:c>
      <x:c r="E616" t="str">
        <x:v>olo</x:v>
      </x:c>
      <x:c r="F616" s="45" t="n">
        <x:f>(1/2)*$C616+(1/2)*$D616</x:f>
        <x:v>1.5</x:v>
      </x:c>
      <x:c r="G616" s="45" t="n">
        <x:f>1*$C616+2*$D616</x:f>
        <x:v>6</x:v>
      </x:c>
      <x:c r="H616" s="45" t="n">
        <x:f>(1/2)*$C616+(1/2)*$D616</x:f>
        <x:v>1.5</x:v>
      </x:c>
      <x:c r="I616" s="45" t="n">
        <x:f>(3/2)*($C616+$D616)</x:f>
        <x:v>4.5</x:v>
      </x:c>
      <x:c r="J616" s="45" t="n">
        <x:f>0</x:f>
        <x:v>0</x:v>
      </x:c>
      <x:c r="K616" s="45" t="n">
        <x:f>(3/2)*($C616+$D616)</x:f>
        <x:v>4.5</x:v>
      </x:c>
      <x:c r="L616" s="45" t="n">
        <x:f>F616+I616</x:f>
        <x:v>6</x:v>
      </x:c>
      <x:c r="M616" s="45" t="n">
        <x:f>G616+J616</x:f>
        <x:v>6</x:v>
      </x:c>
      <x:c r="N616" s="45" t="n">
        <x:f>H616+K616</x:f>
        <x:v>6</x:v>
      </x:c>
      <x:c r="O616" s="45" t="n">
        <x:f>SUM(F616:H616)</x:f>
        <x:v>9</x:v>
      </x:c>
      <x:c r="P616" s="42" t="n">
        <x:f>IF(AND(F616&lt;=F632,F616&lt;=F584,F616&lt;=F600,G616&lt;=G624,G616&lt;=G612,G616&lt;=G620,H616&lt;=H617,H616&lt;=H614,H616&lt;=H615),1,0)</x:f>
        <x:v>0</x:v>
      </x:c>
      <x:c r="Q616" s="42" t="n">
        <x:f>IF(AND(L616&lt;=L632,L616&lt;=L584,L616&lt;=L600,M616&lt;=M624,M616&lt;=M612,M616&lt;=M620,N616&lt;=N617,N616&lt;=N614,N616&lt;=N615),1,0)</x:f>
        <x:v>0</x:v>
      </x:c>
      <x:c r="R616" s="42" t="n">
        <x:v>0</x:v>
      </x:c>
      <x:c r="S616" s="42" t="n">
        <x:v>0</x:v>
      </x:c>
    </x:row>
    <x:row r="617">
      <x:c r="A617" t="n">
        <x:v>10</x:v>
      </x:c>
      <x:c r="B617" t="n">
        <x:v>4</x:v>
      </x:c>
      <x:c r="C617" t="n">
        <x:v>0</x:v>
      </x:c>
      <x:c r="D617" t="n">
        <x:v>3</x:v>
      </x:c>
      <x:c r="E617" t="str">
        <x:v>olv</x:v>
      </x:c>
      <x:c r="F617" s="45" t="n">
        <x:f>0</x:f>
        <x:v>0</x:v>
      </x:c>
      <x:c r="G617" s="45" t="n">
        <x:f>1*$D617</x:f>
        <x:v>3</x:v>
      </x:c>
      <x:c r="H617" s="45" t="n">
        <x:f>2*$B617</x:f>
        <x:v>8</x:v>
      </x:c>
      <x:c r="I617" s="45" t="n">
        <x:f>0</x:f>
        <x:v>0</x:v>
      </x:c>
      <x:c r="J617" s="45" t="n">
        <x:f>0</x:f>
        <x:v>0</x:v>
      </x:c>
      <x:c r="K617" s="45" t="n">
        <x:f>0</x:f>
        <x:v>0</x:v>
      </x:c>
      <x:c r="L617" s="45" t="n">
        <x:f>F617+I617</x:f>
        <x:v>0</x:v>
      </x:c>
      <x:c r="M617" s="45" t="n">
        <x:f>G617+J617</x:f>
        <x:v>3</x:v>
      </x:c>
      <x:c r="N617" s="45" t="n">
        <x:f>H617+K617</x:f>
        <x:v>8</x:v>
      </x:c>
      <x:c r="O617" s="45" t="n">
        <x:f>SUM(F617:H617)</x:f>
        <x:v>11</x:v>
      </x:c>
      <x:c r="P617" s="42" t="n">
        <x:f>IF(AND(F617&lt;=F633,F617&lt;=F585,F617&lt;=F601,G617&lt;=G625,G617&lt;=G613,G617&lt;=G621,H617&lt;=H614,H617&lt;=H616,H617&lt;=H615),1,0)</x:f>
        <x:v>0</x:v>
      </x:c>
      <x:c r="Q617" s="42" t="n">
        <x:f>IF(AND(L617&lt;=L633,L617&lt;=L585,L617&lt;=L601,M617&lt;=M625,M617&lt;=M613,M617&lt;=M621,N617&lt;=N614,N617&lt;=N616,N617&lt;=N615),1,0)</x:f>
        <x:v>0</x:v>
      </x:c>
      <x:c r="R617" s="42" t="n">
        <x:v>0</x:v>
      </x:c>
      <x:c r="S617" s="42" t="n">
        <x:v>0</x:v>
      </x:c>
    </x:row>
    <x:row r="618">
      <x:c r="A618" t="n">
        <x:v>10</x:v>
      </x:c>
      <x:c r="B618" t="n">
        <x:v>4</x:v>
      </x:c>
      <x:c r="C618" t="n">
        <x:v>0</x:v>
      </x:c>
      <x:c r="D618" t="n">
        <x:v>3</x:v>
      </x:c>
      <x:c r="E618" t="str">
        <x:v>ooe</x:v>
      </x:c>
      <x:c r="F618" s="45" t="n">
        <x:f>(1/2)*$C618+(1/2)*$D618</x:f>
        <x:v>1.5</x:v>
      </x:c>
      <x:c r="G618" s="45" t="n">
        <x:f>(1/2)*$C618+(1/2)*$D618</x:f>
        <x:v>1.5</x:v>
      </x:c>
      <x:c r="H618" s="45" t="n">
        <x:f>1*$B618</x:f>
        <x:v>4</x:v>
      </x:c>
      <x:c r="I618" s="45" t="n">
        <x:f>(1/2)*($C618+$D618)</x:f>
        <x:v>1.5</x:v>
      </x:c>
      <x:c r="J618" s="45" t="n">
        <x:f>(1/2)*($C618+$D618)</x:f>
        <x:v>1.5</x:v>
      </x:c>
      <x:c r="K618" s="45" t="n">
        <x:f>0</x:f>
        <x:v>0</x:v>
      </x:c>
      <x:c r="L618" s="45" t="n">
        <x:f>F618+I618</x:f>
        <x:v>3</x:v>
      </x:c>
      <x:c r="M618" s="45" t="n">
        <x:f>G618+J618</x:f>
        <x:v>3</x:v>
      </x:c>
      <x:c r="N618" s="45" t="n">
        <x:f>H618+K618</x:f>
        <x:v>4</x:v>
      </x:c>
      <x:c r="O618" s="45" t="n">
        <x:f>SUM(F618:H618)</x:f>
        <x:v>7</x:v>
      </x:c>
      <x:c r="P618" s="42" t="n">
        <x:f>IF(AND(F618&lt;=F634,F618&lt;=F586,F618&lt;=F602,G618&lt;=G622,G618&lt;=G610,G618&lt;=G614,H618&lt;=H621,H618&lt;=H620,H618&lt;=H619),1,0)</x:f>
        <x:v>0</x:v>
      </x:c>
      <x:c r="Q618" s="42" t="n">
        <x:f>IF(AND(L618&lt;=L634,L618&lt;=L586,L618&lt;=L602,M618&lt;=M622,M618&lt;=M610,M618&lt;=M614,N618&lt;=N621,N618&lt;=N620,N618&lt;=N619),1,0)</x:f>
        <x:v>1</x:v>
      </x:c>
      <x:c r="R618" s="42" t="n">
        <x:v>0</x:v>
      </x:c>
      <x:c r="S618" s="42" t="n">
        <x:v>1</x:v>
      </x:c>
    </x:row>
    <x:row r="619">
      <x:c r="A619" t="n">
        <x:v>10</x:v>
      </x:c>
      <x:c r="B619" t="n">
        <x:v>4</x:v>
      </x:c>
      <x:c r="C619" t="n">
        <x:v>0</x:v>
      </x:c>
      <x:c r="D619" t="n">
        <x:v>3</x:v>
      </x:c>
      <x:c r="E619" t="str">
        <x:v>ool</x:v>
      </x:c>
      <x:c r="F619" s="45" t="n">
        <x:f>(1/2)*$C619+(1/2)*$D619</x:f>
        <x:v>1.5</x:v>
      </x:c>
      <x:c r="G619" s="45" t="n">
        <x:f>(1/2)*$C619+(1/2)*$D619</x:f>
        <x:v>1.5</x:v>
      </x:c>
      <x:c r="H619" s="45" t="n">
        <x:f>1*$C619+2*$D619</x:f>
        <x:v>6</x:v>
      </x:c>
      <x:c r="I619" s="45" t="n">
        <x:f>(3/2)*($C619+$D619)</x:f>
        <x:v>4.5</x:v>
      </x:c>
      <x:c r="J619" s="45" t="n">
        <x:f>(3/2)*($C619+$D619)</x:f>
        <x:v>4.5</x:v>
      </x:c>
      <x:c r="K619" s="45" t="n">
        <x:f>0</x:f>
        <x:v>0</x:v>
      </x:c>
      <x:c r="L619" s="45" t="n">
        <x:f>F619+I619</x:f>
        <x:v>6</x:v>
      </x:c>
      <x:c r="M619" s="45" t="n">
        <x:f>G619+J619</x:f>
        <x:v>6</x:v>
      </x:c>
      <x:c r="N619" s="45" t="n">
        <x:f>H619+K619</x:f>
        <x:v>6</x:v>
      </x:c>
      <x:c r="O619" s="45" t="n">
        <x:f>SUM(F619:H619)</x:f>
        <x:v>9</x:v>
      </x:c>
      <x:c r="P619" s="42" t="n">
        <x:f>IF(AND(F619&lt;=F635,F619&lt;=F587,F619&lt;=F603,G619&lt;=G623,G619&lt;=G611,G619&lt;=G615,H619&lt;=H621,H619&lt;=H618,H619&lt;=H620),1,0)</x:f>
        <x:v>0</x:v>
      </x:c>
      <x:c r="Q619" s="42" t="n">
        <x:f>IF(AND(L619&lt;=L635,L619&lt;=L587,L619&lt;=L603,M619&lt;=M623,M619&lt;=M611,M619&lt;=M615,N619&lt;=N621,N619&lt;=N618,N619&lt;=N620),1,0)</x:f>
        <x:v>0</x:v>
      </x:c>
      <x:c r="R619" s="42" t="n">
        <x:v>0</x:v>
      </x:c>
      <x:c r="S619" s="42" t="n">
        <x:v>0</x:v>
      </x:c>
    </x:row>
    <x:row r="620">
      <x:c r="A620" t="n">
        <x:v>10</x:v>
      </x:c>
      <x:c r="B620" t="n">
        <x:v>4</x:v>
      </x:c>
      <x:c r="C620" t="n">
        <x:v>0</x:v>
      </x:c>
      <x:c r="D620" t="n">
        <x:v>3</x:v>
      </x:c>
      <x:c r="E620" t="str">
        <x:v>ooo</x:v>
      </x:c>
      <x:c r="F620" s="45" t="n">
        <x:f>1*$C620+1*$D620</x:f>
        <x:v>3</x:v>
      </x:c>
      <x:c r="G620" s="45" t="n">
        <x:f>1*$C620+1*$D620</x:f>
        <x:v>3</x:v>
      </x:c>
      <x:c r="H620" s="45" t="n">
        <x:f>1*$C620+1*$D620</x:f>
        <x:v>3</x:v>
      </x:c>
      <x:c r="I620" s="45" t="n">
        <x:f>$C620+$D620</x:f>
        <x:v>3</x:v>
      </x:c>
      <x:c r="J620" s="45" t="n">
        <x:f>$C620+$D620</x:f>
        <x:v>3</x:v>
      </x:c>
      <x:c r="K620" s="45" t="n">
        <x:f>$C620+$D620</x:f>
        <x:v>3</x:v>
      </x:c>
      <x:c r="L620" s="45" t="n">
        <x:f>F620+I620</x:f>
        <x:v>6</x:v>
      </x:c>
      <x:c r="M620" s="45" t="n">
        <x:f>G620+J620</x:f>
        <x:v>6</x:v>
      </x:c>
      <x:c r="N620" s="45" t="n">
        <x:f>H620+K620</x:f>
        <x:v>6</x:v>
      </x:c>
      <x:c r="O620" s="45" t="n">
        <x:f>SUM(F620:H620)</x:f>
        <x:v>9</x:v>
      </x:c>
      <x:c r="P620" s="42" t="n">
        <x:f>IF(AND(F620&lt;=F636,F620&lt;=F588,F620&lt;=F604,G620&lt;=G624,G620&lt;=G612,G620&lt;=G616,H620&lt;=H621,H620&lt;=H618,H620&lt;=H619),1,0)</x:f>
        <x:v>1</x:v>
      </x:c>
      <x:c r="Q620" s="42" t="n">
        <x:f>IF(AND(L620&lt;=L636,L620&lt;=L588,L620&lt;=L604,M620&lt;=M624,M620&lt;=M612,M620&lt;=M616,N620&lt;=N621,N620&lt;=N618,N620&lt;=N619),1,0)</x:f>
        <x:v>0</x:v>
      </x:c>
      <x:c r="R620" s="42" t="n">
        <x:v>1</x:v>
      </x:c>
      <x:c r="S620" s="42" t="n">
        <x:v>0</x:v>
      </x:c>
    </x:row>
    <x:row r="621">
      <x:c r="A621" t="n">
        <x:v>10</x:v>
      </x:c>
      <x:c r="B621" t="n">
        <x:v>4</x:v>
      </x:c>
      <x:c r="C621" t="n">
        <x:v>0</x:v>
      </x:c>
      <x:c r="D621" t="n">
        <x:v>3</x:v>
      </x:c>
      <x:c r="E621" t="str">
        <x:v>oov</x:v>
      </x:c>
      <x:c r="F621" s="45" t="n">
        <x:f>(1/2)*$C621+(1/2)*$D621</x:f>
        <x:v>1.5</x:v>
      </x:c>
      <x:c r="G621" s="45" t="n">
        <x:f>(1/2)*$C621+(1/2)*$D621</x:f>
        <x:v>1.5</x:v>
      </x:c>
      <x:c r="H621" s="45" t="n">
        <x:f>2*$B621</x:f>
        <x:v>8</x:v>
      </x:c>
      <x:c r="I621" s="45" t="n">
        <x:f>(1/2)*($C621+$D621)</x:f>
        <x:v>1.5</x:v>
      </x:c>
      <x:c r="J621" s="45" t="n">
        <x:f>(1/2)*($C621+$D621)</x:f>
        <x:v>1.5</x:v>
      </x:c>
      <x:c r="K621" s="45" t="n">
        <x:f>0</x:f>
        <x:v>0</x:v>
      </x:c>
      <x:c r="L621" s="45" t="n">
        <x:f>F621+I621</x:f>
        <x:v>3</x:v>
      </x:c>
      <x:c r="M621" s="45" t="n">
        <x:f>G621+J621</x:f>
        <x:v>3</x:v>
      </x:c>
      <x:c r="N621" s="45" t="n">
        <x:f>H621+K621</x:f>
        <x:v>8</x:v>
      </x:c>
      <x:c r="O621" s="45" t="n">
        <x:f>SUM(F621:H621)</x:f>
        <x:v>11</x:v>
      </x:c>
      <x:c r="P621" s="42" t="n">
        <x:f>IF(AND(F621&lt;=F637,F621&lt;=F589,F621&lt;=F605,G621&lt;=G625,G621&lt;=G613,G621&lt;=G617,H621&lt;=H618,H621&lt;=H620,H621&lt;=H619),1,0)</x:f>
        <x:v>0</x:v>
      </x:c>
      <x:c r="Q621" s="42" t="n">
        <x:f>IF(AND(L621&lt;=L637,L621&lt;=L589,L621&lt;=L605,M621&lt;=M625,M621&lt;=M613,M621&lt;=M617,N621&lt;=N618,N621&lt;=N620,N621&lt;=N619),1,0)</x:f>
        <x:v>0</x:v>
      </x:c>
      <x:c r="R621" s="42" t="n">
        <x:v>0</x:v>
      </x:c>
      <x:c r="S621" s="42" t="n">
        <x:v>0</x:v>
      </x:c>
    </x:row>
    <x:row r="622">
      <x:c r="A622" t="n">
        <x:v>10</x:v>
      </x:c>
      <x:c r="B622" t="n">
        <x:v>4</x:v>
      </x:c>
      <x:c r="C622" t="n">
        <x:v>0</x:v>
      </x:c>
      <x:c r="D622" t="n">
        <x:v>3</x:v>
      </x:c>
      <x:c r="E622" t="str">
        <x:v>ove</x:v>
      </x:c>
      <x:c r="F622" s="45" t="n">
        <x:f>0</x:f>
        <x:v>0</x:v>
      </x:c>
      <x:c r="G622" s="45" t="n">
        <x:f>2*$B622</x:f>
        <x:v>8</x:v>
      </x:c>
      <x:c r="H622" s="45" t="n">
        <x:f>1*$B622</x:f>
        <x:v>4</x:v>
      </x:c>
      <x:c r="I622" s="45" t="n">
        <x:f>0</x:f>
        <x:v>0</x:v>
      </x:c>
      <x:c r="J622" s="45" t="n">
        <x:f>0</x:f>
        <x:v>0</x:v>
      </x:c>
      <x:c r="K622" s="45" t="n">
        <x:f>0</x:f>
        <x:v>0</x:v>
      </x:c>
      <x:c r="L622" s="45" t="n">
        <x:f>F622+I622</x:f>
        <x:v>0</x:v>
      </x:c>
      <x:c r="M622" s="45" t="n">
        <x:f>G622+J622</x:f>
        <x:v>8</x:v>
      </x:c>
      <x:c r="N622" s="45" t="n">
        <x:f>H622+K622</x:f>
        <x:v>4</x:v>
      </x:c>
      <x:c r="O622" s="45" t="n">
        <x:f>SUM(F622:H622)</x:f>
        <x:v>12</x:v>
      </x:c>
      <x:c r="P622" s="42" t="n">
        <x:f>IF(AND(F622&lt;=F638,F622&lt;=F590,F622&lt;=F606,G622&lt;=G610,G622&lt;=G618,G622&lt;=G614,H622&lt;=H625,H622&lt;=H624,H622&lt;=H623),1,0)</x:f>
        <x:v>0</x:v>
      </x:c>
      <x:c r="Q622" s="42" t="n">
        <x:f>IF(AND(L622&lt;=L638,L622&lt;=L590,L622&lt;=L606,M622&lt;=M610,M622&lt;=M618,M622&lt;=M614,N622&lt;=N625,N622&lt;=N624,N622&lt;=N623),1,0)</x:f>
        <x:v>0</x:v>
      </x:c>
      <x:c r="R622" s="42" t="n">
        <x:v>0</x:v>
      </x:c>
      <x:c r="S622" s="42" t="n">
        <x:v>0</x:v>
      </x:c>
    </x:row>
    <x:row r="623">
      <x:c r="A623" t="n">
        <x:v>10</x:v>
      </x:c>
      <x:c r="B623" t="n">
        <x:v>4</x:v>
      </x:c>
      <x:c r="C623" t="n">
        <x:v>0</x:v>
      </x:c>
      <x:c r="D623" t="n">
        <x:v>3</x:v>
      </x:c>
      <x:c r="E623" t="str">
        <x:v>ovl</x:v>
      </x:c>
      <x:c r="F623" s="45" t="n">
        <x:f>0</x:f>
        <x:v>0</x:v>
      </x:c>
      <x:c r="G623" s="45" t="n">
        <x:f>2*$B623</x:f>
        <x:v>8</x:v>
      </x:c>
      <x:c r="H623" s="45" t="n">
        <x:f>1*$D623</x:f>
        <x:v>3</x:v>
      </x:c>
      <x:c r="I623" s="45" t="n">
        <x:f>0</x:f>
        <x:v>0</x:v>
      </x:c>
      <x:c r="J623" s="45" t="n">
        <x:f>0</x:f>
        <x:v>0</x:v>
      </x:c>
      <x:c r="K623" s="45" t="n">
        <x:f>0</x:f>
        <x:v>0</x:v>
      </x:c>
      <x:c r="L623" s="45" t="n">
        <x:f>F623+I623</x:f>
        <x:v>0</x:v>
      </x:c>
      <x:c r="M623" s="45" t="n">
        <x:f>G623+J623</x:f>
        <x:v>8</x:v>
      </x:c>
      <x:c r="N623" s="45" t="n">
        <x:f>H623+K623</x:f>
        <x:v>3</x:v>
      </x:c>
      <x:c r="O623" s="45" t="n">
        <x:f>SUM(F623:H623)</x:f>
        <x:v>11</x:v>
      </x:c>
      <x:c r="P623" s="42" t="n">
        <x:f>IF(AND(F623&lt;=F639,F623&lt;=F591,F623&lt;=F607,G623&lt;=G611,G623&lt;=G619,G623&lt;=G615,H623&lt;=H625,H623&lt;=H622,H623&lt;=H624),1,0)</x:f>
        <x:v>0</x:v>
      </x:c>
      <x:c r="Q623" s="42" t="n">
        <x:f>IF(AND(L623&lt;=L639,L623&lt;=L591,L623&lt;=L607,M623&lt;=M611,M623&lt;=M619,M623&lt;=M615,N623&lt;=N625,N623&lt;=N622,N623&lt;=N624),1,0)</x:f>
        <x:v>0</x:v>
      </x:c>
      <x:c r="R623" s="42" t="n">
        <x:v>0</x:v>
      </x:c>
      <x:c r="S623" s="42" t="n">
        <x:v>0</x:v>
      </x:c>
    </x:row>
    <x:row r="624">
      <x:c r="A624" t="n">
        <x:v>10</x:v>
      </x:c>
      <x:c r="B624" t="n">
        <x:v>4</x:v>
      </x:c>
      <x:c r="C624" t="n">
        <x:v>0</x:v>
      </x:c>
      <x:c r="D624" t="n">
        <x:v>3</x:v>
      </x:c>
      <x:c r="E624" t="str">
        <x:v>ovo</x:v>
      </x:c>
      <x:c r="F624" s="45" t="n">
        <x:f>(1/2)*$C624+(1/2)*$D624</x:f>
        <x:v>1.5</x:v>
      </x:c>
      <x:c r="G624" s="45" t="n">
        <x:f>2*$B624</x:f>
        <x:v>8</x:v>
      </x:c>
      <x:c r="H624" s="45" t="n">
        <x:f>(1/2)*$C624+(1/2)*$D624</x:f>
        <x:v>1.5</x:v>
      </x:c>
      <x:c r="I624" s="45" t="n">
        <x:f>(1/2)*($C624+$D624)</x:f>
        <x:v>1.5</x:v>
      </x:c>
      <x:c r="J624" s="45" t="n">
        <x:f>0</x:f>
        <x:v>0</x:v>
      </x:c>
      <x:c r="K624" s="45" t="n">
        <x:f>(1/2)*($C624+$D624)</x:f>
        <x:v>1.5</x:v>
      </x:c>
      <x:c r="L624" s="45" t="n">
        <x:f>F624+I624</x:f>
        <x:v>3</x:v>
      </x:c>
      <x:c r="M624" s="45" t="n">
        <x:f>G624+J624</x:f>
        <x:v>8</x:v>
      </x:c>
      <x:c r="N624" s="45" t="n">
        <x:f>H624+K624</x:f>
        <x:v>3</x:v>
      </x:c>
      <x:c r="O624" s="45" t="n">
        <x:f>SUM(F624:H624)</x:f>
        <x:v>11</x:v>
      </x:c>
      <x:c r="P624" s="42" t="n">
        <x:f>IF(AND(F624&lt;=F640,F624&lt;=F592,F624&lt;=F608,G624&lt;=G612,G624&lt;=G620,G624&lt;=G616,H624&lt;=H625,H624&lt;=H622,H624&lt;=H623),1,0)</x:f>
        <x:v>0</x:v>
      </x:c>
      <x:c r="Q624" s="42" t="n">
        <x:f>IF(AND(L624&lt;=L640,L624&lt;=L592,L624&lt;=L608,M624&lt;=M612,M624&lt;=M620,M624&lt;=M616,N624&lt;=N625,N624&lt;=N622,N624&lt;=N623),1,0)</x:f>
        <x:v>0</x:v>
      </x:c>
      <x:c r="R624" s="42" t="n">
        <x:v>0</x:v>
      </x:c>
      <x:c r="S624" s="42" t="n">
        <x:v>0</x:v>
      </x:c>
    </x:row>
    <x:row r="625">
      <x:c r="A625" t="n">
        <x:v>10</x:v>
      </x:c>
      <x:c r="B625" t="n">
        <x:v>4</x:v>
      </x:c>
      <x:c r="C625" t="n">
        <x:v>0</x:v>
      </x:c>
      <x:c r="D625" t="n">
        <x:v>3</x:v>
      </x:c>
      <x:c r="E625" t="str">
        <x:v>ovv</x:v>
      </x:c>
      <x:c r="F625" s="45" t="n">
        <x:f>0</x:f>
        <x:v>0</x:v>
      </x:c>
      <x:c r="G625" s="45" t="n">
        <x:f>(3/2)*$B625+(1/2)*$C625</x:f>
        <x:v>6</x:v>
      </x:c>
      <x:c r="H625" s="45" t="n">
        <x:f>(3/2)*$B625+(1/2)*$C625</x:f>
        <x:v>6</x:v>
      </x:c>
      <x:c r="I625" s="45" t="n">
        <x:f>0</x:f>
        <x:v>0</x:v>
      </x:c>
      <x:c r="J625" s="45" t="n">
        <x:f>MAX((1/2)*($C625-$B625),0)</x:f>
        <x:v>0</x:v>
      </x:c>
      <x:c r="K625" s="45" t="n">
        <x:f>MAX((1/2)*($C625-$B625),0)</x:f>
        <x:v>0</x:v>
      </x:c>
      <x:c r="L625" s="45" t="n">
        <x:f>F625+I625</x:f>
        <x:v>0</x:v>
      </x:c>
      <x:c r="M625" s="45" t="n">
        <x:f>G625+J625</x:f>
        <x:v>6</x:v>
      </x:c>
      <x:c r="N625" s="45" t="n">
        <x:f>H625+K625</x:f>
        <x:v>6</x:v>
      </x:c>
      <x:c r="O625" s="45" t="n">
        <x:f>SUM(F625:H625)</x:f>
        <x:v>12</x:v>
      </x:c>
      <x:c r="P625" s="42" t="n">
        <x:f>IF(AND(F625&lt;=F641,F625&lt;=F593,F625&lt;=F609,G625&lt;=G613,G625&lt;=G621,G625&lt;=G617,H625&lt;=H622,H625&lt;=H624,H625&lt;=H623),1,0)</x:f>
        <x:v>0</x:v>
      </x:c>
      <x:c r="Q625" s="42" t="n">
        <x:f>IF(AND(L625&lt;=L641,L625&lt;=L593,L625&lt;=L609,M625&lt;=M613,M625&lt;=M621,M625&lt;=M617,N625&lt;=N622,N625&lt;=N624,N625&lt;=N623),1,0)</x:f>
        <x:v>0</x:v>
      </x:c>
      <x:c r="R625" s="42" t="n">
        <x:v>0</x:v>
      </x:c>
      <x:c r="S625" s="42" t="n">
        <x:v>0</x:v>
      </x:c>
    </x:row>
    <x:row r="626">
      <x:c r="A626" t="n">
        <x:v>10</x:v>
      </x:c>
      <x:c r="B626" t="n">
        <x:v>4</x:v>
      </x:c>
      <x:c r="C626" t="n">
        <x:v>0</x:v>
      </x:c>
      <x:c r="D626" t="n">
        <x:v>3</x:v>
      </x:c>
      <x:c r="E626" t="str">
        <x:v>vee</x:v>
      </x:c>
      <x:c r="F626" s="45" t="n">
        <x:f>2*$B626</x:f>
        <x:v>8</x:v>
      </x:c>
      <x:c r="G626" s="45" t="n">
        <x:f>(1/2)*$B626+(1/2)*$C626</x:f>
        <x:v>2</x:v>
      </x:c>
      <x:c r="H626" s="45" t="n">
        <x:f>(1/2)*$B626+(1/2)*$C626</x:f>
        <x:v>2</x:v>
      </x:c>
      <x:c r="I626" s="45" t="n">
        <x:f>0</x:f>
        <x:v>0</x:v>
      </x:c>
      <x:c r="J626" s="45" t="n">
        <x:f>MAX((1/2)*($C626-$B626),0)</x:f>
        <x:v>0</x:v>
      </x:c>
      <x:c r="K626" s="45" t="n">
        <x:f>MAX((1/2)*($C626-$B626),0)</x:f>
        <x:v>0</x:v>
      </x:c>
      <x:c r="L626" s="45" t="n">
        <x:f>F626+I626</x:f>
        <x:v>8</x:v>
      </x:c>
      <x:c r="M626" s="45" t="n">
        <x:f>G626+J626</x:f>
        <x:v>2</x:v>
      </x:c>
      <x:c r="N626" s="45" t="n">
        <x:f>H626+K626</x:f>
        <x:v>2</x:v>
      </x:c>
      <x:c r="O626" s="45" t="n">
        <x:f>SUM(F626:H626)</x:f>
        <x:v>12</x:v>
      </x:c>
      <x:c r="P626" s="42" t="n">
        <x:f>IF(AND(F626&lt;=F578,F626&lt;=F610,F626&lt;=F594,G626&lt;=G638,G626&lt;=G634,G626&lt;=G630,H626&lt;=H629,H626&lt;=H628,H626&lt;=H627),1,0)</x:f>
        <x:v>0</x:v>
      </x:c>
      <x:c r="Q626" s="42" t="n">
        <x:f>IF(AND(L626&lt;=L578,L626&lt;=L610,L626&lt;=L594,M626&lt;=M638,M626&lt;=M634,M626&lt;=M630,N626&lt;=N629,N626&lt;=N628,N626&lt;=N627),1,0)</x:f>
        <x:v>0</x:v>
      </x:c>
      <x:c r="R626" s="42" t="n">
        <x:v>0</x:v>
      </x:c>
      <x:c r="S626" s="42" t="n">
        <x:v>0</x:v>
      </x:c>
    </x:row>
    <x:row r="627">
      <x:c r="A627" t="n">
        <x:v>10</x:v>
      </x:c>
      <x:c r="B627" t="n">
        <x:v>4</x:v>
      </x:c>
      <x:c r="C627" t="n">
        <x:v>0</x:v>
      </x:c>
      <x:c r="D627" t="n">
        <x:v>3</x:v>
      </x:c>
      <x:c r="E627" t="str">
        <x:v>vel</x:v>
      </x:c>
      <x:c r="F627" s="45" t="n">
        <x:f>2*$B627</x:f>
        <x:v>8</x:v>
      </x:c>
      <x:c r="G627" s="45" t="n">
        <x:f>1*$B627</x:f>
        <x:v>4</x:v>
      </x:c>
      <x:c r="H627" s="45" t="n">
        <x:f>1*$D627</x:f>
        <x:v>3</x:v>
      </x:c>
      <x:c r="I627" s="45" t="n">
        <x:f>0</x:f>
        <x:v>0</x:v>
      </x:c>
      <x:c r="J627" s="45" t="n">
        <x:f>0</x:f>
        <x:v>0</x:v>
      </x:c>
      <x:c r="K627" s="45" t="n">
        <x:f>0</x:f>
        <x:v>0</x:v>
      </x:c>
      <x:c r="L627" s="45" t="n">
        <x:f>F627+I627</x:f>
        <x:v>8</x:v>
      </x:c>
      <x:c r="M627" s="45" t="n">
        <x:f>G627+J627</x:f>
        <x:v>4</x:v>
      </x:c>
      <x:c r="N627" s="45" t="n">
        <x:f>H627+K627</x:f>
        <x:v>3</x:v>
      </x:c>
      <x:c r="O627" s="45" t="n">
        <x:f>SUM(F627:H627)</x:f>
        <x:v>15</x:v>
      </x:c>
      <x:c r="P627" s="42" t="n">
        <x:f>IF(AND(F627&lt;=F579,F627&lt;=F611,F627&lt;=F595,G627&lt;=G639,G627&lt;=G635,G627&lt;=G631,H627&lt;=H629,H627&lt;=H626,H627&lt;=H628),1,0)</x:f>
        <x:v>0</x:v>
      </x:c>
      <x:c r="Q627" s="42" t="n">
        <x:f>IF(AND(L627&lt;=L579,L627&lt;=L611,L627&lt;=L595,M627&lt;=M639,M627&lt;=M635,M627&lt;=M631,N627&lt;=N629,N627&lt;=N626,N627&lt;=N628),1,0)</x:f>
        <x:v>0</x:v>
      </x:c>
      <x:c r="R627" s="42" t="n">
        <x:v>0</x:v>
      </x:c>
      <x:c r="S627" s="42" t="n">
        <x:v>0</x:v>
      </x:c>
    </x:row>
    <x:row r="628">
      <x:c r="A628" t="n">
        <x:v>10</x:v>
      </x:c>
      <x:c r="B628" t="n">
        <x:v>4</x:v>
      </x:c>
      <x:c r="C628" t="n">
        <x:v>0</x:v>
      </x:c>
      <x:c r="D628" t="n">
        <x:v>3</x:v>
      </x:c>
      <x:c r="E628" t="str">
        <x:v>veo</x:v>
      </x:c>
      <x:c r="F628" s="45" t="n">
        <x:f>2*$B628</x:f>
        <x:v>8</x:v>
      </x:c>
      <x:c r="G628" s="45" t="n">
        <x:f>1*$B628</x:f>
        <x:v>4</x:v>
      </x:c>
      <x:c r="H628" s="45" t="n">
        <x:f>0</x:f>
        <x:v>0</x:v>
      </x:c>
      <x:c r="I628" s="45" t="n">
        <x:f>0</x:f>
        <x:v>0</x:v>
      </x:c>
      <x:c r="J628" s="45" t="n">
        <x:f>0</x:f>
        <x:v>0</x:v>
      </x:c>
      <x:c r="K628" s="45" t="n">
        <x:f>0</x:f>
        <x:v>0</x:v>
      </x:c>
      <x:c r="L628" s="45" t="n">
        <x:f>F628+I628</x:f>
        <x:v>8</x:v>
      </x:c>
      <x:c r="M628" s="45" t="n">
        <x:f>G628+J628</x:f>
        <x:v>4</x:v>
      </x:c>
      <x:c r="N628" s="45" t="n">
        <x:f>H628+K628</x:f>
        <x:v>0</x:v>
      </x:c>
      <x:c r="O628" s="45" t="n">
        <x:f>SUM(F628:H628)</x:f>
        <x:v>12</x:v>
      </x:c>
      <x:c r="P628" s="42" t="n">
        <x:f>IF(AND(F628&lt;=F580,F628&lt;=F612,F628&lt;=F596,G628&lt;=G640,G628&lt;=G636,G628&lt;=G632,H628&lt;=H629,H628&lt;=H626,H628&lt;=H627),1,0)</x:f>
        <x:v>0</x:v>
      </x:c>
      <x:c r="Q628" s="42" t="n">
        <x:f>IF(AND(L628&lt;=L580,L628&lt;=L612,L628&lt;=L596,M628&lt;=M640,M628&lt;=M636,M628&lt;=M632,N628&lt;=N629,N628&lt;=N626,N628&lt;=N627),1,0)</x:f>
        <x:v>0</x:v>
      </x:c>
      <x:c r="R628" s="42" t="n">
        <x:v>0</x:v>
      </x:c>
      <x:c r="S628" s="42" t="n">
        <x:v>0</x:v>
      </x:c>
    </x:row>
    <x:row r="629">
      <x:c r="A629" t="n">
        <x:v>10</x:v>
      </x:c>
      <x:c r="B629" t="n">
        <x:v>4</x:v>
      </x:c>
      <x:c r="C629" t="n">
        <x:v>0</x:v>
      </x:c>
      <x:c r="D629" t="n">
        <x:v>3</x:v>
      </x:c>
      <x:c r="E629" t="str">
        <x:v>vev</x:v>
      </x:c>
      <x:c r="F629" s="45" t="n">
        <x:f>(3/2)*$B629+(1/2)*$C629</x:f>
        <x:v>6</x:v>
      </x:c>
      <x:c r="G629" s="45" t="n">
        <x:f>1*$C629</x:f>
        <x:v>0</x:v>
      </x:c>
      <x:c r="H629" s="45" t="n">
        <x:f>(3/2)*$B629+(1/2)*$C629</x:f>
        <x:v>6</x:v>
      </x:c>
      <x:c r="I629" s="45" t="n">
        <x:f>MAX((3/2)*($C629-$B629),0)</x:f>
        <x:v>0</x:v>
      </x:c>
      <x:c r="J629" s="45" t="n">
        <x:f>0</x:f>
        <x:v>0</x:v>
      </x:c>
      <x:c r="K629" s="45" t="n">
        <x:f>MAX((3/2)*($C629-$B629),0)</x:f>
        <x:v>0</x:v>
      </x:c>
      <x:c r="L629" s="45" t="n">
        <x:f>F629+I629</x:f>
        <x:v>6</x:v>
      </x:c>
      <x:c r="M629" s="45" t="n">
        <x:f>G629+J629</x:f>
        <x:v>0</x:v>
      </x:c>
      <x:c r="N629" s="45" t="n">
        <x:f>H629+K629</x:f>
        <x:v>6</x:v>
      </x:c>
      <x:c r="O629" s="45" t="n">
        <x:f>SUM(F629:H629)</x:f>
        <x:v>12</x:v>
      </x:c>
      <x:c r="P629" s="42" t="n">
        <x:f>IF(AND(F629&lt;=F581,F629&lt;=F613,F629&lt;=F597,G629&lt;=G641,G629&lt;=G637,G629&lt;=G633,H629&lt;=H626,H629&lt;=H628,H629&lt;=H627),1,0)</x:f>
        <x:v>0</x:v>
      </x:c>
      <x:c r="Q629" s="42" t="n">
        <x:f>IF(AND(L629&lt;=L581,L629&lt;=L613,L629&lt;=L597,M629&lt;=M641,M629&lt;=M637,M629&lt;=M633,N629&lt;=N626,N629&lt;=N628,N629&lt;=N627),1,0)</x:f>
        <x:v>0</x:v>
      </x:c>
      <x:c r="R629" s="42" t="n">
        <x:v>0</x:v>
      </x:c>
      <x:c r="S629" s="42" t="n">
        <x:v>0</x:v>
      </x:c>
    </x:row>
    <x:row r="630">
      <x:c r="A630" t="n">
        <x:v>10</x:v>
      </x:c>
      <x:c r="B630" t="n">
        <x:v>4</x:v>
      </x:c>
      <x:c r="C630" t="n">
        <x:v>0</x:v>
      </x:c>
      <x:c r="D630" t="n">
        <x:v>3</x:v>
      </x:c>
      <x:c r="E630" t="str">
        <x:v>vle</x:v>
      </x:c>
      <x:c r="F630" s="45" t="n">
        <x:f>2*$B630</x:f>
        <x:v>8</x:v>
      </x:c>
      <x:c r="G630" s="45" t="n">
        <x:f>1*$D630</x:f>
        <x:v>3</x:v>
      </x:c>
      <x:c r="H630" s="45" t="n">
        <x:f>1*$B630</x:f>
        <x:v>4</x:v>
      </x:c>
      <x:c r="I630" s="45" t="n">
        <x:f>0</x:f>
        <x:v>0</x:v>
      </x:c>
      <x:c r="J630" s="45" t="n">
        <x:f>0</x:f>
        <x:v>0</x:v>
      </x:c>
      <x:c r="K630" s="45" t="n">
        <x:f>0</x:f>
        <x:v>0</x:v>
      </x:c>
      <x:c r="L630" s="45" t="n">
        <x:f>F630+I630</x:f>
        <x:v>8</x:v>
      </x:c>
      <x:c r="M630" s="45" t="n">
        <x:f>G630+J630</x:f>
        <x:v>3</x:v>
      </x:c>
      <x:c r="N630" s="45" t="n">
        <x:f>H630+K630</x:f>
        <x:v>4</x:v>
      </x:c>
      <x:c r="O630" s="45" t="n">
        <x:f>SUM(F630:H630)</x:f>
        <x:v>15</x:v>
      </x:c>
      <x:c r="P630" s="42" t="n">
        <x:f>IF(AND(F630&lt;=F582,F630&lt;=F614,F630&lt;=F598,G630&lt;=G638,G630&lt;=G626,G630&lt;=G634,H630&lt;=H633,H630&lt;=H632,H630&lt;=H631),1,0)</x:f>
        <x:v>0</x:v>
      </x:c>
      <x:c r="Q630" s="42" t="n">
        <x:f>IF(AND(L630&lt;=L582,L630&lt;=L614,L630&lt;=L598,M630&lt;=M638,M630&lt;=M626,M630&lt;=M634,N630&lt;=N633,N630&lt;=N632,N630&lt;=N631),1,0)</x:f>
        <x:v>0</x:v>
      </x:c>
      <x:c r="R630" s="42" t="n">
        <x:v>0</x:v>
      </x:c>
      <x:c r="S630" s="42" t="n">
        <x:v>0</x:v>
      </x:c>
    </x:row>
    <x:row r="631">
      <x:c r="A631" t="n">
        <x:v>10</x:v>
      </x:c>
      <x:c r="B631" t="n">
        <x:v>4</x:v>
      </x:c>
      <x:c r="C631" t="n">
        <x:v>0</x:v>
      </x:c>
      <x:c r="D631" t="n">
        <x:v>3</x:v>
      </x:c>
      <x:c r="E631" t="str">
        <x:v>vll</x:v>
      </x:c>
      <x:c r="F631" s="45" t="n">
        <x:f>2*$B631</x:f>
        <x:v>8</x:v>
      </x:c>
      <x:c r="G631" s="45" t="n">
        <x:f>(1/2)*$C631+(3/2)*$D631</x:f>
        <x:v>4.5</x:v>
      </x:c>
      <x:c r="H631" s="45" t="n">
        <x:f>(1/2)*$C631+(3/2)*$D631</x:f>
        <x:v>4.5</x:v>
      </x:c>
      <x:c r="I631" s="45" t="n">
        <x:f>0</x:f>
        <x:v>0</x:v>
      </x:c>
      <x:c r="J631" s="45" t="n">
        <x:f>(1/2)*($C631+$D631)</x:f>
        <x:v>1.5</x:v>
      </x:c>
      <x:c r="K631" s="45" t="n">
        <x:f>(1/2)*($C631+$D631)</x:f>
        <x:v>1.5</x:v>
      </x:c>
      <x:c r="L631" s="45" t="n">
        <x:f>F631+I631</x:f>
        <x:v>8</x:v>
      </x:c>
      <x:c r="M631" s="45" t="n">
        <x:f>G631+J631</x:f>
        <x:v>6</x:v>
      </x:c>
      <x:c r="N631" s="45" t="n">
        <x:f>H631+K631</x:f>
        <x:v>6</x:v>
      </x:c>
      <x:c r="O631" s="45" t="n">
        <x:f>SUM(F631:H631)</x:f>
        <x:v>17</x:v>
      </x:c>
      <x:c r="P631" s="42" t="n">
        <x:f>IF(AND(F631&lt;=F583,F631&lt;=F615,F631&lt;=F599,G631&lt;=G639,G631&lt;=G627,G631&lt;=G635,H631&lt;=H633,H631&lt;=H630,H631&lt;=H632),1,0)</x:f>
        <x:v>0</x:v>
      </x:c>
      <x:c r="Q631" s="42" t="n">
        <x:f>IF(AND(L631&lt;=L583,L631&lt;=L615,L631&lt;=L599,M631&lt;=M639,M631&lt;=M627,M631&lt;=M635,N631&lt;=N633,N631&lt;=N630,N631&lt;=N632),1,0)</x:f>
        <x:v>0</x:v>
      </x:c>
      <x:c r="R631" s="42" t="n">
        <x:v>0</x:v>
      </x:c>
      <x:c r="S631" s="42" t="n">
        <x:v>0</x:v>
      </x:c>
    </x:row>
    <x:row r="632">
      <x:c r="A632" t="n">
        <x:v>10</x:v>
      </x:c>
      <x:c r="B632" t="n">
        <x:v>4</x:v>
      </x:c>
      <x:c r="C632" t="n">
        <x:v>0</x:v>
      </x:c>
      <x:c r="D632" t="n">
        <x:v>3</x:v>
      </x:c>
      <x:c r="E632" t="str">
        <x:v>vlo</x:v>
      </x:c>
      <x:c r="F632" s="45" t="n">
        <x:f>2*$B632</x:f>
        <x:v>8</x:v>
      </x:c>
      <x:c r="G632" s="45" t="n">
        <x:f>1*$D632</x:f>
        <x:v>3</x:v>
      </x:c>
      <x:c r="H632" s="45" t="n">
        <x:f>0</x:f>
        <x:v>0</x:v>
      </x:c>
      <x:c r="I632" s="45" t="n">
        <x:f>0</x:f>
        <x:v>0</x:v>
      </x:c>
      <x:c r="J632" s="45" t="n">
        <x:f>0</x:f>
        <x:v>0</x:v>
      </x:c>
      <x:c r="K632" s="45" t="n">
        <x:f>0</x:f>
        <x:v>0</x:v>
      </x:c>
      <x:c r="L632" s="45" t="n">
        <x:f>F632+I632</x:f>
        <x:v>8</x:v>
      </x:c>
      <x:c r="M632" s="45" t="n">
        <x:f>G632+J632</x:f>
        <x:v>3</x:v>
      </x:c>
      <x:c r="N632" s="45" t="n">
        <x:f>H632+K632</x:f>
        <x:v>0</x:v>
      </x:c>
      <x:c r="O632" s="45" t="n">
        <x:f>SUM(F632:H632)</x:f>
        <x:v>11</x:v>
      </x:c>
      <x:c r="P632" s="42" t="n">
        <x:f>IF(AND(F632&lt;=F584,F632&lt;=F616,F632&lt;=F600,G632&lt;=G640,G632&lt;=G628,G632&lt;=G636,H632&lt;=H633,H632&lt;=H630,H632&lt;=H631),1,0)</x:f>
        <x:v>0</x:v>
      </x:c>
      <x:c r="Q632" s="42" t="n">
        <x:f>IF(AND(L632&lt;=L584,L632&lt;=L616,L632&lt;=L600,M632&lt;=M640,M632&lt;=M628,M632&lt;=M636,N632&lt;=N633,N632&lt;=N630,N632&lt;=N631),1,0)</x:f>
        <x:v>0</x:v>
      </x:c>
      <x:c r="R632" s="42" t="n">
        <x:v>0</x:v>
      </x:c>
      <x:c r="S632" s="42" t="n">
        <x:v>0</x:v>
      </x:c>
    </x:row>
    <x:row r="633">
      <x:c r="A633" t="n">
        <x:v>10</x:v>
      </x:c>
      <x:c r="B633" t="n">
        <x:v>4</x:v>
      </x:c>
      <x:c r="C633" t="n">
        <x:v>0</x:v>
      </x:c>
      <x:c r="D633" t="n">
        <x:v>3</x:v>
      </x:c>
      <x:c r="E633" t="str">
        <x:v>vlv</x:v>
      </x:c>
      <x:c r="F633" s="45" t="n">
        <x:f>(3/2)*$B633+(1/2)*$C633</x:f>
        <x:v>6</x:v>
      </x:c>
      <x:c r="G633" s="45" t="n">
        <x:f>1*$D633</x:f>
        <x:v>3</x:v>
      </x:c>
      <x:c r="H633" s="45" t="n">
        <x:f>(3/2)*$B633+(1/2)*$C633</x:f>
        <x:v>6</x:v>
      </x:c>
      <x:c r="I633" s="45" t="n">
        <x:f>MAX((1/2)*($C633-$B633),0)</x:f>
        <x:v>0</x:v>
      </x:c>
      <x:c r="J633" s="45" t="n">
        <x:f>0</x:f>
        <x:v>0</x:v>
      </x:c>
      <x:c r="K633" s="45" t="n">
        <x:f>MAX((1/2)*($C633-$B633),0)</x:f>
        <x:v>0</x:v>
      </x:c>
      <x:c r="L633" s="45" t="n">
        <x:f>F633+I633</x:f>
        <x:v>6</x:v>
      </x:c>
      <x:c r="M633" s="45" t="n">
        <x:f>G633+J633</x:f>
        <x:v>3</x:v>
      </x:c>
      <x:c r="N633" s="45" t="n">
        <x:f>H633+K633</x:f>
        <x:v>6</x:v>
      </x:c>
      <x:c r="O633" s="45" t="n">
        <x:f>SUM(F633:H633)</x:f>
        <x:v>15</x:v>
      </x:c>
      <x:c r="P633" s="42" t="n">
        <x:f>IF(AND(F633&lt;=F585,F633&lt;=F617,F633&lt;=F601,G633&lt;=G641,G633&lt;=G629,G633&lt;=G637,H633&lt;=H630,H633&lt;=H632,H633&lt;=H631),1,0)</x:f>
        <x:v>0</x:v>
      </x:c>
      <x:c r="Q633" s="42" t="n">
        <x:f>IF(AND(L633&lt;=L585,L633&lt;=L617,L633&lt;=L601,M633&lt;=M641,M633&lt;=M629,M633&lt;=M637,N633&lt;=N630,N633&lt;=N632,N633&lt;=N631),1,0)</x:f>
        <x:v>0</x:v>
      </x:c>
      <x:c r="R633" s="42" t="n">
        <x:v>0</x:v>
      </x:c>
      <x:c r="S633" s="42" t="n">
        <x:v>0</x:v>
      </x:c>
    </x:row>
    <x:row r="634">
      <x:c r="A634" t="n">
        <x:v>10</x:v>
      </x:c>
      <x:c r="B634" t="n">
        <x:v>4</x:v>
      </x:c>
      <x:c r="C634" t="n">
        <x:v>0</x:v>
      </x:c>
      <x:c r="D634" t="n">
        <x:v>3</x:v>
      </x:c>
      <x:c r="E634" t="str">
        <x:v>voe</x:v>
      </x:c>
      <x:c r="F634" s="45" t="n">
        <x:f>2*$B634</x:f>
        <x:v>8</x:v>
      </x:c>
      <x:c r="G634" s="45" t="n">
        <x:f>0</x:f>
        <x:v>0</x:v>
      </x:c>
      <x:c r="H634" s="45" t="n">
        <x:f>1*$B634</x:f>
        <x:v>4</x:v>
      </x:c>
      <x:c r="I634" s="45" t="n">
        <x:f>0</x:f>
        <x:v>0</x:v>
      </x:c>
      <x:c r="J634" s="45" t="n">
        <x:f>0</x:f>
        <x:v>0</x:v>
      </x:c>
      <x:c r="K634" s="45" t="n">
        <x:f>0</x:f>
        <x:v>0</x:v>
      </x:c>
      <x:c r="L634" s="45" t="n">
        <x:f>F634+I634</x:f>
        <x:v>8</x:v>
      </x:c>
      <x:c r="M634" s="45" t="n">
        <x:f>G634+J634</x:f>
        <x:v>0</x:v>
      </x:c>
      <x:c r="N634" s="45" t="n">
        <x:f>H634+K634</x:f>
        <x:v>4</x:v>
      </x:c>
      <x:c r="O634" s="45" t="n">
        <x:f>SUM(F634:H634)</x:f>
        <x:v>12</x:v>
      </x:c>
      <x:c r="P634" s="42" t="n">
        <x:f>IF(AND(F634&lt;=F586,F634&lt;=F618,F634&lt;=F602,G634&lt;=G638,G634&lt;=G626,G634&lt;=G630,H634&lt;=H637,H634&lt;=H636,H634&lt;=H635),1,0)</x:f>
        <x:v>0</x:v>
      </x:c>
      <x:c r="Q634" s="42" t="n">
        <x:f>IF(AND(L634&lt;=L586,L634&lt;=L618,L634&lt;=L602,M634&lt;=M638,M634&lt;=M626,M634&lt;=M630,N634&lt;=N637,N634&lt;=N636,N634&lt;=N635),1,0)</x:f>
        <x:v>0</x:v>
      </x:c>
      <x:c r="R634" s="42" t="n">
        <x:v>0</x:v>
      </x:c>
      <x:c r="S634" s="42" t="n">
        <x:v>0</x:v>
      </x:c>
    </x:row>
    <x:row r="635">
      <x:c r="A635" t="n">
        <x:v>10</x:v>
      </x:c>
      <x:c r="B635" t="n">
        <x:v>4</x:v>
      </x:c>
      <x:c r="C635" t="n">
        <x:v>0</x:v>
      </x:c>
      <x:c r="D635" t="n">
        <x:v>3</x:v>
      </x:c>
      <x:c r="E635" t="str">
        <x:v>vol</x:v>
      </x:c>
      <x:c r="F635" s="45" t="n">
        <x:f>2*$B635</x:f>
        <x:v>8</x:v>
      </x:c>
      <x:c r="G635" s="45" t="n">
        <x:f>0</x:f>
        <x:v>0</x:v>
      </x:c>
      <x:c r="H635" s="45" t="n">
        <x:f>1*$D635</x:f>
        <x:v>3</x:v>
      </x:c>
      <x:c r="I635" s="45" t="n">
        <x:f>0</x:f>
        <x:v>0</x:v>
      </x:c>
      <x:c r="J635" s="45" t="n">
        <x:f>0</x:f>
        <x:v>0</x:v>
      </x:c>
      <x:c r="K635" s="45" t="n">
        <x:f>0</x:f>
        <x:v>0</x:v>
      </x:c>
      <x:c r="L635" s="45" t="n">
        <x:f>F635+I635</x:f>
        <x:v>8</x:v>
      </x:c>
      <x:c r="M635" s="45" t="n">
        <x:f>G635+J635</x:f>
        <x:v>0</x:v>
      </x:c>
      <x:c r="N635" s="45" t="n">
        <x:f>H635+K635</x:f>
        <x:v>3</x:v>
      </x:c>
      <x:c r="O635" s="45" t="n">
        <x:f>SUM(F635:H635)</x:f>
        <x:v>11</x:v>
      </x:c>
      <x:c r="P635" s="42" t="n">
        <x:f>IF(AND(F635&lt;=F587,F635&lt;=F619,F635&lt;=F603,G635&lt;=G639,G635&lt;=G627,G635&lt;=G631,H635&lt;=H637,H635&lt;=H634,H635&lt;=H636),1,0)</x:f>
        <x:v>0</x:v>
      </x:c>
      <x:c r="Q635" s="42" t="n">
        <x:f>IF(AND(L635&lt;=L587,L635&lt;=L619,L635&lt;=L603,M635&lt;=M639,M635&lt;=M627,M635&lt;=M631,N635&lt;=N637,N635&lt;=N634,N635&lt;=N636),1,0)</x:f>
        <x:v>0</x:v>
      </x:c>
      <x:c r="R635" s="42" t="n">
        <x:v>0</x:v>
      </x:c>
      <x:c r="S635" s="42" t="n">
        <x:v>0</x:v>
      </x:c>
    </x:row>
    <x:row r="636">
      <x:c r="A636" t="n">
        <x:v>10</x:v>
      </x:c>
      <x:c r="B636" t="n">
        <x:v>4</x:v>
      </x:c>
      <x:c r="C636" t="n">
        <x:v>0</x:v>
      </x:c>
      <x:c r="D636" t="n">
        <x:v>3</x:v>
      </x:c>
      <x:c r="E636" t="str">
        <x:v>voo</x:v>
      </x:c>
      <x:c r="F636" s="45" t="n">
        <x:f>2*$B636</x:f>
        <x:v>8</x:v>
      </x:c>
      <x:c r="G636" s="45" t="n">
        <x:f>(1/2)*$C636+(1/2)*$D636</x:f>
        <x:v>1.5</x:v>
      </x:c>
      <x:c r="H636" s="45" t="n">
        <x:f>(1/2)*$C636+(1/2)*$D636</x:f>
        <x:v>1.5</x:v>
      </x:c>
      <x:c r="I636" s="45" t="n">
        <x:f>0</x:f>
        <x:v>0</x:v>
      </x:c>
      <x:c r="J636" s="45" t="n">
        <x:f>(1/2)*($C636+$D636)</x:f>
        <x:v>1.5</x:v>
      </x:c>
      <x:c r="K636" s="45" t="n">
        <x:f>(1/2)*($C636+$D636)</x:f>
        <x:v>1.5</x:v>
      </x:c>
      <x:c r="L636" s="45" t="n">
        <x:f>F636+I636</x:f>
        <x:v>8</x:v>
      </x:c>
      <x:c r="M636" s="45" t="n">
        <x:f>G636+J636</x:f>
        <x:v>3</x:v>
      </x:c>
      <x:c r="N636" s="45" t="n">
        <x:f>H636+K636</x:f>
        <x:v>3</x:v>
      </x:c>
      <x:c r="O636" s="45" t="n">
        <x:f>SUM(F636:H636)</x:f>
        <x:v>11</x:v>
      </x:c>
      <x:c r="P636" s="42" t="n">
        <x:f>IF(AND(F636&lt;=F588,F636&lt;=F620,F636&lt;=F604,G636&lt;=G640,G636&lt;=G628,G636&lt;=G632,H636&lt;=H637,H636&lt;=H634,H636&lt;=H635),1,0)</x:f>
        <x:v>0</x:v>
      </x:c>
      <x:c r="Q636" s="42" t="n">
        <x:f>IF(AND(L636&lt;=L588,L636&lt;=L620,L636&lt;=L604,M636&lt;=M640,M636&lt;=M628,M636&lt;=M632,N636&lt;=N637,N636&lt;=N634,N636&lt;=N635),1,0)</x:f>
        <x:v>0</x:v>
      </x:c>
      <x:c r="R636" s="42" t="n">
        <x:v>0</x:v>
      </x:c>
      <x:c r="S636" s="42" t="n">
        <x:v>0</x:v>
      </x:c>
    </x:row>
    <x:row r="637">
      <x:c r="A637" t="n">
        <x:v>10</x:v>
      </x:c>
      <x:c r="B637" t="n">
        <x:v>4</x:v>
      </x:c>
      <x:c r="C637" t="n">
        <x:v>0</x:v>
      </x:c>
      <x:c r="D637" t="n">
        <x:v>3</x:v>
      </x:c>
      <x:c r="E637" t="str">
        <x:v>vov</x:v>
      </x:c>
      <x:c r="F637" s="45" t="n">
        <x:f>(3/2)*$B637+(1/2)*$C637</x:f>
        <x:v>6</x:v>
      </x:c>
      <x:c r="G637" s="45" t="n">
        <x:f>0</x:f>
        <x:v>0</x:v>
      </x:c>
      <x:c r="H637" s="45" t="n">
        <x:f>(3/2)*$B637+(1/2)*$C637</x:f>
        <x:v>6</x:v>
      </x:c>
      <x:c r="I637" s="45" t="n">
        <x:f>MAX((1/2)*($C637-$B637),0)</x:f>
        <x:v>0</x:v>
      </x:c>
      <x:c r="J637" s="45" t="n">
        <x:f>0</x:f>
        <x:v>0</x:v>
      </x:c>
      <x:c r="K637" s="45" t="n">
        <x:f>MAX((1/2)*($C637-$B637),0)</x:f>
        <x:v>0</x:v>
      </x:c>
      <x:c r="L637" s="45" t="n">
        <x:f>F637+I637</x:f>
        <x:v>6</x:v>
      </x:c>
      <x:c r="M637" s="45" t="n">
        <x:f>G637+J637</x:f>
        <x:v>0</x:v>
      </x:c>
      <x:c r="N637" s="45" t="n">
        <x:f>H637+K637</x:f>
        <x:v>6</x:v>
      </x:c>
      <x:c r="O637" s="45" t="n">
        <x:f>SUM(F637:H637)</x:f>
        <x:v>12</x:v>
      </x:c>
      <x:c r="P637" s="42" t="n">
        <x:f>IF(AND(F637&lt;=F589,F637&lt;=F621,F637&lt;=F605,G637&lt;=G641,G637&lt;=G629,G637&lt;=G633,H637&lt;=H634,H637&lt;=H636,H637&lt;=H635),1,0)</x:f>
        <x:v>0</x:v>
      </x:c>
      <x:c r="Q637" s="42" t="n">
        <x:f>IF(AND(L637&lt;=L589,L637&lt;=L621,L637&lt;=L605,M637&lt;=M641,M637&lt;=M629,M637&lt;=M633,N637&lt;=N634,N637&lt;=N636,N637&lt;=N635),1,0)</x:f>
        <x:v>0</x:v>
      </x:c>
      <x:c r="R637" s="42" t="n">
        <x:v>0</x:v>
      </x:c>
      <x:c r="S637" s="42" t="n">
        <x:v>0</x:v>
      </x:c>
    </x:row>
    <x:row r="638">
      <x:c r="A638" t="n">
        <x:v>10</x:v>
      </x:c>
      <x:c r="B638" t="n">
        <x:v>4</x:v>
      </x:c>
      <x:c r="C638" t="n">
        <x:v>0</x:v>
      </x:c>
      <x:c r="D638" t="n">
        <x:v>3</x:v>
      </x:c>
      <x:c r="E638" t="str">
        <x:v>vve</x:v>
      </x:c>
      <x:c r="F638" s="45" t="n">
        <x:f>(3/2)*$B638+(1/2)*$C638</x:f>
        <x:v>6</x:v>
      </x:c>
      <x:c r="G638" s="45" t="n">
        <x:f>(3/2)*$B638+(1/2)*$C638</x:f>
        <x:v>6</x:v>
      </x:c>
      <x:c r="H638" s="45" t="n">
        <x:f>1*$C638</x:f>
        <x:v>0</x:v>
      </x:c>
      <x:c r="I638" s="45" t="n">
        <x:f>MAX((3/2)*($C638-$B638),0)</x:f>
        <x:v>0</x:v>
      </x:c>
      <x:c r="J638" s="45" t="n">
        <x:f>MAX((3/2)*($C638-$B638),0)</x:f>
        <x:v>0</x:v>
      </x:c>
      <x:c r="K638" s="45" t="n">
        <x:f>0</x:f>
        <x:v>0</x:v>
      </x:c>
      <x:c r="L638" s="45" t="n">
        <x:f>F638+I638</x:f>
        <x:v>6</x:v>
      </x:c>
      <x:c r="M638" s="45" t="n">
        <x:f>G638+J638</x:f>
        <x:v>6</x:v>
      </x:c>
      <x:c r="N638" s="45" t="n">
        <x:f>H638+K638</x:f>
        <x:v>0</x:v>
      </x:c>
      <x:c r="O638" s="45" t="n">
        <x:f>SUM(F638:H638)</x:f>
        <x:v>12</x:v>
      </x:c>
      <x:c r="P638" s="42" t="n">
        <x:f>IF(AND(F638&lt;=F590,F638&lt;=F622,F638&lt;=F606,G638&lt;=G626,G638&lt;=G634,G638&lt;=G630,H638&lt;=H641,H638&lt;=H640,H638&lt;=H639),1,0)</x:f>
        <x:v>0</x:v>
      </x:c>
      <x:c r="Q638" s="42" t="n">
        <x:f>IF(AND(L638&lt;=L590,L638&lt;=L622,L638&lt;=L606,M638&lt;=M626,M638&lt;=M634,M638&lt;=M630,N638&lt;=N641,N638&lt;=N640,N638&lt;=N639),1,0)</x:f>
        <x:v>0</x:v>
      </x:c>
      <x:c r="R638" s="42" t="n">
        <x:v>0</x:v>
      </x:c>
      <x:c r="S638" s="42" t="n">
        <x:v>0</x:v>
      </x:c>
    </x:row>
    <x:row r="639">
      <x:c r="A639" t="n">
        <x:v>10</x:v>
      </x:c>
      <x:c r="B639" t="n">
        <x:v>4</x:v>
      </x:c>
      <x:c r="C639" t="n">
        <x:v>0</x:v>
      </x:c>
      <x:c r="D639" t="n">
        <x:v>3</x:v>
      </x:c>
      <x:c r="E639" t="str">
        <x:v>vvl</x:v>
      </x:c>
      <x:c r="F639" s="45" t="n">
        <x:f>(3/2)*$B639+(1/2)*$C639</x:f>
        <x:v>6</x:v>
      </x:c>
      <x:c r="G639" s="45" t="n">
        <x:f>(3/2)*$B639+(1/2)*$C639</x:f>
        <x:v>6</x:v>
      </x:c>
      <x:c r="H639" s="45" t="n">
        <x:f>1*$D639</x:f>
        <x:v>3</x:v>
      </x:c>
      <x:c r="I639" s="45" t="n">
        <x:f>MAX((1/2)*($C639-$B639),0)</x:f>
        <x:v>0</x:v>
      </x:c>
      <x:c r="J639" s="45" t="n">
        <x:f>MAX((1/2)*($C639-$B639),0)</x:f>
        <x:v>0</x:v>
      </x:c>
      <x:c r="K639" s="45" t="n">
        <x:f>0</x:f>
        <x:v>0</x:v>
      </x:c>
      <x:c r="L639" s="45" t="n">
        <x:f>F639+I639</x:f>
        <x:v>6</x:v>
      </x:c>
      <x:c r="M639" s="45" t="n">
        <x:f>G639+J639</x:f>
        <x:v>6</x:v>
      </x:c>
      <x:c r="N639" s="45" t="n">
        <x:f>H639+K639</x:f>
        <x:v>3</x:v>
      </x:c>
      <x:c r="O639" s="45" t="n">
        <x:f>SUM(F639:H639)</x:f>
        <x:v>15</x:v>
      </x:c>
      <x:c r="P639" s="42" t="n">
        <x:f>IF(AND(F639&lt;=F591,F639&lt;=F623,F639&lt;=F607,G639&lt;=G627,G639&lt;=G635,G639&lt;=G631,H639&lt;=H641,H639&lt;=H638,H639&lt;=H640),1,0)</x:f>
        <x:v>0</x:v>
      </x:c>
      <x:c r="Q639" s="42" t="n">
        <x:f>IF(AND(L639&lt;=L591,L639&lt;=L623,L639&lt;=L607,M639&lt;=M627,M639&lt;=M635,M639&lt;=M631,N639&lt;=N641,N639&lt;=N638,N639&lt;=N640),1,0)</x:f>
        <x:v>0</x:v>
      </x:c>
      <x:c r="R639" s="42" t="n">
        <x:v>0</x:v>
      </x:c>
      <x:c r="S639" s="42" t="n">
        <x:v>0</x:v>
      </x:c>
    </x:row>
    <x:row r="640">
      <x:c r="A640" t="n">
        <x:v>10</x:v>
      </x:c>
      <x:c r="B640" t="n">
        <x:v>4</x:v>
      </x:c>
      <x:c r="C640" t="n">
        <x:v>0</x:v>
      </x:c>
      <x:c r="D640" t="n">
        <x:v>3</x:v>
      </x:c>
      <x:c r="E640" t="str">
        <x:v>vvo</x:v>
      </x:c>
      <x:c r="F640" s="45" t="n">
        <x:f>(3/2)*$B640+(1/2)*$C640</x:f>
        <x:v>6</x:v>
      </x:c>
      <x:c r="G640" s="45" t="n">
        <x:f>(3/2)*$B640+(1/2)*$C640</x:f>
        <x:v>6</x:v>
      </x:c>
      <x:c r="H640" s="45" t="n">
        <x:f>0</x:f>
        <x:v>0</x:v>
      </x:c>
      <x:c r="I640" s="45" t="n">
        <x:f>MAX((1/2)*($C640-$B640),0)</x:f>
        <x:v>0</x:v>
      </x:c>
      <x:c r="J640" s="45" t="n">
        <x:f>MAX((1/2)*($C640-$B640),0)</x:f>
        <x:v>0</x:v>
      </x:c>
      <x:c r="K640" s="45" t="n">
        <x:f>0</x:f>
        <x:v>0</x:v>
      </x:c>
      <x:c r="L640" s="45" t="n">
        <x:f>F640+I640</x:f>
        <x:v>6</x:v>
      </x:c>
      <x:c r="M640" s="45" t="n">
        <x:f>G640+J640</x:f>
        <x:v>6</x:v>
      </x:c>
      <x:c r="N640" s="45" t="n">
        <x:f>H640+K640</x:f>
        <x:v>0</x:v>
      </x:c>
      <x:c r="O640" s="45" t="n">
        <x:f>SUM(F640:H640)</x:f>
        <x:v>12</x:v>
      </x:c>
      <x:c r="P640" s="42" t="n">
        <x:f>IF(AND(F640&lt;=F592,F640&lt;=F624,F640&lt;=F608,G640&lt;=G628,G640&lt;=G636,G640&lt;=G632,H640&lt;=H641,H640&lt;=H638,H640&lt;=H639),1,0)</x:f>
        <x:v>0</x:v>
      </x:c>
      <x:c r="Q640" s="42" t="n">
        <x:f>IF(AND(L640&lt;=L592,L640&lt;=L624,L640&lt;=L608,M640&lt;=M628,M640&lt;=M636,M640&lt;=M632,N640&lt;=N641,N640&lt;=N638,N640&lt;=N639),1,0)</x:f>
        <x:v>0</x:v>
      </x:c>
      <x:c r="R640" s="42" t="n">
        <x:v>0</x:v>
      </x:c>
      <x:c r="S640" s="42" t="n">
        <x:v>0</x:v>
      </x:c>
    </x:row>
    <x:row r="641">
      <x:c r="A641" t="n">
        <x:v>10</x:v>
      </x:c>
      <x:c r="B641" t="n">
        <x:v>4</x:v>
      </x:c>
      <x:c r="C641" t="n">
        <x:v>0</x:v>
      </x:c>
      <x:c r="D641" t="n">
        <x:v>3</x:v>
      </x:c>
      <x:c r="E641" t="str">
        <x:v>vvv</x:v>
      </x:c>
      <x:c r="F641" s="45" t="n">
        <x:f>1*$B641+1*$C641</x:f>
        <x:v>4</x:v>
      </x:c>
      <x:c r="G641" s="45" t="n">
        <x:f>1*$B641+1*$C641</x:f>
        <x:v>4</x:v>
      </x:c>
      <x:c r="H641" s="45" t="n">
        <x:f>1*$B641+1*$C641</x:f>
        <x:v>4</x:v>
      </x:c>
      <x:c r="I641" s="45" t="n">
        <x:f>MAX($C641-$B641,0)</x:f>
        <x:v>0</x:v>
      </x:c>
      <x:c r="J641" s="45" t="n">
        <x:f>MAX($C641-$B641,0)</x:f>
        <x:v>0</x:v>
      </x:c>
      <x:c r="K641" s="45" t="n">
        <x:f>MAX($C641-$B641,0)</x:f>
        <x:v>0</x:v>
      </x:c>
      <x:c r="L641" s="45" t="n">
        <x:f>F641+I641</x:f>
        <x:v>4</x:v>
      </x:c>
      <x:c r="M641" s="45" t="n">
        <x:f>G641+J641</x:f>
        <x:v>4</x:v>
      </x:c>
      <x:c r="N641" s="45" t="n">
        <x:f>H641+K641</x:f>
        <x:v>4</x:v>
      </x:c>
      <x:c r="O641" s="45" t="n">
        <x:f>SUM(F641:H641)</x:f>
        <x:v>12</x:v>
      </x:c>
      <x:c r="P641" s="42" t="n">
        <x:f>IF(AND(F641&lt;=F593,F641&lt;=F625,F641&lt;=F609,G641&lt;=G629,G641&lt;=G637,G641&lt;=G633,H641&lt;=H638,H641&lt;=H640,H641&lt;=H639),1,0)</x:f>
        <x:v>0</x:v>
      </x:c>
      <x:c r="Q641" s="42" t="n">
        <x:f>IF(AND(L641&lt;=L593,L641&lt;=L625,L641&lt;=L609,M641&lt;=M629,M641&lt;=M637,M641&lt;=M633,N641&lt;=N638,N641&lt;=N640,N641&lt;=N639),1,0)</x:f>
        <x:v>0</x:v>
      </x:c>
      <x:c r="R641" s="42" t="n">
        <x:v>0</x:v>
      </x:c>
      <x:c r="S641" s="42" t="n">
        <x:v>0</x:v>
      </x:c>
    </x:row>
    <x:row r="642">
      <x:c r="A642" t="n">
        <x:v>11</x:v>
      </x:c>
      <x:c r="B642" t="n">
        <x:v>4</x:v>
      </x:c>
      <x:c r="C642" t="n">
        <x:v>1</x:v>
      </x:c>
      <x:c r="D642" t="n">
        <x:v>3</x:v>
      </x:c>
      <x:c r="E642" t="str">
        <x:v>eee</x:v>
      </x:c>
      <x:c r="F642" s="45" t="n">
        <x:f>(1/3)*$B642+1*$C642+(1/3)*$D642</x:f>
        <x:v>3.333333333333333</x:v>
      </x:c>
      <x:c r="G642" s="45" t="n">
        <x:f>(1/3)*$B642+1*$C642+(1/3)*$D642</x:f>
        <x:v>3.333333333333333</x:v>
      </x:c>
      <x:c r="H642" s="45" t="n">
        <x:f>(1/3)*$B642+1*$C642+(1/3)*$D642</x:f>
        <x:v>3.333333333333333</x:v>
      </x:c>
      <x:c r="I642" s="45" t="n">
        <x:f>MAX($C642+(2/3)*$D642-(1/3)*$B642,0)</x:f>
        <x:v>1.6666666666666667</x:v>
      </x:c>
      <x:c r="J642" s="45" t="n">
        <x:f>MAX($C642+(2/3)*$D642-(1/3)*$B642,0)</x:f>
        <x:v>1.6666666666666667</x:v>
      </x:c>
      <x:c r="K642" s="45" t="n">
        <x:f>MAX($C642+(2/3)*$D642-(1/3)*$B642,0)</x:f>
        <x:v>1.6666666666666667</x:v>
      </x:c>
      <x:c r="L642" s="45" t="n">
        <x:f>F642+I642</x:f>
        <x:v>5</x:v>
      </x:c>
      <x:c r="M642" s="45" t="n">
        <x:f>G642+J642</x:f>
        <x:v>5</x:v>
      </x:c>
      <x:c r="N642" s="45" t="n">
        <x:f>H642+K642</x:f>
        <x:v>5</x:v>
      </x:c>
      <x:c r="O642" s="45" t="n">
        <x:f>SUM(F642:H642)</x:f>
        <x:v>10</x:v>
      </x:c>
      <x:c r="P642" s="42" t="n">
        <x:f>IF(AND(F642&lt;=F690,F642&lt;=F674,F642&lt;=F658,G642&lt;=G654,G642&lt;=G650,G642&lt;=G646,H642&lt;=H645,H642&lt;=H644,H642&lt;=H643),1,0)</x:f>
        <x:v>0</x:v>
      </x:c>
      <x:c r="Q642" s="42" t="n">
        <x:f>IF(AND(L642&lt;=L690,L642&lt;=L674,L642&lt;=L658,M642&lt;=M654,M642&lt;=M650,M642&lt;=M646,N642&lt;=N645,N642&lt;=N644,N642&lt;=N643),1,0)</x:f>
        <x:v>0</x:v>
      </x:c>
      <x:c r="R642" s="42" t="n">
        <x:v>0</x:v>
      </x:c>
      <x:c r="S642" s="42" t="n">
        <x:v>0</x:v>
      </x:c>
    </x:row>
    <x:row r="643">
      <x:c r="A643" t="n">
        <x:v>11</x:v>
      </x:c>
      <x:c r="B643" t="n">
        <x:v>4</x:v>
      </x:c>
      <x:c r="C643" t="n">
        <x:v>1</x:v>
      </x:c>
      <x:c r="D643" t="n">
        <x:v>3</x:v>
      </x:c>
      <x:c r="E643" t="str">
        <x:v>eel</x:v>
      </x:c>
      <x:c r="F643" s="45" t="n">
        <x:f>(1/2)*$B643+(1/2)*$C643</x:f>
        <x:v>2.5</x:v>
      </x:c>
      <x:c r="G643" s="45" t="n">
        <x:f>(1/2)*$B643+(1/2)*$C643</x:f>
        <x:v>2.5</x:v>
      </x:c>
      <x:c r="H643" s="45" t="n">
        <x:f>1*$D643</x:f>
        <x:v>3</x:v>
      </x:c>
      <x:c r="I643" s="45" t="n">
        <x:f>MAX((1/2)*($C643-$B643),0)</x:f>
        <x:v>0</x:v>
      </x:c>
      <x:c r="J643" s="45" t="n">
        <x:f>MAX((1/2)*($C643-$B643),0)</x:f>
        <x:v>0</x:v>
      </x:c>
      <x:c r="K643" s="45" t="n">
        <x:f>0</x:f>
        <x:v>0</x:v>
      </x:c>
      <x:c r="L643" s="45" t="n">
        <x:f>F643+I643</x:f>
        <x:v>2.5</x:v>
      </x:c>
      <x:c r="M643" s="45" t="n">
        <x:f>G643+J643</x:f>
        <x:v>2.5</x:v>
      </x:c>
      <x:c r="N643" s="45" t="n">
        <x:f>H643+K643</x:f>
        <x:v>3</x:v>
      </x:c>
      <x:c r="O643" s="45" t="n">
        <x:f>SUM(F643:H643)</x:f>
        <x:v>8</x:v>
      </x:c>
      <x:c r="P643" s="42" t="n">
        <x:f>IF(AND(F643&lt;=F691,F643&lt;=F675,F643&lt;=F659,G643&lt;=G655,G643&lt;=G651,G643&lt;=G647,H643&lt;=H645,H643&lt;=H642,H643&lt;=H644),1,0)</x:f>
        <x:v>0</x:v>
      </x:c>
      <x:c r="Q643" s="42" t="n">
        <x:f>IF(AND(L643&lt;=L691,L643&lt;=L675,L643&lt;=L659,M643&lt;=M655,M643&lt;=M651,M643&lt;=M647,N643&lt;=N645,N643&lt;=N642,N643&lt;=N644),1,0)</x:f>
        <x:v>0</x:v>
      </x:c>
      <x:c r="R643" s="42" t="n">
        <x:v>0</x:v>
      </x:c>
      <x:c r="S643" s="42" t="n">
        <x:v>0</x:v>
      </x:c>
    </x:row>
    <x:row r="644">
      <x:c r="A644" t="n">
        <x:v>11</x:v>
      </x:c>
      <x:c r="B644" t="n">
        <x:v>4</x:v>
      </x:c>
      <x:c r="C644" t="n">
        <x:v>1</x:v>
      </x:c>
      <x:c r="D644" t="n">
        <x:v>3</x:v>
      </x:c>
      <x:c r="E644" t="str">
        <x:v>eeo</x:v>
      </x:c>
      <x:c r="F644" s="45" t="n">
        <x:f>(1/2)*$B644+(1/2)*$C644</x:f>
        <x:v>2.5</x:v>
      </x:c>
      <x:c r="G644" s="45" t="n">
        <x:f>(1/2)*$B644+(1/2)*$C644</x:f>
        <x:v>2.5</x:v>
      </x:c>
      <x:c r="H644" s="45" t="n">
        <x:f>1*$C644+1*$D644</x:f>
        <x:v>4</x:v>
      </x:c>
      <x:c r="I644" s="45" t="n">
        <x:f>MAX((3/2)*$C644+$D644-(1/2)*$B644,0)</x:f>
        <x:v>2.5</x:v>
      </x:c>
      <x:c r="J644" s="45" t="n">
        <x:f>MAX((3/2)*$C644+$D644-(1/2)*$B644,0)</x:f>
        <x:v>2.5</x:v>
      </x:c>
      <x:c r="K644" s="45" t="n">
        <x:f>0</x:f>
        <x:v>0</x:v>
      </x:c>
      <x:c r="L644" s="45" t="n">
        <x:f>F644+I644</x:f>
        <x:v>5</x:v>
      </x:c>
      <x:c r="M644" s="45" t="n">
        <x:f>G644+J644</x:f>
        <x:v>5</x:v>
      </x:c>
      <x:c r="N644" s="45" t="n">
        <x:f>H644+K644</x:f>
        <x:v>4</x:v>
      </x:c>
      <x:c r="O644" s="45" t="n">
        <x:f>SUM(F644:H644)</x:f>
        <x:v>9</x:v>
      </x:c>
      <x:c r="P644" s="42" t="n">
        <x:f>IF(AND(F644&lt;=F692,F644&lt;=F676,F644&lt;=F660,G644&lt;=G656,G644&lt;=G652,G644&lt;=G648,H644&lt;=H645,H644&lt;=H642,H644&lt;=H643),1,0)</x:f>
        <x:v>0</x:v>
      </x:c>
      <x:c r="Q644" s="42" t="n">
        <x:f>IF(AND(L644&lt;=L692,L644&lt;=L676,L644&lt;=L660,M644&lt;=M656,M644&lt;=M652,M644&lt;=M648,N644&lt;=N645,N644&lt;=N642,N644&lt;=N643),1,0)</x:f>
        <x:v>0</x:v>
      </x:c>
      <x:c r="R644" s="42" t="n">
        <x:v>0</x:v>
      </x:c>
      <x:c r="S644" s="42" t="n">
        <x:v>0</x:v>
      </x:c>
    </x:row>
    <x:row r="645">
      <x:c r="A645" t="n">
        <x:v>11</x:v>
      </x:c>
      <x:c r="B645" t="n">
        <x:v>4</x:v>
      </x:c>
      <x:c r="C645" t="n">
        <x:v>1</x:v>
      </x:c>
      <x:c r="D645" t="n">
        <x:v>3</x:v>
      </x:c>
      <x:c r="E645" t="str">
        <x:v>eev</x:v>
      </x:c>
      <x:c r="F645" s="45" t="n">
        <x:f>(1/2)*$B645+(1/2)*$C645</x:f>
        <x:v>2.5</x:v>
      </x:c>
      <x:c r="G645" s="45" t="n">
        <x:f>(1/2)*$B645+(1/2)*$C645</x:f>
        <x:v>2.5</x:v>
      </x:c>
      <x:c r="H645" s="45" t="n">
        <x:f>2*$B645</x:f>
        <x:v>8</x:v>
      </x:c>
      <x:c r="I645" s="45" t="n">
        <x:f>MAX((1/2)*($C645-$B645),0)</x:f>
        <x:v>0</x:v>
      </x:c>
      <x:c r="J645" s="45" t="n">
        <x:f>MAX((1/2)*($C645-$B645),0)</x:f>
        <x:v>0</x:v>
      </x:c>
      <x:c r="K645" s="45" t="n">
        <x:f>0</x:f>
        <x:v>0</x:v>
      </x:c>
      <x:c r="L645" s="45" t="n">
        <x:f>F645+I645</x:f>
        <x:v>2.5</x:v>
      </x:c>
      <x:c r="M645" s="45" t="n">
        <x:f>G645+J645</x:f>
        <x:v>2.5</x:v>
      </x:c>
      <x:c r="N645" s="45" t="n">
        <x:f>H645+K645</x:f>
        <x:v>8</x:v>
      </x:c>
      <x:c r="O645" s="45" t="n">
        <x:f>SUM(F645:H645)</x:f>
        <x:v>13</x:v>
      </x:c>
      <x:c r="P645" s="42" t="n">
        <x:f>IF(AND(F645&lt;=F693,F645&lt;=F677,F645&lt;=F661,G645&lt;=G657,G645&lt;=G653,G645&lt;=G649,H645&lt;=H642,H645&lt;=H644,H645&lt;=H643),1,0)</x:f>
        <x:v>0</x:v>
      </x:c>
      <x:c r="Q645" s="42" t="n">
        <x:f>IF(AND(L645&lt;=L693,L645&lt;=L677,L645&lt;=L661,M645&lt;=M657,M645&lt;=M653,M645&lt;=M649,N645&lt;=N642,N645&lt;=N644,N645&lt;=N643),1,0)</x:f>
        <x:v>0</x:v>
      </x:c>
      <x:c r="R645" s="42" t="n">
        <x:v>0</x:v>
      </x:c>
      <x:c r="S645" s="42" t="n">
        <x:v>0</x:v>
      </x:c>
    </x:row>
    <x:row r="646">
      <x:c r="A646" t="n">
        <x:v>11</x:v>
      </x:c>
      <x:c r="B646" t="n">
        <x:v>4</x:v>
      </x:c>
      <x:c r="C646" t="n">
        <x:v>1</x:v>
      </x:c>
      <x:c r="D646" t="n">
        <x:v>3</x:v>
      </x:c>
      <x:c r="E646" t="str">
        <x:v>ele</x:v>
      </x:c>
      <x:c r="F646" s="45" t="n">
        <x:f>(1/2)*$B646+(1/2)*$C646</x:f>
        <x:v>2.5</x:v>
      </x:c>
      <x:c r="G646" s="45" t="n">
        <x:f>1*$D646</x:f>
        <x:v>3</x:v>
      </x:c>
      <x:c r="H646" s="45" t="n">
        <x:f>(1/2)*$B646+(1/2)*$C646</x:f>
        <x:v>2.5</x:v>
      </x:c>
      <x:c r="I646" s="45" t="n">
        <x:f>MAX((1/2)*($C646-$B646),0)</x:f>
        <x:v>0</x:v>
      </x:c>
      <x:c r="J646" s="45" t="n">
        <x:f>0</x:f>
        <x:v>0</x:v>
      </x:c>
      <x:c r="K646" s="45" t="n">
        <x:f>MAX((1/2)*($C646-$B646),0)</x:f>
        <x:v>0</x:v>
      </x:c>
      <x:c r="L646" s="45" t="n">
        <x:f>F646+I646</x:f>
        <x:v>2.5</x:v>
      </x:c>
      <x:c r="M646" s="45" t="n">
        <x:f>G646+J646</x:f>
        <x:v>3</x:v>
      </x:c>
      <x:c r="N646" s="45" t="n">
        <x:f>H646+K646</x:f>
        <x:v>2.5</x:v>
      </x:c>
      <x:c r="O646" s="45" t="n">
        <x:f>SUM(F646:H646)</x:f>
        <x:v>8</x:v>
      </x:c>
      <x:c r="P646" s="42" t="n">
        <x:f>IF(AND(F646&lt;=F694,F646&lt;=F678,F646&lt;=F662,G646&lt;=G654,G646&lt;=G642,G646&lt;=G650,H646&lt;=H649,H646&lt;=H648,H646&lt;=H647),1,0)</x:f>
        <x:v>0</x:v>
      </x:c>
      <x:c r="Q646" s="42" t="n">
        <x:f>IF(AND(L646&lt;=L694,L646&lt;=L678,L646&lt;=L662,M646&lt;=M654,M646&lt;=M642,M646&lt;=M650,N646&lt;=N649,N646&lt;=N648,N646&lt;=N647),1,0)</x:f>
        <x:v>0</x:v>
      </x:c>
      <x:c r="R646" s="42" t="n">
        <x:v>0</x:v>
      </x:c>
      <x:c r="S646" s="42" t="n">
        <x:v>0</x:v>
      </x:c>
    </x:row>
    <x:row r="647">
      <x:c r="A647" t="n">
        <x:v>11</x:v>
      </x:c>
      <x:c r="B647" t="n">
        <x:v>4</x:v>
      </x:c>
      <x:c r="C647" t="n">
        <x:v>1</x:v>
      </x:c>
      <x:c r="D647" t="n">
        <x:v>3</x:v>
      </x:c>
      <x:c r="E647" t="str">
        <x:v>ell</x:v>
      </x:c>
      <x:c r="F647" s="45" t="n">
        <x:f>1*$B647</x:f>
        <x:v>4</x:v>
      </x:c>
      <x:c r="G647" s="45" t="n">
        <x:f>(1/2)*$C647+(3/2)*$D647</x:f>
        <x:v>5</x:v>
      </x:c>
      <x:c r="H647" s="45" t="n">
        <x:f>(1/2)*$C647+(3/2)*$D647</x:f>
        <x:v>5</x:v>
      </x:c>
      <x:c r="I647" s="45" t="n">
        <x:f>0</x:f>
        <x:v>0</x:v>
      </x:c>
      <x:c r="J647" s="45" t="n">
        <x:f>(1/2)*($C647+$D647)</x:f>
        <x:v>2</x:v>
      </x:c>
      <x:c r="K647" s="45" t="n">
        <x:f>(1/2)*($C647+$D647)</x:f>
        <x:v>2</x:v>
      </x:c>
      <x:c r="L647" s="45" t="n">
        <x:f>F647+I647</x:f>
        <x:v>4</x:v>
      </x:c>
      <x:c r="M647" s="45" t="n">
        <x:f>G647+J647</x:f>
        <x:v>7</x:v>
      </x:c>
      <x:c r="N647" s="45" t="n">
        <x:f>H647+K647</x:f>
        <x:v>7</x:v>
      </x:c>
      <x:c r="O647" s="45" t="n">
        <x:f>SUM(F647:H647)</x:f>
        <x:v>14</x:v>
      </x:c>
      <x:c r="P647" s="42" t="n">
        <x:f>IF(AND(F647&lt;=F695,F647&lt;=F679,F647&lt;=F663,G647&lt;=G655,G647&lt;=G643,G647&lt;=G651,H647&lt;=H649,H647&lt;=H646,H647&lt;=H648),1,0)</x:f>
        <x:v>0</x:v>
      </x:c>
      <x:c r="Q647" s="42" t="n">
        <x:f>IF(AND(L647&lt;=L695,L647&lt;=L679,L647&lt;=L663,M647&lt;=M655,M647&lt;=M643,M647&lt;=M651,N647&lt;=N649,N647&lt;=N646,N647&lt;=N648),1,0)</x:f>
        <x:v>0</x:v>
      </x:c>
      <x:c r="R647" s="42" t="n">
        <x:v>0</x:v>
      </x:c>
      <x:c r="S647" s="42" t="n">
        <x:v>0</x:v>
      </x:c>
    </x:row>
    <x:row r="648">
      <x:c r="A648" t="n">
        <x:v>11</x:v>
      </x:c>
      <x:c r="B648" t="n">
        <x:v>4</x:v>
      </x:c>
      <x:c r="C648" t="n">
        <x:v>1</x:v>
      </x:c>
      <x:c r="D648" t="n">
        <x:v>3</x:v>
      </x:c>
      <x:c r="E648" t="str">
        <x:v>elo</x:v>
      </x:c>
      <x:c r="F648" s="45" t="n">
        <x:f>1*$B648</x:f>
        <x:v>4</x:v>
      </x:c>
      <x:c r="G648" s="45" t="n">
        <x:f>1*$D648</x:f>
        <x:v>3</x:v>
      </x:c>
      <x:c r="H648" s="45" t="n">
        <x:f>0</x:f>
        <x:v>0</x:v>
      </x:c>
      <x:c r="I648" s="45" t="n">
        <x:f>0</x:f>
        <x:v>0</x:v>
      </x:c>
      <x:c r="J648" s="45" t="n">
        <x:f>0</x:f>
        <x:v>0</x:v>
      </x:c>
      <x:c r="K648" s="45" t="n">
        <x:f>0</x:f>
        <x:v>0</x:v>
      </x:c>
      <x:c r="L648" s="45" t="n">
        <x:f>F648+I648</x:f>
        <x:v>4</x:v>
      </x:c>
      <x:c r="M648" s="45" t="n">
        <x:f>G648+J648</x:f>
        <x:v>3</x:v>
      </x:c>
      <x:c r="N648" s="45" t="n">
        <x:f>H648+K648</x:f>
        <x:v>0</x:v>
      </x:c>
      <x:c r="O648" s="45" t="n">
        <x:f>SUM(F648:H648)</x:f>
        <x:v>7</x:v>
      </x:c>
      <x:c r="P648" s="42" t="n">
        <x:f>IF(AND(F648&lt;=F696,F648&lt;=F680,F648&lt;=F664,G648&lt;=G656,G648&lt;=G644,G648&lt;=G652,H648&lt;=H649,H648&lt;=H646,H648&lt;=H647),1,0)</x:f>
        <x:v>0</x:v>
      </x:c>
      <x:c r="Q648" s="42" t="n">
        <x:f>IF(AND(L648&lt;=L696,L648&lt;=L680,L648&lt;=L664,M648&lt;=M656,M648&lt;=M644,M648&lt;=M652,N648&lt;=N649,N648&lt;=N646,N648&lt;=N647),1,0)</x:f>
        <x:v>1</x:v>
      </x:c>
      <x:c r="R648" s="42" t="n">
        <x:v>0</x:v>
      </x:c>
      <x:c r="S648" s="42" t="n">
        <x:v>1</x:v>
      </x:c>
    </x:row>
    <x:row r="649">
      <x:c r="A649" t="n">
        <x:v>11</x:v>
      </x:c>
      <x:c r="B649" t="n">
        <x:v>4</x:v>
      </x:c>
      <x:c r="C649" t="n">
        <x:v>1</x:v>
      </x:c>
      <x:c r="D649" t="n">
        <x:v>3</x:v>
      </x:c>
      <x:c r="E649" t="str">
        <x:v>elv</x:v>
      </x:c>
      <x:c r="F649" s="45" t="n">
        <x:f>1*$B649</x:f>
        <x:v>4</x:v>
      </x:c>
      <x:c r="G649" s="45" t="n">
        <x:f>1*$D649</x:f>
        <x:v>3</x:v>
      </x:c>
      <x:c r="H649" s="45" t="n">
        <x:f>2*$B649</x:f>
        <x:v>8</x:v>
      </x:c>
      <x:c r="I649" s="45" t="n">
        <x:f>0</x:f>
        <x:v>0</x:v>
      </x:c>
      <x:c r="J649" s="45" t="n">
        <x:f>0</x:f>
        <x:v>0</x:v>
      </x:c>
      <x:c r="K649" s="45" t="n">
        <x:f>0</x:f>
        <x:v>0</x:v>
      </x:c>
      <x:c r="L649" s="45" t="n">
        <x:f>F649+I649</x:f>
        <x:v>4</x:v>
      </x:c>
      <x:c r="M649" s="45" t="n">
        <x:f>G649+J649</x:f>
        <x:v>3</x:v>
      </x:c>
      <x:c r="N649" s="45" t="n">
        <x:f>H649+K649</x:f>
        <x:v>8</x:v>
      </x:c>
      <x:c r="O649" s="45" t="n">
        <x:f>SUM(F649:H649)</x:f>
        <x:v>15</x:v>
      </x:c>
      <x:c r="P649" s="42" t="n">
        <x:f>IF(AND(F649&lt;=F697,F649&lt;=F681,F649&lt;=F665,G649&lt;=G657,G649&lt;=G645,G649&lt;=G653,H649&lt;=H646,H649&lt;=H648,H649&lt;=H647),1,0)</x:f>
        <x:v>0</x:v>
      </x:c>
      <x:c r="Q649" s="42" t="n">
        <x:f>IF(AND(L649&lt;=L697,L649&lt;=L681,L649&lt;=L665,M649&lt;=M657,M649&lt;=M645,M649&lt;=M653,N649&lt;=N646,N649&lt;=N648,N649&lt;=N647),1,0)</x:f>
        <x:v>0</x:v>
      </x:c>
      <x:c r="R649" s="42" t="n">
        <x:v>0</x:v>
      </x:c>
      <x:c r="S649" s="42" t="n">
        <x:v>0</x:v>
      </x:c>
    </x:row>
    <x:row r="650">
      <x:c r="A650" t="n">
        <x:v>11</x:v>
      </x:c>
      <x:c r="B650" t="n">
        <x:v>4</x:v>
      </x:c>
      <x:c r="C650" t="n">
        <x:v>1</x:v>
      </x:c>
      <x:c r="D650" t="n">
        <x:v>3</x:v>
      </x:c>
      <x:c r="E650" t="str">
        <x:v>eoe</x:v>
      </x:c>
      <x:c r="F650" s="45" t="n">
        <x:f>(1/2)*$B650+(1/2)*$C650</x:f>
        <x:v>2.5</x:v>
      </x:c>
      <x:c r="G650" s="45" t="n">
        <x:f>1*$C650+1*$D650</x:f>
        <x:v>4</x:v>
      </x:c>
      <x:c r="H650" s="45" t="n">
        <x:f>(1/2)*$B650+(1/2)*$C650</x:f>
        <x:v>2.5</x:v>
      </x:c>
      <x:c r="I650" s="45" t="n">
        <x:f>MAX((3/2)*$C650+$D650-(1/2)*$B650,0)</x:f>
        <x:v>2.5</x:v>
      </x:c>
      <x:c r="J650" s="45" t="n">
        <x:f>0</x:f>
        <x:v>0</x:v>
      </x:c>
      <x:c r="K650" s="45" t="n">
        <x:f>MAX((3/2)*$C650+$D650-(1/2)*$B650,0)</x:f>
        <x:v>2.5</x:v>
      </x:c>
      <x:c r="L650" s="45" t="n">
        <x:f>F650+I650</x:f>
        <x:v>5</x:v>
      </x:c>
      <x:c r="M650" s="45" t="n">
        <x:f>G650+J650</x:f>
        <x:v>4</x:v>
      </x:c>
      <x:c r="N650" s="45" t="n">
        <x:f>H650+K650</x:f>
        <x:v>5</x:v>
      </x:c>
      <x:c r="O650" s="45" t="n">
        <x:f>SUM(F650:H650)</x:f>
        <x:v>9</x:v>
      </x:c>
      <x:c r="P650" s="42" t="n">
        <x:f>IF(AND(F650&lt;=F698,F650&lt;=F682,F650&lt;=F666,G650&lt;=G654,G650&lt;=G642,G650&lt;=G646,H650&lt;=H653,H650&lt;=H652,H650&lt;=H651),1,0)</x:f>
        <x:v>0</x:v>
      </x:c>
      <x:c r="Q650" s="42" t="n">
        <x:f>IF(AND(L650&lt;=L698,L650&lt;=L682,L650&lt;=L666,M650&lt;=M654,M650&lt;=M642,M650&lt;=M646,N650&lt;=N653,N650&lt;=N652,N650&lt;=N651),1,0)</x:f>
        <x:v>0</x:v>
      </x:c>
      <x:c r="R650" s="42" t="n">
        <x:v>0</x:v>
      </x:c>
      <x:c r="S650" s="42" t="n">
        <x:v>0</x:v>
      </x:c>
    </x:row>
    <x:row r="651">
      <x:c r="A651" t="n">
        <x:v>11</x:v>
      </x:c>
      <x:c r="B651" t="n">
        <x:v>4</x:v>
      </x:c>
      <x:c r="C651" t="n">
        <x:v>1</x:v>
      </x:c>
      <x:c r="D651" t="n">
        <x:v>3</x:v>
      </x:c>
      <x:c r="E651" t="str">
        <x:v>eol</x:v>
      </x:c>
      <x:c r="F651" s="45" t="n">
        <x:f>1*$B651</x:f>
        <x:v>4</x:v>
      </x:c>
      <x:c r="G651" s="45" t="n">
        <x:f>0</x:f>
        <x:v>0</x:v>
      </x:c>
      <x:c r="H651" s="45" t="n">
        <x:f>1*$D651</x:f>
        <x:v>3</x:v>
      </x:c>
      <x:c r="I651" s="45" t="n">
        <x:f>0</x:f>
        <x:v>0</x:v>
      </x:c>
      <x:c r="J651" s="45" t="n">
        <x:f>0</x:f>
        <x:v>0</x:v>
      </x:c>
      <x:c r="K651" s="45" t="n">
        <x:f>0</x:f>
        <x:v>0</x:v>
      </x:c>
      <x:c r="L651" s="45" t="n">
        <x:f>F651+I651</x:f>
        <x:v>4</x:v>
      </x:c>
      <x:c r="M651" s="45" t="n">
        <x:f>G651+J651</x:f>
        <x:v>0</x:v>
      </x:c>
      <x:c r="N651" s="45" t="n">
        <x:f>H651+K651</x:f>
        <x:v>3</x:v>
      </x:c>
      <x:c r="O651" s="45" t="n">
        <x:f>SUM(F651:H651)</x:f>
        <x:v>7</x:v>
      </x:c>
      <x:c r="P651" s="42" t="n">
        <x:f>IF(AND(F651&lt;=F699,F651&lt;=F683,F651&lt;=F667,G651&lt;=G655,G651&lt;=G643,G651&lt;=G647,H651&lt;=H653,H651&lt;=H650,H651&lt;=H652),1,0)</x:f>
        <x:v>0</x:v>
      </x:c>
      <x:c r="Q651" s="42" t="n">
        <x:f>IF(AND(L651&lt;=L699,L651&lt;=L683,L651&lt;=L667,M651&lt;=M655,M651&lt;=M643,M651&lt;=M647,N651&lt;=N653,N651&lt;=N650,N651&lt;=N652),1,0)</x:f>
        <x:v>1</x:v>
      </x:c>
      <x:c r="R651" s="42" t="n">
        <x:v>0</x:v>
      </x:c>
      <x:c r="S651" s="42" t="n">
        <x:v>1</x:v>
      </x:c>
    </x:row>
    <x:row r="652">
      <x:c r="A652" t="n">
        <x:v>11</x:v>
      </x:c>
      <x:c r="B652" t="n">
        <x:v>4</x:v>
      </x:c>
      <x:c r="C652" t="n">
        <x:v>1</x:v>
      </x:c>
      <x:c r="D652" t="n">
        <x:v>3</x:v>
      </x:c>
      <x:c r="E652" t="str">
        <x:v>eoo</x:v>
      </x:c>
      <x:c r="F652" s="45" t="n">
        <x:f>1*$B652</x:f>
        <x:v>4</x:v>
      </x:c>
      <x:c r="G652" s="45" t="n">
        <x:f>(1/2)*$C652+(1/2)*$D652</x:f>
        <x:v>2</x:v>
      </x:c>
      <x:c r="H652" s="45" t="n">
        <x:f>(1/2)*$C652+(1/2)*$D652</x:f>
        <x:v>2</x:v>
      </x:c>
      <x:c r="I652" s="45" t="n">
        <x:f>0</x:f>
        <x:v>0</x:v>
      </x:c>
      <x:c r="J652" s="45" t="n">
        <x:f>(1/2)*($C652+$D652)</x:f>
        <x:v>2</x:v>
      </x:c>
      <x:c r="K652" s="45" t="n">
        <x:f>(1/2)*($C652+$D652)</x:f>
        <x:v>2</x:v>
      </x:c>
      <x:c r="L652" s="45" t="n">
        <x:f>F652+I652</x:f>
        <x:v>4</x:v>
      </x:c>
      <x:c r="M652" s="45" t="n">
        <x:f>G652+J652</x:f>
        <x:v>4</x:v>
      </x:c>
      <x:c r="N652" s="45" t="n">
        <x:f>H652+K652</x:f>
        <x:v>4</x:v>
      </x:c>
      <x:c r="O652" s="45" t="n">
        <x:f>SUM(F652:H652)</x:f>
        <x:v>8</x:v>
      </x:c>
      <x:c r="P652" s="42" t="n">
        <x:f>IF(AND(F652&lt;=F700,F652&lt;=F684,F652&lt;=F668,G652&lt;=G656,G652&lt;=G644,G652&lt;=G648,H652&lt;=H653,H652&lt;=H650,H652&lt;=H651),1,0)</x:f>
        <x:v>1</x:v>
      </x:c>
      <x:c r="Q652" s="42" t="n">
        <x:f>IF(AND(L652&lt;=L700,L652&lt;=L684,L652&lt;=L668,M652&lt;=M656,M652&lt;=M644,M652&lt;=M648,N652&lt;=N653,N652&lt;=N650,N652&lt;=N651),1,0)</x:f>
        <x:v>0</x:v>
      </x:c>
      <x:c r="R652" s="42" t="n">
        <x:v>1</x:v>
      </x:c>
      <x:c r="S652" s="42" t="n">
        <x:v>0</x:v>
      </x:c>
    </x:row>
    <x:row r="653">
      <x:c r="A653" t="n">
        <x:v>11</x:v>
      </x:c>
      <x:c r="B653" t="n">
        <x:v>4</x:v>
      </x:c>
      <x:c r="C653" t="n">
        <x:v>1</x:v>
      </x:c>
      <x:c r="D653" t="n">
        <x:v>3</x:v>
      </x:c>
      <x:c r="E653" t="str">
        <x:v>eov</x:v>
      </x:c>
      <x:c r="F653" s="45" t="n">
        <x:f>1*$B653</x:f>
        <x:v>4</x:v>
      </x:c>
      <x:c r="G653" s="45" t="n">
        <x:f>0</x:f>
        <x:v>0</x:v>
      </x:c>
      <x:c r="H653" s="45" t="n">
        <x:f>2*$B653</x:f>
        <x:v>8</x:v>
      </x:c>
      <x:c r="I653" s="45" t="n">
        <x:f>0</x:f>
        <x:v>0</x:v>
      </x:c>
      <x:c r="J653" s="45" t="n">
        <x:f>0</x:f>
        <x:v>0</x:v>
      </x:c>
      <x:c r="K653" s="45" t="n">
        <x:f>0</x:f>
        <x:v>0</x:v>
      </x:c>
      <x:c r="L653" s="45" t="n">
        <x:f>F653+I653</x:f>
        <x:v>4</x:v>
      </x:c>
      <x:c r="M653" s="45" t="n">
        <x:f>G653+J653</x:f>
        <x:v>0</x:v>
      </x:c>
      <x:c r="N653" s="45" t="n">
        <x:f>H653+K653</x:f>
        <x:v>8</x:v>
      </x:c>
      <x:c r="O653" s="45" t="n">
        <x:f>SUM(F653:H653)</x:f>
        <x:v>12</x:v>
      </x:c>
      <x:c r="P653" s="42" t="n">
        <x:f>IF(AND(F653&lt;=F701,F653&lt;=F685,F653&lt;=F669,G653&lt;=G657,G653&lt;=G645,G653&lt;=G649,H653&lt;=H650,H653&lt;=H652,H653&lt;=H651),1,0)</x:f>
        <x:v>0</x:v>
      </x:c>
      <x:c r="Q653" s="42" t="n">
        <x:f>IF(AND(L653&lt;=L701,L653&lt;=L685,L653&lt;=L669,M653&lt;=M657,M653&lt;=M645,M653&lt;=M649,N653&lt;=N650,N653&lt;=N652,N653&lt;=N651),1,0)</x:f>
        <x:v>0</x:v>
      </x:c>
      <x:c r="R653" s="42" t="n">
        <x:v>0</x:v>
      </x:c>
      <x:c r="S653" s="42" t="n">
        <x:v>0</x:v>
      </x:c>
    </x:row>
    <x:row r="654">
      <x:c r="A654" t="n">
        <x:v>11</x:v>
      </x:c>
      <x:c r="B654" t="n">
        <x:v>4</x:v>
      </x:c>
      <x:c r="C654" t="n">
        <x:v>1</x:v>
      </x:c>
      <x:c r="D654" t="n">
        <x:v>3</x:v>
      </x:c>
      <x:c r="E654" t="str">
        <x:v>eve</x:v>
      </x:c>
      <x:c r="F654" s="45" t="n">
        <x:f>(1/2)*$B654+(1/2)*$C654</x:f>
        <x:v>2.5</x:v>
      </x:c>
      <x:c r="G654" s="45" t="n">
        <x:f>2*$B654</x:f>
        <x:v>8</x:v>
      </x:c>
      <x:c r="H654" s="45" t="n">
        <x:f>(1/2)*$B654+(1/2)*$C654</x:f>
        <x:v>2.5</x:v>
      </x:c>
      <x:c r="I654" s="45" t="n">
        <x:f>MAX((1/2)*($C654-$B654),0)</x:f>
        <x:v>0</x:v>
      </x:c>
      <x:c r="J654" s="45" t="n">
        <x:f>0</x:f>
        <x:v>0</x:v>
      </x:c>
      <x:c r="K654" s="45" t="n">
        <x:f>MAX((1/2)*($C654-$B654),0)</x:f>
        <x:v>0</x:v>
      </x:c>
      <x:c r="L654" s="45" t="n">
        <x:f>F654+I654</x:f>
        <x:v>2.5</x:v>
      </x:c>
      <x:c r="M654" s="45" t="n">
        <x:f>G654+J654</x:f>
        <x:v>8</x:v>
      </x:c>
      <x:c r="N654" s="45" t="n">
        <x:f>H654+K654</x:f>
        <x:v>2.5</x:v>
      </x:c>
      <x:c r="O654" s="45" t="n">
        <x:f>SUM(F654:H654)</x:f>
        <x:v>13</x:v>
      </x:c>
      <x:c r="P654" s="42" t="n">
        <x:f>IF(AND(F654&lt;=F702,F654&lt;=F686,F654&lt;=F670,G654&lt;=G642,G654&lt;=G650,G654&lt;=G646,H654&lt;=H657,H654&lt;=H656,H654&lt;=H655),1,0)</x:f>
        <x:v>0</x:v>
      </x:c>
      <x:c r="Q654" s="42" t="n">
        <x:f>IF(AND(L654&lt;=L702,L654&lt;=L686,L654&lt;=L670,M654&lt;=M642,M654&lt;=M650,M654&lt;=M646,N654&lt;=N657,N654&lt;=N656,N654&lt;=N655),1,0)</x:f>
        <x:v>0</x:v>
      </x:c>
      <x:c r="R654" s="42" t="n">
        <x:v>0</x:v>
      </x:c>
      <x:c r="S654" s="42" t="n">
        <x:v>0</x:v>
      </x:c>
    </x:row>
    <x:row r="655">
      <x:c r="A655" t="n">
        <x:v>11</x:v>
      </x:c>
      <x:c r="B655" t="n">
        <x:v>4</x:v>
      </x:c>
      <x:c r="C655" t="n">
        <x:v>1</x:v>
      </x:c>
      <x:c r="D655" t="n">
        <x:v>3</x:v>
      </x:c>
      <x:c r="E655" t="str">
        <x:v>evl</x:v>
      </x:c>
      <x:c r="F655" s="45" t="n">
        <x:f>1*$B655</x:f>
        <x:v>4</x:v>
      </x:c>
      <x:c r="G655" s="45" t="n">
        <x:f>2*$B655</x:f>
        <x:v>8</x:v>
      </x:c>
      <x:c r="H655" s="45" t="n">
        <x:f>1*$D655</x:f>
        <x:v>3</x:v>
      </x:c>
      <x:c r="I655" s="45" t="n">
        <x:f>0</x:f>
        <x:v>0</x:v>
      </x:c>
      <x:c r="J655" s="45" t="n">
        <x:f>0</x:f>
        <x:v>0</x:v>
      </x:c>
      <x:c r="K655" s="45" t="n">
        <x:f>0</x:f>
        <x:v>0</x:v>
      </x:c>
      <x:c r="L655" s="45" t="n">
        <x:f>F655+I655</x:f>
        <x:v>4</x:v>
      </x:c>
      <x:c r="M655" s="45" t="n">
        <x:f>G655+J655</x:f>
        <x:v>8</x:v>
      </x:c>
      <x:c r="N655" s="45" t="n">
        <x:f>H655+K655</x:f>
        <x:v>3</x:v>
      </x:c>
      <x:c r="O655" s="45" t="n">
        <x:f>SUM(F655:H655)</x:f>
        <x:v>15</x:v>
      </x:c>
      <x:c r="P655" s="42" t="n">
        <x:f>IF(AND(F655&lt;=F703,F655&lt;=F687,F655&lt;=F671,G655&lt;=G643,G655&lt;=G651,G655&lt;=G647,H655&lt;=H657,H655&lt;=H654,H655&lt;=H656),1,0)</x:f>
        <x:v>0</x:v>
      </x:c>
      <x:c r="Q655" s="42" t="n">
        <x:f>IF(AND(L655&lt;=L703,L655&lt;=L687,L655&lt;=L671,M655&lt;=M643,M655&lt;=M651,M655&lt;=M647,N655&lt;=N657,N655&lt;=N654,N655&lt;=N656),1,0)</x:f>
        <x:v>0</x:v>
      </x:c>
      <x:c r="R655" s="42" t="n">
        <x:v>0</x:v>
      </x:c>
      <x:c r="S655" s="42" t="n">
        <x:v>0</x:v>
      </x:c>
    </x:row>
    <x:row r="656">
      <x:c r="A656" t="n">
        <x:v>11</x:v>
      </x:c>
      <x:c r="B656" t="n">
        <x:v>4</x:v>
      </x:c>
      <x:c r="C656" t="n">
        <x:v>1</x:v>
      </x:c>
      <x:c r="D656" t="n">
        <x:v>3</x:v>
      </x:c>
      <x:c r="E656" t="str">
        <x:v>evo</x:v>
      </x:c>
      <x:c r="F656" s="45" t="n">
        <x:f>1*$B656</x:f>
        <x:v>4</x:v>
      </x:c>
      <x:c r="G656" s="45" t="n">
        <x:f>2*$B656</x:f>
        <x:v>8</x:v>
      </x:c>
      <x:c r="H656" s="45" t="n">
        <x:f>0</x:f>
        <x:v>0</x:v>
      </x:c>
      <x:c r="I656" s="45" t="n">
        <x:f>0</x:f>
        <x:v>0</x:v>
      </x:c>
      <x:c r="J656" s="45" t="n">
        <x:f>0</x:f>
        <x:v>0</x:v>
      </x:c>
      <x:c r="K656" s="45" t="n">
        <x:f>0</x:f>
        <x:v>0</x:v>
      </x:c>
      <x:c r="L656" s="45" t="n">
        <x:f>F656+I656</x:f>
        <x:v>4</x:v>
      </x:c>
      <x:c r="M656" s="45" t="n">
        <x:f>G656+J656</x:f>
        <x:v>8</x:v>
      </x:c>
      <x:c r="N656" s="45" t="n">
        <x:f>H656+K656</x:f>
        <x:v>0</x:v>
      </x:c>
      <x:c r="O656" s="45" t="n">
        <x:f>SUM(F656:H656)</x:f>
        <x:v>12</x:v>
      </x:c>
      <x:c r="P656" s="42" t="n">
        <x:f>IF(AND(F656&lt;=F704,F656&lt;=F688,F656&lt;=F672,G656&lt;=G644,G656&lt;=G652,G656&lt;=G648,H656&lt;=H657,H656&lt;=H654,H656&lt;=H655),1,0)</x:f>
        <x:v>0</x:v>
      </x:c>
      <x:c r="Q656" s="42" t="n">
        <x:f>IF(AND(L656&lt;=L704,L656&lt;=L688,L656&lt;=L672,M656&lt;=M644,M656&lt;=M652,M656&lt;=M648,N656&lt;=N657,N656&lt;=N654,N656&lt;=N655),1,0)</x:f>
        <x:v>0</x:v>
      </x:c>
      <x:c r="R656" s="42" t="n">
        <x:v>0</x:v>
      </x:c>
      <x:c r="S656" s="42" t="n">
        <x:v>0</x:v>
      </x:c>
    </x:row>
    <x:row r="657">
      <x:c r="A657" t="n">
        <x:v>11</x:v>
      </x:c>
      <x:c r="B657" t="n">
        <x:v>4</x:v>
      </x:c>
      <x:c r="C657" t="n">
        <x:v>1</x:v>
      </x:c>
      <x:c r="D657" t="n">
        <x:v>3</x:v>
      </x:c>
      <x:c r="E657" t="str">
        <x:v>evv</x:v>
      </x:c>
      <x:c r="F657" s="45" t="n">
        <x:f>1*$C657</x:f>
        <x:v>1</x:v>
      </x:c>
      <x:c r="G657" s="45" t="n">
        <x:f>(3/2)*$B657+(1/2)*$C657</x:f>
        <x:v>6.5</x:v>
      </x:c>
      <x:c r="H657" s="45" t="n">
        <x:f>(3/2)*$B657+(1/2)*$C657</x:f>
        <x:v>6.5</x:v>
      </x:c>
      <x:c r="I657" s="45" t="n">
        <x:f>0</x:f>
        <x:v>0</x:v>
      </x:c>
      <x:c r="J657" s="45" t="n">
        <x:f>MAX((3/2)*($C657-$B657),0)</x:f>
        <x:v>0</x:v>
      </x:c>
      <x:c r="K657" s="45" t="n">
        <x:f>MAX((3/2)*($C657-$B657),0)</x:f>
        <x:v>0</x:v>
      </x:c>
      <x:c r="L657" s="45" t="n">
        <x:f>F657+I657</x:f>
        <x:v>1</x:v>
      </x:c>
      <x:c r="M657" s="45" t="n">
        <x:f>G657+J657</x:f>
        <x:v>6.5</x:v>
      </x:c>
      <x:c r="N657" s="45" t="n">
        <x:f>H657+K657</x:f>
        <x:v>6.5</x:v>
      </x:c>
      <x:c r="O657" s="45" t="n">
        <x:f>SUM(F657:H657)</x:f>
        <x:v>14</x:v>
      </x:c>
      <x:c r="P657" s="42" t="n">
        <x:f>IF(AND(F657&lt;=F705,F657&lt;=F689,F657&lt;=F673,G657&lt;=G645,G657&lt;=G653,G657&lt;=G649,H657&lt;=H654,H657&lt;=H656,H657&lt;=H655),1,0)</x:f>
        <x:v>0</x:v>
      </x:c>
      <x:c r="Q657" s="42" t="n">
        <x:f>IF(AND(L657&lt;=L705,L657&lt;=L689,L657&lt;=L673,M657&lt;=M645,M657&lt;=M653,M657&lt;=M649,N657&lt;=N654,N657&lt;=N656,N657&lt;=N655),1,0)</x:f>
        <x:v>0</x:v>
      </x:c>
      <x:c r="R657" s="42" t="n">
        <x:v>0</x:v>
      </x:c>
      <x:c r="S657" s="42" t="n">
        <x:v>0</x:v>
      </x:c>
    </x:row>
    <x:row r="658">
      <x:c r="A658" t="n">
        <x:v>11</x:v>
      </x:c>
      <x:c r="B658" t="n">
        <x:v>4</x:v>
      </x:c>
      <x:c r="C658" t="n">
        <x:v>1</x:v>
      </x:c>
      <x:c r="D658" t="n">
        <x:v>3</x:v>
      </x:c>
      <x:c r="E658" t="str">
        <x:v>lee</x:v>
      </x:c>
      <x:c r="F658" s="45" t="n">
        <x:f>1*$D658</x:f>
        <x:v>3</x:v>
      </x:c>
      <x:c r="G658" s="45" t="n">
        <x:f>(1/2)*$B658+(1/2)*$C658</x:f>
        <x:v>2.5</x:v>
      </x:c>
      <x:c r="H658" s="45" t="n">
        <x:f>(1/2)*$B658+(1/2)*$C658</x:f>
        <x:v>2.5</x:v>
      </x:c>
      <x:c r="I658" s="45" t="n">
        <x:f>0</x:f>
        <x:v>0</x:v>
      </x:c>
      <x:c r="J658" s="45" t="n">
        <x:f>MAX((1/2)*($C658-$B658),0)</x:f>
        <x:v>0</x:v>
      </x:c>
      <x:c r="K658" s="45" t="n">
        <x:f>MAX((1/2)*($C658-$B658),0)</x:f>
        <x:v>0</x:v>
      </x:c>
      <x:c r="L658" s="45" t="n">
        <x:f>F658+I658</x:f>
        <x:v>3</x:v>
      </x:c>
      <x:c r="M658" s="45" t="n">
        <x:f>G658+J658</x:f>
        <x:v>2.5</x:v>
      </x:c>
      <x:c r="N658" s="45" t="n">
        <x:f>H658+K658</x:f>
        <x:v>2.5</x:v>
      </x:c>
      <x:c r="O658" s="45" t="n">
        <x:f>SUM(F658:H658)</x:f>
        <x:v>8</x:v>
      </x:c>
      <x:c r="P658" s="42" t="n">
        <x:f>IF(AND(F658&lt;=F690,F658&lt;=F642,F658&lt;=F674,G658&lt;=G670,G658&lt;=G666,G658&lt;=G662,H658&lt;=H661,H658&lt;=H660,H658&lt;=H659),1,0)</x:f>
        <x:v>0</x:v>
      </x:c>
      <x:c r="Q658" s="42" t="n">
        <x:f>IF(AND(L658&lt;=L690,L658&lt;=L642,L658&lt;=L674,M658&lt;=M670,M658&lt;=M666,M658&lt;=M662,N658&lt;=N661,N658&lt;=N660,N658&lt;=N659),1,0)</x:f>
        <x:v>0</x:v>
      </x:c>
      <x:c r="R658" s="42" t="n">
        <x:v>0</x:v>
      </x:c>
      <x:c r="S658" s="42" t="n">
        <x:v>0</x:v>
      </x:c>
    </x:row>
    <x:row r="659">
      <x:c r="A659" t="n">
        <x:v>11</x:v>
      </x:c>
      <x:c r="B659" t="n">
        <x:v>4</x:v>
      </x:c>
      <x:c r="C659" t="n">
        <x:v>1</x:v>
      </x:c>
      <x:c r="D659" t="n">
        <x:v>3</x:v>
      </x:c>
      <x:c r="E659" t="str">
        <x:v>lel</x:v>
      </x:c>
      <x:c r="F659" s="45" t="n">
        <x:f>(1/2)*$C659+(3/2)*$D659</x:f>
        <x:v>5</x:v>
      </x:c>
      <x:c r="G659" s="45" t="n">
        <x:f>1*$B659</x:f>
        <x:v>4</x:v>
      </x:c>
      <x:c r="H659" s="45" t="n">
        <x:f>(1/2)*$C659+(3/2)*$D659</x:f>
        <x:v>5</x:v>
      </x:c>
      <x:c r="I659" s="45" t="n">
        <x:f>(1/2)*($C659+$D659)</x:f>
        <x:v>2</x:v>
      </x:c>
      <x:c r="J659" s="45" t="n">
        <x:f>0</x:f>
        <x:v>0</x:v>
      </x:c>
      <x:c r="K659" s="45" t="n">
        <x:f>(1/2)*($C659+$D659)</x:f>
        <x:v>2</x:v>
      </x:c>
      <x:c r="L659" s="45" t="n">
        <x:f>F659+I659</x:f>
        <x:v>7</x:v>
      </x:c>
      <x:c r="M659" s="45" t="n">
        <x:f>G659+J659</x:f>
        <x:v>4</x:v>
      </x:c>
      <x:c r="N659" s="45" t="n">
        <x:f>H659+K659</x:f>
        <x:v>7</x:v>
      </x:c>
      <x:c r="O659" s="45" t="n">
        <x:f>SUM(F659:H659)</x:f>
        <x:v>14</x:v>
      </x:c>
      <x:c r="P659" s="42" t="n">
        <x:f>IF(AND(F659&lt;=F691,F659&lt;=F643,F659&lt;=F675,G659&lt;=G671,G659&lt;=G667,G659&lt;=G663,H659&lt;=H661,H659&lt;=H658,H659&lt;=H660),1,0)</x:f>
        <x:v>0</x:v>
      </x:c>
      <x:c r="Q659" s="42" t="n">
        <x:f>IF(AND(L659&lt;=L691,L659&lt;=L643,L659&lt;=L675,M659&lt;=M671,M659&lt;=M667,M659&lt;=M663,N659&lt;=N661,N659&lt;=N658,N659&lt;=N660),1,0)</x:f>
        <x:v>0</x:v>
      </x:c>
      <x:c r="R659" s="42" t="n">
        <x:v>0</x:v>
      </x:c>
      <x:c r="S659" s="42" t="n">
        <x:v>0</x:v>
      </x:c>
    </x:row>
    <x:row r="660">
      <x:c r="A660" t="n">
        <x:v>11</x:v>
      </x:c>
      <x:c r="B660" t="n">
        <x:v>4</x:v>
      </x:c>
      <x:c r="C660" t="n">
        <x:v>1</x:v>
      </x:c>
      <x:c r="D660" t="n">
        <x:v>3</x:v>
      </x:c>
      <x:c r="E660" t="str">
        <x:v>leo</x:v>
      </x:c>
      <x:c r="F660" s="45" t="n">
        <x:f>1*$D660</x:f>
        <x:v>3</x:v>
      </x:c>
      <x:c r="G660" s="45" t="n">
        <x:f>1*$B660</x:f>
        <x:v>4</x:v>
      </x:c>
      <x:c r="H660" s="45" t="n">
        <x:f>0</x:f>
        <x:v>0</x:v>
      </x:c>
      <x:c r="I660" s="45" t="n">
        <x:f>0</x:f>
        <x:v>0</x:v>
      </x:c>
      <x:c r="J660" s="45" t="n">
        <x:f>0</x:f>
        <x:v>0</x:v>
      </x:c>
      <x:c r="K660" s="45" t="n">
        <x:f>0</x:f>
        <x:v>0</x:v>
      </x:c>
      <x:c r="L660" s="45" t="n">
        <x:f>F660+I660</x:f>
        <x:v>3</x:v>
      </x:c>
      <x:c r="M660" s="45" t="n">
        <x:f>G660+J660</x:f>
        <x:v>4</x:v>
      </x:c>
      <x:c r="N660" s="45" t="n">
        <x:f>H660+K660</x:f>
        <x:v>0</x:v>
      </x:c>
      <x:c r="O660" s="45" t="n">
        <x:f>SUM(F660:H660)</x:f>
        <x:v>7</x:v>
      </x:c>
      <x:c r="P660" s="42" t="n">
        <x:f>IF(AND(F660&lt;=F692,F660&lt;=F644,F660&lt;=F676,G660&lt;=G672,G660&lt;=G668,G660&lt;=G664,H660&lt;=H661,H660&lt;=H658,H660&lt;=H659),1,0)</x:f>
        <x:v>0</x:v>
      </x:c>
      <x:c r="Q660" s="42" t="n">
        <x:f>IF(AND(L660&lt;=L692,L660&lt;=L644,L660&lt;=L676,M660&lt;=M672,M660&lt;=M668,M660&lt;=M664,N660&lt;=N661,N660&lt;=N658,N660&lt;=N659),1,0)</x:f>
        <x:v>1</x:v>
      </x:c>
      <x:c r="R660" s="42" t="n">
        <x:v>0</x:v>
      </x:c>
      <x:c r="S660" s="42" t="n">
        <x:v>1</x:v>
      </x:c>
    </x:row>
    <x:row r="661">
      <x:c r="A661" t="n">
        <x:v>11</x:v>
      </x:c>
      <x:c r="B661" t="n">
        <x:v>4</x:v>
      </x:c>
      <x:c r="C661" t="n">
        <x:v>1</x:v>
      </x:c>
      <x:c r="D661" t="n">
        <x:v>3</x:v>
      </x:c>
      <x:c r="E661" t="str">
        <x:v>lev</x:v>
      </x:c>
      <x:c r="F661" s="45" t="n">
        <x:f>1*$D661</x:f>
        <x:v>3</x:v>
      </x:c>
      <x:c r="G661" s="45" t="n">
        <x:f>1*$B661</x:f>
        <x:v>4</x:v>
      </x:c>
      <x:c r="H661" s="45" t="n">
        <x:f>2*$B661</x:f>
        <x:v>8</x:v>
      </x:c>
      <x:c r="I661" s="45" t="n">
        <x:f>0</x:f>
        <x:v>0</x:v>
      </x:c>
      <x:c r="J661" s="45" t="n">
        <x:f>0</x:f>
        <x:v>0</x:v>
      </x:c>
      <x:c r="K661" s="45" t="n">
        <x:f>0</x:f>
        <x:v>0</x:v>
      </x:c>
      <x:c r="L661" s="45" t="n">
        <x:f>F661+I661</x:f>
        <x:v>3</x:v>
      </x:c>
      <x:c r="M661" s="45" t="n">
        <x:f>G661+J661</x:f>
        <x:v>4</x:v>
      </x:c>
      <x:c r="N661" s="45" t="n">
        <x:f>H661+K661</x:f>
        <x:v>8</x:v>
      </x:c>
      <x:c r="O661" s="45" t="n">
        <x:f>SUM(F661:H661)</x:f>
        <x:v>15</x:v>
      </x:c>
      <x:c r="P661" s="42" t="n">
        <x:f>IF(AND(F661&lt;=F693,F661&lt;=F645,F661&lt;=F677,G661&lt;=G673,G661&lt;=G669,G661&lt;=G665,H661&lt;=H658,H661&lt;=H660,H661&lt;=H659),1,0)</x:f>
        <x:v>0</x:v>
      </x:c>
      <x:c r="Q661" s="42" t="n">
        <x:f>IF(AND(L661&lt;=L693,L661&lt;=L645,L661&lt;=L677,M661&lt;=M673,M661&lt;=M669,M661&lt;=M665,N661&lt;=N658,N661&lt;=N660,N661&lt;=N659),1,0)</x:f>
        <x:v>0</x:v>
      </x:c>
      <x:c r="R661" s="42" t="n">
        <x:v>0</x:v>
      </x:c>
      <x:c r="S661" s="42" t="n">
        <x:v>0</x:v>
      </x:c>
    </x:row>
    <x:row r="662">
      <x:c r="A662" t="n">
        <x:v>11</x:v>
      </x:c>
      <x:c r="B662" t="n">
        <x:v>4</x:v>
      </x:c>
      <x:c r="C662" t="n">
        <x:v>1</x:v>
      </x:c>
      <x:c r="D662" t="n">
        <x:v>3</x:v>
      </x:c>
      <x:c r="E662" t="str">
        <x:v>lle</x:v>
      </x:c>
      <x:c r="F662" s="45" t="n">
        <x:f>(1/2)*$C662+(3/2)*$D662</x:f>
        <x:v>5</x:v>
      </x:c>
      <x:c r="G662" s="45" t="n">
        <x:f>(1/2)*$C662+(3/2)*$D662</x:f>
        <x:v>5</x:v>
      </x:c>
      <x:c r="H662" s="45" t="n">
        <x:f>1*$B662</x:f>
        <x:v>4</x:v>
      </x:c>
      <x:c r="I662" s="45" t="n">
        <x:f>(1/2)*($C662+$D662)</x:f>
        <x:v>2</x:v>
      </x:c>
      <x:c r="J662" s="45" t="n">
        <x:f>(1/2)*($C662+$D662)</x:f>
        <x:v>2</x:v>
      </x:c>
      <x:c r="K662" s="45" t="n">
        <x:f>0</x:f>
        <x:v>0</x:v>
      </x:c>
      <x:c r="L662" s="45" t="n">
        <x:f>F662+I662</x:f>
        <x:v>7</x:v>
      </x:c>
      <x:c r="M662" s="45" t="n">
        <x:f>G662+J662</x:f>
        <x:v>7</x:v>
      </x:c>
      <x:c r="N662" s="45" t="n">
        <x:f>H662+K662</x:f>
        <x:v>4</x:v>
      </x:c>
      <x:c r="O662" s="45" t="n">
        <x:f>SUM(F662:H662)</x:f>
        <x:v>14</x:v>
      </x:c>
      <x:c r="P662" s="42" t="n">
        <x:f>IF(AND(F662&lt;=F694,F662&lt;=F646,F662&lt;=F678,G662&lt;=G670,G662&lt;=G658,G662&lt;=G666,H662&lt;=H665,H662&lt;=H664,H662&lt;=H663),1,0)</x:f>
        <x:v>0</x:v>
      </x:c>
      <x:c r="Q662" s="42" t="n">
        <x:f>IF(AND(L662&lt;=L694,L662&lt;=L646,L662&lt;=L678,M662&lt;=M670,M662&lt;=M658,M662&lt;=M666,N662&lt;=N665,N662&lt;=N664,N662&lt;=N663),1,0)</x:f>
        <x:v>0</x:v>
      </x:c>
      <x:c r="R662" s="42" t="n">
        <x:v>0</x:v>
      </x:c>
      <x:c r="S662" s="42" t="n">
        <x:v>0</x:v>
      </x:c>
    </x:row>
    <x:row r="663">
      <x:c r="A663" t="n">
        <x:v>11</x:v>
      </x:c>
      <x:c r="B663" t="n">
        <x:v>4</x:v>
      </x:c>
      <x:c r="C663" t="n">
        <x:v>1</x:v>
      </x:c>
      <x:c r="D663" t="n">
        <x:v>3</x:v>
      </x:c>
      <x:c r="E663" t="str">
        <x:v>lll</x:v>
      </x:c>
      <x:c r="F663" s="45" t="n">
        <x:f>1*$C663+2*$D663</x:f>
        <x:v>7</x:v>
      </x:c>
      <x:c r="G663" s="45" t="n">
        <x:f>1*$C663+2*$D663</x:f>
        <x:v>7</x:v>
      </x:c>
      <x:c r="H663" s="45" t="n">
        <x:f>1*$C663+2*$D663</x:f>
        <x:v>7</x:v>
      </x:c>
      <x:c r="I663" s="45" t="n">
        <x:f>$C663+$D663</x:f>
        <x:v>4</x:v>
      </x:c>
      <x:c r="J663" s="45" t="n">
        <x:f>$C663+$D663</x:f>
        <x:v>4</x:v>
      </x:c>
      <x:c r="K663" s="45" t="n">
        <x:f>$C663+$D663</x:f>
        <x:v>4</x:v>
      </x:c>
      <x:c r="L663" s="45" t="n">
        <x:f>F663+I663</x:f>
        <x:v>11</x:v>
      </x:c>
      <x:c r="M663" s="45" t="n">
        <x:f>G663+J663</x:f>
        <x:v>11</x:v>
      </x:c>
      <x:c r="N663" s="45" t="n">
        <x:f>H663+K663</x:f>
        <x:v>11</x:v>
      </x:c>
      <x:c r="O663" s="45" t="n">
        <x:f>SUM(F663:H663)</x:f>
        <x:v>21</x:v>
      </x:c>
      <x:c r="P663" s="42" t="n">
        <x:f>IF(AND(F663&lt;=F695,F663&lt;=F647,F663&lt;=F679,G663&lt;=G671,G663&lt;=G659,G663&lt;=G667,H663&lt;=H665,H663&lt;=H662,H663&lt;=H664),1,0)</x:f>
        <x:v>0</x:v>
      </x:c>
      <x:c r="Q663" s="42" t="n">
        <x:f>IF(AND(L663&lt;=L695,L663&lt;=L647,L663&lt;=L679,M663&lt;=M671,M663&lt;=M659,M663&lt;=M667,N663&lt;=N665,N663&lt;=N662,N663&lt;=N664),1,0)</x:f>
        <x:v>0</x:v>
      </x:c>
      <x:c r="R663" s="42" t="n">
        <x:v>0</x:v>
      </x:c>
      <x:c r="S663" s="42" t="n">
        <x:v>0</x:v>
      </x:c>
    </x:row>
    <x:row r="664">
      <x:c r="A664" t="n">
        <x:v>11</x:v>
      </x:c>
      <x:c r="B664" t="n">
        <x:v>4</x:v>
      </x:c>
      <x:c r="C664" t="n">
        <x:v>1</x:v>
      </x:c>
      <x:c r="D664" t="n">
        <x:v>3</x:v>
      </x:c>
      <x:c r="E664" t="str">
        <x:v>llo</x:v>
      </x:c>
      <x:c r="F664" s="45" t="n">
        <x:f>(1/2)*$C664+(3/2)*$D664</x:f>
        <x:v>5</x:v>
      </x:c>
      <x:c r="G664" s="45" t="n">
        <x:f>(1/2)*$C664+(3/2)*$D664</x:f>
        <x:v>5</x:v>
      </x:c>
      <x:c r="H664" s="45" t="n">
        <x:f>0</x:f>
        <x:v>0</x:v>
      </x:c>
      <x:c r="I664" s="45" t="n">
        <x:f>(1/2)*($C664+$D664)</x:f>
        <x:v>2</x:v>
      </x:c>
      <x:c r="J664" s="45" t="n">
        <x:f>(1/2)*($C664+$D664)</x:f>
        <x:v>2</x:v>
      </x:c>
      <x:c r="K664" s="45" t="n">
        <x:f>0</x:f>
        <x:v>0</x:v>
      </x:c>
      <x:c r="L664" s="45" t="n">
        <x:f>F664+I664</x:f>
        <x:v>7</x:v>
      </x:c>
      <x:c r="M664" s="45" t="n">
        <x:f>G664+J664</x:f>
        <x:v>7</x:v>
      </x:c>
      <x:c r="N664" s="45" t="n">
        <x:f>H664+K664</x:f>
        <x:v>0</x:v>
      </x:c>
      <x:c r="O664" s="45" t="n">
        <x:f>SUM(F664:H664)</x:f>
        <x:v>10</x:v>
      </x:c>
      <x:c r="P664" s="42" t="n">
        <x:f>IF(AND(F664&lt;=F696,F664&lt;=F648,F664&lt;=F680,G664&lt;=G672,G664&lt;=G660,G664&lt;=G668,H664&lt;=H665,H664&lt;=H662,H664&lt;=H663),1,0)</x:f>
        <x:v>0</x:v>
      </x:c>
      <x:c r="Q664" s="42" t="n">
        <x:f>IF(AND(L664&lt;=L696,L664&lt;=L648,L664&lt;=L680,M664&lt;=M672,M664&lt;=M660,M664&lt;=M668,N664&lt;=N665,N664&lt;=N662,N664&lt;=N663),1,0)</x:f>
        <x:v>0</x:v>
      </x:c>
      <x:c r="R664" s="42" t="n">
        <x:v>0</x:v>
      </x:c>
      <x:c r="S664" s="42" t="n">
        <x:v>0</x:v>
      </x:c>
    </x:row>
    <x:row r="665">
      <x:c r="A665" t="n">
        <x:v>11</x:v>
      </x:c>
      <x:c r="B665" t="n">
        <x:v>4</x:v>
      </x:c>
      <x:c r="C665" t="n">
        <x:v>1</x:v>
      </x:c>
      <x:c r="D665" t="n">
        <x:v>3</x:v>
      </x:c>
      <x:c r="E665" t="str">
        <x:v>llv</x:v>
      </x:c>
      <x:c r="F665" s="45" t="n">
        <x:f>(1/2)*$C665+(3/2)*$D665</x:f>
        <x:v>5</x:v>
      </x:c>
      <x:c r="G665" s="45" t="n">
        <x:f>(1/2)*$C665+(3/2)*$D665</x:f>
        <x:v>5</x:v>
      </x:c>
      <x:c r="H665" s="45" t="n">
        <x:f>2*$B665</x:f>
        <x:v>8</x:v>
      </x:c>
      <x:c r="I665" s="45" t="n">
        <x:f>(1/2)*($C665+$D665)</x:f>
        <x:v>2</x:v>
      </x:c>
      <x:c r="J665" s="45" t="n">
        <x:f>(1/2)*($C665+$D665)</x:f>
        <x:v>2</x:v>
      </x:c>
      <x:c r="K665" s="45" t="n">
        <x:f>0</x:f>
        <x:v>0</x:v>
      </x:c>
      <x:c r="L665" s="45" t="n">
        <x:f>F665+I665</x:f>
        <x:v>7</x:v>
      </x:c>
      <x:c r="M665" s="45" t="n">
        <x:f>G665+J665</x:f>
        <x:v>7</x:v>
      </x:c>
      <x:c r="N665" s="45" t="n">
        <x:f>H665+K665</x:f>
        <x:v>8</x:v>
      </x:c>
      <x:c r="O665" s="45" t="n">
        <x:f>SUM(F665:H665)</x:f>
        <x:v>18</x:v>
      </x:c>
      <x:c r="P665" s="42" t="n">
        <x:f>IF(AND(F665&lt;=F697,F665&lt;=F649,F665&lt;=F681,G665&lt;=G673,G665&lt;=G661,G665&lt;=G669,H665&lt;=H662,H665&lt;=H664,H665&lt;=H663),1,0)</x:f>
        <x:v>0</x:v>
      </x:c>
      <x:c r="Q665" s="42" t="n">
        <x:f>IF(AND(L665&lt;=L697,L665&lt;=L649,L665&lt;=L681,M665&lt;=M673,M665&lt;=M661,M665&lt;=M669,N665&lt;=N662,N665&lt;=N664,N665&lt;=N663),1,0)</x:f>
        <x:v>0</x:v>
      </x:c>
      <x:c r="R665" s="42" t="n">
        <x:v>0</x:v>
      </x:c>
      <x:c r="S665" s="42" t="n">
        <x:v>0</x:v>
      </x:c>
    </x:row>
    <x:row r="666">
      <x:c r="A666" t="n">
        <x:v>11</x:v>
      </x:c>
      <x:c r="B666" t="n">
        <x:v>4</x:v>
      </x:c>
      <x:c r="C666" t="n">
        <x:v>1</x:v>
      </x:c>
      <x:c r="D666" t="n">
        <x:v>3</x:v>
      </x:c>
      <x:c r="E666" t="str">
        <x:v>loe</x:v>
      </x:c>
      <x:c r="F666" s="45" t="n">
        <x:f>1*$D666</x:f>
        <x:v>3</x:v>
      </x:c>
      <x:c r="G666" s="45" t="n">
        <x:f>0</x:f>
        <x:v>0</x:v>
      </x:c>
      <x:c r="H666" s="45" t="n">
        <x:f>1*$B666</x:f>
        <x:v>4</x:v>
      </x:c>
      <x:c r="I666" s="45" t="n">
        <x:f>0</x:f>
        <x:v>0</x:v>
      </x:c>
      <x:c r="J666" s="45" t="n">
        <x:f>0</x:f>
        <x:v>0</x:v>
      </x:c>
      <x:c r="K666" s="45" t="n">
        <x:f>0</x:f>
        <x:v>0</x:v>
      </x:c>
      <x:c r="L666" s="45" t="n">
        <x:f>F666+I666</x:f>
        <x:v>3</x:v>
      </x:c>
      <x:c r="M666" s="45" t="n">
        <x:f>G666+J666</x:f>
        <x:v>0</x:v>
      </x:c>
      <x:c r="N666" s="45" t="n">
        <x:f>H666+K666</x:f>
        <x:v>4</x:v>
      </x:c>
      <x:c r="O666" s="45" t="n">
        <x:f>SUM(F666:H666)</x:f>
        <x:v>7</x:v>
      </x:c>
      <x:c r="P666" s="42" t="n">
        <x:f>IF(AND(F666&lt;=F698,F666&lt;=F650,F666&lt;=F682,G666&lt;=G670,G666&lt;=G658,G666&lt;=G662,H666&lt;=H669,H666&lt;=H668,H666&lt;=H667),1,0)</x:f>
        <x:v>0</x:v>
      </x:c>
      <x:c r="Q666" s="42" t="n">
        <x:f>IF(AND(L666&lt;=L698,L666&lt;=L650,L666&lt;=L682,M666&lt;=M670,M666&lt;=M658,M666&lt;=M662,N666&lt;=N669,N666&lt;=N668,N666&lt;=N667),1,0)</x:f>
        <x:v>1</x:v>
      </x:c>
      <x:c r="R666" s="42" t="n">
        <x:v>0</x:v>
      </x:c>
      <x:c r="S666" s="42" t="n">
        <x:v>1</x:v>
      </x:c>
    </x:row>
    <x:row r="667">
      <x:c r="A667" t="n">
        <x:v>11</x:v>
      </x:c>
      <x:c r="B667" t="n">
        <x:v>4</x:v>
      </x:c>
      <x:c r="C667" t="n">
        <x:v>1</x:v>
      </x:c>
      <x:c r="D667" t="n">
        <x:v>3</x:v>
      </x:c>
      <x:c r="E667" t="str">
        <x:v>lol</x:v>
      </x:c>
      <x:c r="F667" s="45" t="n">
        <x:f>(1/2)*$C667+(3/2)*$D667</x:f>
        <x:v>5</x:v>
      </x:c>
      <x:c r="G667" s="45" t="n">
        <x:f>0</x:f>
        <x:v>0</x:v>
      </x:c>
      <x:c r="H667" s="45" t="n">
        <x:f>(1/2)*$C667+(3/2)*$D667</x:f>
        <x:v>5</x:v>
      </x:c>
      <x:c r="I667" s="45" t="n">
        <x:f>(1/2)*($C667+$D667)</x:f>
        <x:v>2</x:v>
      </x:c>
      <x:c r="J667" s="45" t="n">
        <x:f>0</x:f>
        <x:v>0</x:v>
      </x:c>
      <x:c r="K667" s="45" t="n">
        <x:f>(1/2)*($C667+$D667)</x:f>
        <x:v>2</x:v>
      </x:c>
      <x:c r="L667" s="45" t="n">
        <x:f>F667+I667</x:f>
        <x:v>7</x:v>
      </x:c>
      <x:c r="M667" s="45" t="n">
        <x:f>G667+J667</x:f>
        <x:v>0</x:v>
      </x:c>
      <x:c r="N667" s="45" t="n">
        <x:f>H667+K667</x:f>
        <x:v>7</x:v>
      </x:c>
      <x:c r="O667" s="45" t="n">
        <x:f>SUM(F667:H667)</x:f>
        <x:v>10</x:v>
      </x:c>
      <x:c r="P667" s="42" t="n">
        <x:f>IF(AND(F667&lt;=F699,F667&lt;=F651,F667&lt;=F683,G667&lt;=G671,G667&lt;=G659,G667&lt;=G663,H667&lt;=H669,H667&lt;=H666,H667&lt;=H668),1,0)</x:f>
        <x:v>0</x:v>
      </x:c>
      <x:c r="Q667" s="42" t="n">
        <x:f>IF(AND(L667&lt;=L699,L667&lt;=L651,L667&lt;=L683,M667&lt;=M671,M667&lt;=M659,M667&lt;=M663,N667&lt;=N669,N667&lt;=N666,N667&lt;=N668),1,0)</x:f>
        <x:v>0</x:v>
      </x:c>
      <x:c r="R667" s="42" t="n">
        <x:v>0</x:v>
      </x:c>
      <x:c r="S667" s="42" t="n">
        <x:v>0</x:v>
      </x:c>
    </x:row>
    <x:row r="668">
      <x:c r="A668" t="n">
        <x:v>11</x:v>
      </x:c>
      <x:c r="B668" t="n">
        <x:v>4</x:v>
      </x:c>
      <x:c r="C668" t="n">
        <x:v>1</x:v>
      </x:c>
      <x:c r="D668" t="n">
        <x:v>3</x:v>
      </x:c>
      <x:c r="E668" t="str">
        <x:v>loo</x:v>
      </x:c>
      <x:c r="F668" s="45" t="n">
        <x:f>1*$C668+2*$D668</x:f>
        <x:v>7</x:v>
      </x:c>
      <x:c r="G668" s="45" t="n">
        <x:f>(1/2)*$C668+(1/2)*$D668</x:f>
        <x:v>2</x:v>
      </x:c>
      <x:c r="H668" s="45" t="n">
        <x:f>(1/2)*$C668+(1/2)*$D668</x:f>
        <x:v>2</x:v>
      </x:c>
      <x:c r="I668" s="45" t="n">
        <x:f>0</x:f>
        <x:v>0</x:v>
      </x:c>
      <x:c r="J668" s="45" t="n">
        <x:f>(3/2)*($C668+$D668)</x:f>
        <x:v>6</x:v>
      </x:c>
      <x:c r="K668" s="45" t="n">
        <x:f>(3/2)*($C668+$D668)</x:f>
        <x:v>6</x:v>
      </x:c>
      <x:c r="L668" s="45" t="n">
        <x:f>F668+I668</x:f>
        <x:v>7</x:v>
      </x:c>
      <x:c r="M668" s="45" t="n">
        <x:f>G668+J668</x:f>
        <x:v>8</x:v>
      </x:c>
      <x:c r="N668" s="45" t="n">
        <x:f>H668+K668</x:f>
        <x:v>8</x:v>
      </x:c>
      <x:c r="O668" s="45" t="n">
        <x:f>SUM(F668:H668)</x:f>
        <x:v>11</x:v>
      </x:c>
      <x:c r="P668" s="42" t="n">
        <x:f>IF(AND(F668&lt;=F700,F668&lt;=F652,F668&lt;=F684,G668&lt;=G672,G668&lt;=G660,G668&lt;=G664,H668&lt;=H669,H668&lt;=H666,H668&lt;=H667),1,0)</x:f>
        <x:v>0</x:v>
      </x:c>
      <x:c r="Q668" s="42" t="n">
        <x:f>IF(AND(L668&lt;=L700,L668&lt;=L652,L668&lt;=L684,M668&lt;=M672,M668&lt;=M660,M668&lt;=M664,N668&lt;=N669,N668&lt;=N666,N668&lt;=N667),1,0)</x:f>
        <x:v>0</x:v>
      </x:c>
      <x:c r="R668" s="42" t="n">
        <x:v>0</x:v>
      </x:c>
      <x:c r="S668" s="42" t="n">
        <x:v>0</x:v>
      </x:c>
    </x:row>
    <x:row r="669">
      <x:c r="A669" t="n">
        <x:v>11</x:v>
      </x:c>
      <x:c r="B669" t="n">
        <x:v>4</x:v>
      </x:c>
      <x:c r="C669" t="n">
        <x:v>1</x:v>
      </x:c>
      <x:c r="D669" t="n">
        <x:v>3</x:v>
      </x:c>
      <x:c r="E669" t="str">
        <x:v>lov</x:v>
      </x:c>
      <x:c r="F669" s="45" t="n">
        <x:f>1*$D669</x:f>
        <x:v>3</x:v>
      </x:c>
      <x:c r="G669" s="45" t="n">
        <x:f>0</x:f>
        <x:v>0</x:v>
      </x:c>
      <x:c r="H669" s="45" t="n">
        <x:f>2*$B669</x:f>
        <x:v>8</x:v>
      </x:c>
      <x:c r="I669" s="45" t="n">
        <x:f>0</x:f>
        <x:v>0</x:v>
      </x:c>
      <x:c r="J669" s="45" t="n">
        <x:f>0</x:f>
        <x:v>0</x:v>
      </x:c>
      <x:c r="K669" s="45" t="n">
        <x:f>0</x:f>
        <x:v>0</x:v>
      </x:c>
      <x:c r="L669" s="45" t="n">
        <x:f>F669+I669</x:f>
        <x:v>3</x:v>
      </x:c>
      <x:c r="M669" s="45" t="n">
        <x:f>G669+J669</x:f>
        <x:v>0</x:v>
      </x:c>
      <x:c r="N669" s="45" t="n">
        <x:f>H669+K669</x:f>
        <x:v>8</x:v>
      </x:c>
      <x:c r="O669" s="45" t="n">
        <x:f>SUM(F669:H669)</x:f>
        <x:v>11</x:v>
      </x:c>
      <x:c r="P669" s="42" t="n">
        <x:f>IF(AND(F669&lt;=F701,F669&lt;=F653,F669&lt;=F685,G669&lt;=G673,G669&lt;=G661,G669&lt;=G665,H669&lt;=H666,H669&lt;=H668,H669&lt;=H667),1,0)</x:f>
        <x:v>0</x:v>
      </x:c>
      <x:c r="Q669" s="42" t="n">
        <x:f>IF(AND(L669&lt;=L701,L669&lt;=L653,L669&lt;=L685,M669&lt;=M673,M669&lt;=M661,M669&lt;=M665,N669&lt;=N666,N669&lt;=N668,N669&lt;=N667),1,0)</x:f>
        <x:v>0</x:v>
      </x:c>
      <x:c r="R669" s="42" t="n">
        <x:v>0</x:v>
      </x:c>
      <x:c r="S669" s="42" t="n">
        <x:v>0</x:v>
      </x:c>
    </x:row>
    <x:row r="670">
      <x:c r="A670" t="n">
        <x:v>11</x:v>
      </x:c>
      <x:c r="B670" t="n">
        <x:v>4</x:v>
      </x:c>
      <x:c r="C670" t="n">
        <x:v>1</x:v>
      </x:c>
      <x:c r="D670" t="n">
        <x:v>3</x:v>
      </x:c>
      <x:c r="E670" t="str">
        <x:v>lve</x:v>
      </x:c>
      <x:c r="F670" s="45" t="n">
        <x:f>1*$D670</x:f>
        <x:v>3</x:v>
      </x:c>
      <x:c r="G670" s="45" t="n">
        <x:f>2*$B670</x:f>
        <x:v>8</x:v>
      </x:c>
      <x:c r="H670" s="45" t="n">
        <x:f>1*$B670</x:f>
        <x:v>4</x:v>
      </x:c>
      <x:c r="I670" s="45" t="n">
        <x:f>0</x:f>
        <x:v>0</x:v>
      </x:c>
      <x:c r="J670" s="45" t="n">
        <x:f>0</x:f>
        <x:v>0</x:v>
      </x:c>
      <x:c r="K670" s="45" t="n">
        <x:f>0</x:f>
        <x:v>0</x:v>
      </x:c>
      <x:c r="L670" s="45" t="n">
        <x:f>F670+I670</x:f>
        <x:v>3</x:v>
      </x:c>
      <x:c r="M670" s="45" t="n">
        <x:f>G670+J670</x:f>
        <x:v>8</x:v>
      </x:c>
      <x:c r="N670" s="45" t="n">
        <x:f>H670+K670</x:f>
        <x:v>4</x:v>
      </x:c>
      <x:c r="O670" s="45" t="n">
        <x:f>SUM(F670:H670)</x:f>
        <x:v>15</x:v>
      </x:c>
      <x:c r="P670" s="42" t="n">
        <x:f>IF(AND(F670&lt;=F702,F670&lt;=F654,F670&lt;=F686,G670&lt;=G658,G670&lt;=G666,G670&lt;=G662,H670&lt;=H673,H670&lt;=H672,H670&lt;=H671),1,0)</x:f>
        <x:v>0</x:v>
      </x:c>
      <x:c r="Q670" s="42" t="n">
        <x:f>IF(AND(L670&lt;=L702,L670&lt;=L654,L670&lt;=L686,M670&lt;=M658,M670&lt;=M666,M670&lt;=M662,N670&lt;=N673,N670&lt;=N672,N670&lt;=N671),1,0)</x:f>
        <x:v>0</x:v>
      </x:c>
      <x:c r="R670" s="42" t="n">
        <x:v>0</x:v>
      </x:c>
      <x:c r="S670" s="42" t="n">
        <x:v>0</x:v>
      </x:c>
    </x:row>
    <x:row r="671">
      <x:c r="A671" t="n">
        <x:v>11</x:v>
      </x:c>
      <x:c r="B671" t="n">
        <x:v>4</x:v>
      </x:c>
      <x:c r="C671" t="n">
        <x:v>1</x:v>
      </x:c>
      <x:c r="D671" t="n">
        <x:v>3</x:v>
      </x:c>
      <x:c r="E671" t="str">
        <x:v>lvl</x:v>
      </x:c>
      <x:c r="F671" s="45" t="n">
        <x:f>(1/2)*$C671+(3/2)*$D671</x:f>
        <x:v>5</x:v>
      </x:c>
      <x:c r="G671" s="45" t="n">
        <x:f>2*$B671</x:f>
        <x:v>8</x:v>
      </x:c>
      <x:c r="H671" s="45" t="n">
        <x:f>(1/2)*$C671+(3/2)*$D671</x:f>
        <x:v>5</x:v>
      </x:c>
      <x:c r="I671" s="45" t="n">
        <x:f>(1/2)*($C671+$D671)</x:f>
        <x:v>2</x:v>
      </x:c>
      <x:c r="J671" s="45" t="n">
        <x:f>0</x:f>
        <x:v>0</x:v>
      </x:c>
      <x:c r="K671" s="45" t="n">
        <x:f>(1/2)*($C671+$D671)</x:f>
        <x:v>2</x:v>
      </x:c>
      <x:c r="L671" s="45" t="n">
        <x:f>F671+I671</x:f>
        <x:v>7</x:v>
      </x:c>
      <x:c r="M671" s="45" t="n">
        <x:f>G671+J671</x:f>
        <x:v>8</x:v>
      </x:c>
      <x:c r="N671" s="45" t="n">
        <x:f>H671+K671</x:f>
        <x:v>7</x:v>
      </x:c>
      <x:c r="O671" s="45" t="n">
        <x:f>SUM(F671:H671)</x:f>
        <x:v>18</x:v>
      </x:c>
      <x:c r="P671" s="42" t="n">
        <x:f>IF(AND(F671&lt;=F703,F671&lt;=F655,F671&lt;=F687,G671&lt;=G659,G671&lt;=G667,G671&lt;=G663,H671&lt;=H673,H671&lt;=H670,H671&lt;=H672),1,0)</x:f>
        <x:v>0</x:v>
      </x:c>
      <x:c r="Q671" s="42" t="n">
        <x:f>IF(AND(L671&lt;=L703,L671&lt;=L655,L671&lt;=L687,M671&lt;=M659,M671&lt;=M667,M671&lt;=M663,N671&lt;=N673,N671&lt;=N670,N671&lt;=N672),1,0)</x:f>
        <x:v>0</x:v>
      </x:c>
      <x:c r="R671" s="42" t="n">
        <x:v>0</x:v>
      </x:c>
      <x:c r="S671" s="42" t="n">
        <x:v>0</x:v>
      </x:c>
    </x:row>
    <x:row r="672">
      <x:c r="A672" t="n">
        <x:v>11</x:v>
      </x:c>
      <x:c r="B672" t="n">
        <x:v>4</x:v>
      </x:c>
      <x:c r="C672" t="n">
        <x:v>1</x:v>
      </x:c>
      <x:c r="D672" t="n">
        <x:v>3</x:v>
      </x:c>
      <x:c r="E672" t="str">
        <x:v>lvo</x:v>
      </x:c>
      <x:c r="F672" s="45" t="n">
        <x:f>1*$D672</x:f>
        <x:v>3</x:v>
      </x:c>
      <x:c r="G672" s="45" t="n">
        <x:f>2*$B672</x:f>
        <x:v>8</x:v>
      </x:c>
      <x:c r="H672" s="45" t="n">
        <x:f>0</x:f>
        <x:v>0</x:v>
      </x:c>
      <x:c r="I672" s="45" t="n">
        <x:f>0</x:f>
        <x:v>0</x:v>
      </x:c>
      <x:c r="J672" s="45" t="n">
        <x:f>0</x:f>
        <x:v>0</x:v>
      </x:c>
      <x:c r="K672" s="45" t="n">
        <x:f>0</x:f>
        <x:v>0</x:v>
      </x:c>
      <x:c r="L672" s="45" t="n">
        <x:f>F672+I672</x:f>
        <x:v>3</x:v>
      </x:c>
      <x:c r="M672" s="45" t="n">
        <x:f>G672+J672</x:f>
        <x:v>8</x:v>
      </x:c>
      <x:c r="N672" s="45" t="n">
        <x:f>H672+K672</x:f>
        <x:v>0</x:v>
      </x:c>
      <x:c r="O672" s="45" t="n">
        <x:f>SUM(F672:H672)</x:f>
        <x:v>11</x:v>
      </x:c>
      <x:c r="P672" s="42" t="n">
        <x:f>IF(AND(F672&lt;=F704,F672&lt;=F656,F672&lt;=F688,G672&lt;=G660,G672&lt;=G668,G672&lt;=G664,H672&lt;=H673,H672&lt;=H670,H672&lt;=H671),1,0)</x:f>
        <x:v>0</x:v>
      </x:c>
      <x:c r="Q672" s="42" t="n">
        <x:f>IF(AND(L672&lt;=L704,L672&lt;=L656,L672&lt;=L688,M672&lt;=M660,M672&lt;=M668,M672&lt;=M664,N672&lt;=N673,N672&lt;=N670,N672&lt;=N671),1,0)</x:f>
        <x:v>0</x:v>
      </x:c>
      <x:c r="R672" s="42" t="n">
        <x:v>0</x:v>
      </x:c>
      <x:c r="S672" s="42" t="n">
        <x:v>0</x:v>
      </x:c>
    </x:row>
    <x:row r="673">
      <x:c r="A673" t="n">
        <x:v>11</x:v>
      </x:c>
      <x:c r="B673" t="n">
        <x:v>4</x:v>
      </x:c>
      <x:c r="C673" t="n">
        <x:v>1</x:v>
      </x:c>
      <x:c r="D673" t="n">
        <x:v>3</x:v>
      </x:c>
      <x:c r="E673" t="str">
        <x:v>lvv</x:v>
      </x:c>
      <x:c r="F673" s="45" t="n">
        <x:f>1*$D673</x:f>
        <x:v>3</x:v>
      </x:c>
      <x:c r="G673" s="45" t="n">
        <x:f>(3/2)*$B673+(1/2)*$C673</x:f>
        <x:v>6.5</x:v>
      </x:c>
      <x:c r="H673" s="45" t="n">
        <x:f>(3/2)*$B673+(1/2)*$C673</x:f>
        <x:v>6.5</x:v>
      </x:c>
      <x:c r="I673" s="45" t="n">
        <x:f>0</x:f>
        <x:v>0</x:v>
      </x:c>
      <x:c r="J673" s="45" t="n">
        <x:f>MAX((1/2)*($C673-$B673),0)</x:f>
        <x:v>0</x:v>
      </x:c>
      <x:c r="K673" s="45" t="n">
        <x:f>MAX((1/2)*($C673-$B673),0)</x:f>
        <x:v>0</x:v>
      </x:c>
      <x:c r="L673" s="45" t="n">
        <x:f>F673+I673</x:f>
        <x:v>3</x:v>
      </x:c>
      <x:c r="M673" s="45" t="n">
        <x:f>G673+J673</x:f>
        <x:v>6.5</x:v>
      </x:c>
      <x:c r="N673" s="45" t="n">
        <x:f>H673+K673</x:f>
        <x:v>6.5</x:v>
      </x:c>
      <x:c r="O673" s="45" t="n">
        <x:f>SUM(F673:H673)</x:f>
        <x:v>16</x:v>
      </x:c>
      <x:c r="P673" s="42" t="n">
        <x:f>IF(AND(F673&lt;=F705,F673&lt;=F657,F673&lt;=F689,G673&lt;=G661,G673&lt;=G669,G673&lt;=G665,H673&lt;=H670,H673&lt;=H672,H673&lt;=H671),1,0)</x:f>
        <x:v>0</x:v>
      </x:c>
      <x:c r="Q673" s="42" t="n">
        <x:f>IF(AND(L673&lt;=L705,L673&lt;=L657,L673&lt;=L689,M673&lt;=M661,M673&lt;=M669,M673&lt;=M665,N673&lt;=N670,N673&lt;=N672,N673&lt;=N671),1,0)</x:f>
        <x:v>0</x:v>
      </x:c>
      <x:c r="R673" s="42" t="n">
        <x:v>0</x:v>
      </x:c>
      <x:c r="S673" s="42" t="n">
        <x:v>0</x:v>
      </x:c>
    </x:row>
    <x:row r="674">
      <x:c r="A674" t="n">
        <x:v>11</x:v>
      </x:c>
      <x:c r="B674" t="n">
        <x:v>4</x:v>
      </x:c>
      <x:c r="C674" t="n">
        <x:v>1</x:v>
      </x:c>
      <x:c r="D674" t="n">
        <x:v>3</x:v>
      </x:c>
      <x:c r="E674" t="str">
        <x:v>oee</x:v>
      </x:c>
      <x:c r="F674" s="45" t="n">
        <x:f>1*$C674+1*$D674</x:f>
        <x:v>4</x:v>
      </x:c>
      <x:c r="G674" s="45" t="n">
        <x:f>(1/2)*$B674+(1/2)*$C674</x:f>
        <x:v>2.5</x:v>
      </x:c>
      <x:c r="H674" s="45" t="n">
        <x:f>(1/2)*$B674+(1/2)*$C674</x:f>
        <x:v>2.5</x:v>
      </x:c>
      <x:c r="I674" s="45" t="n">
        <x:f>0</x:f>
        <x:v>0</x:v>
      </x:c>
      <x:c r="J674" s="45" t="n">
        <x:f>MAX((3/2)*$C674+$D674-(1/2)*$B674,0)</x:f>
        <x:v>2.5</x:v>
      </x:c>
      <x:c r="K674" s="45" t="n">
        <x:f>MAX((3/2)*$C674+$D674-(1/2)*$B674,0)</x:f>
        <x:v>2.5</x:v>
      </x:c>
      <x:c r="L674" s="45" t="n">
        <x:f>F674+I674</x:f>
        <x:v>4</x:v>
      </x:c>
      <x:c r="M674" s="45" t="n">
        <x:f>G674+J674</x:f>
        <x:v>5</x:v>
      </x:c>
      <x:c r="N674" s="45" t="n">
        <x:f>H674+K674</x:f>
        <x:v>5</x:v>
      </x:c>
      <x:c r="O674" s="45" t="n">
        <x:f>SUM(F674:H674)</x:f>
        <x:v>9</x:v>
      </x:c>
      <x:c r="P674" s="42" t="n">
        <x:f>IF(AND(F674&lt;=F690,F674&lt;=F642,F674&lt;=F658,G674&lt;=G686,G674&lt;=G682,G674&lt;=G678,H674&lt;=H677,H674&lt;=H676,H674&lt;=H675),1,0)</x:f>
        <x:v>0</x:v>
      </x:c>
      <x:c r="Q674" s="42" t="n">
        <x:f>IF(AND(L674&lt;=L690,L674&lt;=L642,L674&lt;=L658,M674&lt;=M686,M674&lt;=M682,M674&lt;=M678,N674&lt;=N677,N674&lt;=N676,N674&lt;=N675),1,0)</x:f>
        <x:v>0</x:v>
      </x:c>
      <x:c r="R674" s="42" t="n">
        <x:v>0</x:v>
      </x:c>
      <x:c r="S674" s="42" t="n">
        <x:v>0</x:v>
      </x:c>
    </x:row>
    <x:row r="675">
      <x:c r="A675" t="n">
        <x:v>11</x:v>
      </x:c>
      <x:c r="B675" t="n">
        <x:v>4</x:v>
      </x:c>
      <x:c r="C675" t="n">
        <x:v>1</x:v>
      </x:c>
      <x:c r="D675" t="n">
        <x:v>3</x:v>
      </x:c>
      <x:c r="E675" t="str">
        <x:v>oel</x:v>
      </x:c>
      <x:c r="F675" s="45" t="n">
        <x:f>0</x:f>
        <x:v>0</x:v>
      </x:c>
      <x:c r="G675" s="45" t="n">
        <x:f>1*$B675</x:f>
        <x:v>4</x:v>
      </x:c>
      <x:c r="H675" s="45" t="n">
        <x:f>1*$D675</x:f>
        <x:v>3</x:v>
      </x:c>
      <x:c r="I675" s="45" t="n">
        <x:f>0</x:f>
        <x:v>0</x:v>
      </x:c>
      <x:c r="J675" s="45" t="n">
        <x:f>0</x:f>
        <x:v>0</x:v>
      </x:c>
      <x:c r="K675" s="45" t="n">
        <x:f>0</x:f>
        <x:v>0</x:v>
      </x:c>
      <x:c r="L675" s="45" t="n">
        <x:f>F675+I675</x:f>
        <x:v>0</x:v>
      </x:c>
      <x:c r="M675" s="45" t="n">
        <x:f>G675+J675</x:f>
        <x:v>4</x:v>
      </x:c>
      <x:c r="N675" s="45" t="n">
        <x:f>H675+K675</x:f>
        <x:v>3</x:v>
      </x:c>
      <x:c r="O675" s="45" t="n">
        <x:f>SUM(F675:H675)</x:f>
        <x:v>7</x:v>
      </x:c>
      <x:c r="P675" s="42" t="n">
        <x:f>IF(AND(F675&lt;=F691,F675&lt;=F643,F675&lt;=F659,G675&lt;=G687,G675&lt;=G683,G675&lt;=G679,H675&lt;=H677,H675&lt;=H674,H675&lt;=H676),1,0)</x:f>
        <x:v>0</x:v>
      </x:c>
      <x:c r="Q675" s="42" t="n">
        <x:f>IF(AND(L675&lt;=L691,L675&lt;=L643,L675&lt;=L659,M675&lt;=M687,M675&lt;=M683,M675&lt;=M679,N675&lt;=N677,N675&lt;=N674,N675&lt;=N676),1,0)</x:f>
        <x:v>1</x:v>
      </x:c>
      <x:c r="R675" s="42" t="n">
        <x:v>0</x:v>
      </x:c>
      <x:c r="S675" s="42" t="n">
        <x:v>1</x:v>
      </x:c>
    </x:row>
    <x:row r="676">
      <x:c r="A676" t="n">
        <x:v>11</x:v>
      </x:c>
      <x:c r="B676" t="n">
        <x:v>4</x:v>
      </x:c>
      <x:c r="C676" t="n">
        <x:v>1</x:v>
      </x:c>
      <x:c r="D676" t="n">
        <x:v>3</x:v>
      </x:c>
      <x:c r="E676" t="str">
        <x:v>oeo</x:v>
      </x:c>
      <x:c r="F676" s="45" t="n">
        <x:f>(1/2)*$C676+(1/2)*$D676</x:f>
        <x:v>2</x:v>
      </x:c>
      <x:c r="G676" s="45" t="n">
        <x:f>1*$B676</x:f>
        <x:v>4</x:v>
      </x:c>
      <x:c r="H676" s="45" t="n">
        <x:f>(1/2)*$C676+(1/2)*$D676</x:f>
        <x:v>2</x:v>
      </x:c>
      <x:c r="I676" s="45" t="n">
        <x:f>(1/2)*($C676+$D676)</x:f>
        <x:v>2</x:v>
      </x:c>
      <x:c r="J676" s="45" t="n">
        <x:f>0</x:f>
        <x:v>0</x:v>
      </x:c>
      <x:c r="K676" s="45" t="n">
        <x:f>(1/2)*($C676+$D676)</x:f>
        <x:v>2</x:v>
      </x:c>
      <x:c r="L676" s="45" t="n">
        <x:f>F676+I676</x:f>
        <x:v>4</x:v>
      </x:c>
      <x:c r="M676" s="45" t="n">
        <x:f>G676+J676</x:f>
        <x:v>4</x:v>
      </x:c>
      <x:c r="N676" s="45" t="n">
        <x:f>H676+K676</x:f>
        <x:v>4</x:v>
      </x:c>
      <x:c r="O676" s="45" t="n">
        <x:f>SUM(F676:H676)</x:f>
        <x:v>8</x:v>
      </x:c>
      <x:c r="P676" s="42" t="n">
        <x:f>IF(AND(F676&lt;=F692,F676&lt;=F644,F676&lt;=F660,G676&lt;=G688,G676&lt;=G684,G676&lt;=G680,H676&lt;=H677,H676&lt;=H674,H676&lt;=H675),1,0)</x:f>
        <x:v>1</x:v>
      </x:c>
      <x:c r="Q676" s="42" t="n">
        <x:f>IF(AND(L676&lt;=L692,L676&lt;=L644,L676&lt;=L660,M676&lt;=M688,M676&lt;=M684,M676&lt;=M680,N676&lt;=N677,N676&lt;=N674,N676&lt;=N675),1,0)</x:f>
        <x:v>0</x:v>
      </x:c>
      <x:c r="R676" s="42" t="n">
        <x:v>1</x:v>
      </x:c>
      <x:c r="S676" s="42" t="n">
        <x:v>0</x:v>
      </x:c>
    </x:row>
    <x:row r="677">
      <x:c r="A677" t="n">
        <x:v>11</x:v>
      </x:c>
      <x:c r="B677" t="n">
        <x:v>4</x:v>
      </x:c>
      <x:c r="C677" t="n">
        <x:v>1</x:v>
      </x:c>
      <x:c r="D677" t="n">
        <x:v>3</x:v>
      </x:c>
      <x:c r="E677" t="str">
        <x:v>oev</x:v>
      </x:c>
      <x:c r="F677" s="45" t="n">
        <x:f>0</x:f>
        <x:v>0</x:v>
      </x:c>
      <x:c r="G677" s="45" t="n">
        <x:f>1*$B677</x:f>
        <x:v>4</x:v>
      </x:c>
      <x:c r="H677" s="45" t="n">
        <x:f>2*$B677</x:f>
        <x:v>8</x:v>
      </x:c>
      <x:c r="I677" s="45" t="n">
        <x:f>0</x:f>
        <x:v>0</x:v>
      </x:c>
      <x:c r="J677" s="45" t="n">
        <x:f>0</x:f>
        <x:v>0</x:v>
      </x:c>
      <x:c r="K677" s="45" t="n">
        <x:f>0</x:f>
        <x:v>0</x:v>
      </x:c>
      <x:c r="L677" s="45" t="n">
        <x:f>F677+I677</x:f>
        <x:v>0</x:v>
      </x:c>
      <x:c r="M677" s="45" t="n">
        <x:f>G677+J677</x:f>
        <x:v>4</x:v>
      </x:c>
      <x:c r="N677" s="45" t="n">
        <x:f>H677+K677</x:f>
        <x:v>8</x:v>
      </x:c>
      <x:c r="O677" s="45" t="n">
        <x:f>SUM(F677:H677)</x:f>
        <x:v>12</x:v>
      </x:c>
      <x:c r="P677" s="42" t="n">
        <x:f>IF(AND(F677&lt;=F693,F677&lt;=F645,F677&lt;=F661,G677&lt;=G689,G677&lt;=G685,G677&lt;=G681,H677&lt;=H674,H677&lt;=H676,H677&lt;=H675),1,0)</x:f>
        <x:v>0</x:v>
      </x:c>
      <x:c r="Q677" s="42" t="n">
        <x:f>IF(AND(L677&lt;=L693,L677&lt;=L645,L677&lt;=L661,M677&lt;=M689,M677&lt;=M685,M677&lt;=M681,N677&lt;=N674,N677&lt;=N676,N677&lt;=N675),1,0)</x:f>
        <x:v>0</x:v>
      </x:c>
      <x:c r="R677" s="42" t="n">
        <x:v>0</x:v>
      </x:c>
      <x:c r="S677" s="42" t="n">
        <x:v>0</x:v>
      </x:c>
    </x:row>
    <x:row r="678">
      <x:c r="A678" t="n">
        <x:v>11</x:v>
      </x:c>
      <x:c r="B678" t="n">
        <x:v>4</x:v>
      </x:c>
      <x:c r="C678" t="n">
        <x:v>1</x:v>
      </x:c>
      <x:c r="D678" t="n">
        <x:v>3</x:v>
      </x:c>
      <x:c r="E678" t="str">
        <x:v>ole</x:v>
      </x:c>
      <x:c r="F678" s="45" t="n">
        <x:f>0</x:f>
        <x:v>0</x:v>
      </x:c>
      <x:c r="G678" s="45" t="n">
        <x:f>1*$D678</x:f>
        <x:v>3</x:v>
      </x:c>
      <x:c r="H678" s="45" t="n">
        <x:f>1*$B678</x:f>
        <x:v>4</x:v>
      </x:c>
      <x:c r="I678" s="45" t="n">
        <x:f>0</x:f>
        <x:v>0</x:v>
      </x:c>
      <x:c r="J678" s="45" t="n">
        <x:f>0</x:f>
        <x:v>0</x:v>
      </x:c>
      <x:c r="K678" s="45" t="n">
        <x:f>0</x:f>
        <x:v>0</x:v>
      </x:c>
      <x:c r="L678" s="45" t="n">
        <x:f>F678+I678</x:f>
        <x:v>0</x:v>
      </x:c>
      <x:c r="M678" s="45" t="n">
        <x:f>G678+J678</x:f>
        <x:v>3</x:v>
      </x:c>
      <x:c r="N678" s="45" t="n">
        <x:f>H678+K678</x:f>
        <x:v>4</x:v>
      </x:c>
      <x:c r="O678" s="45" t="n">
        <x:f>SUM(F678:H678)</x:f>
        <x:v>7</x:v>
      </x:c>
      <x:c r="P678" s="42" t="n">
        <x:f>IF(AND(F678&lt;=F694,F678&lt;=F646,F678&lt;=F662,G678&lt;=G686,G678&lt;=G674,G678&lt;=G682,H678&lt;=H681,H678&lt;=H680,H678&lt;=H679),1,0)</x:f>
        <x:v>0</x:v>
      </x:c>
      <x:c r="Q678" s="42" t="n">
        <x:f>IF(AND(L678&lt;=L694,L678&lt;=L646,L678&lt;=L662,M678&lt;=M686,M678&lt;=M674,M678&lt;=M682,N678&lt;=N681,N678&lt;=N680,N678&lt;=N679),1,0)</x:f>
        <x:v>1</x:v>
      </x:c>
      <x:c r="R678" s="42" t="n">
        <x:v>0</x:v>
      </x:c>
      <x:c r="S678" s="42" t="n">
        <x:v>1</x:v>
      </x:c>
    </x:row>
    <x:row r="679">
      <x:c r="A679" t="n">
        <x:v>11</x:v>
      </x:c>
      <x:c r="B679" t="n">
        <x:v>4</x:v>
      </x:c>
      <x:c r="C679" t="n">
        <x:v>1</x:v>
      </x:c>
      <x:c r="D679" t="n">
        <x:v>3</x:v>
      </x:c>
      <x:c r="E679" t="str">
        <x:v>oll</x:v>
      </x:c>
      <x:c r="F679" s="45" t="n">
        <x:f>0</x:f>
        <x:v>0</x:v>
      </x:c>
      <x:c r="G679" s="45" t="n">
        <x:f>(1/2)*$C679+(3/2)*$D679</x:f>
        <x:v>5</x:v>
      </x:c>
      <x:c r="H679" s="45" t="n">
        <x:f>(1/2)*$C679+(3/2)*$D679</x:f>
        <x:v>5</x:v>
      </x:c>
      <x:c r="I679" s="45" t="n">
        <x:f>0</x:f>
        <x:v>0</x:v>
      </x:c>
      <x:c r="J679" s="45" t="n">
        <x:f>(1/2)*($C679+$D679)</x:f>
        <x:v>2</x:v>
      </x:c>
      <x:c r="K679" s="45" t="n">
        <x:f>(1/2)*($C679+$D679)</x:f>
        <x:v>2</x:v>
      </x:c>
      <x:c r="L679" s="45" t="n">
        <x:f>F679+I679</x:f>
        <x:v>0</x:v>
      </x:c>
      <x:c r="M679" s="45" t="n">
        <x:f>G679+J679</x:f>
        <x:v>7</x:v>
      </x:c>
      <x:c r="N679" s="45" t="n">
        <x:f>H679+K679</x:f>
        <x:v>7</x:v>
      </x:c>
      <x:c r="O679" s="45" t="n">
        <x:f>SUM(F679:H679)</x:f>
        <x:v>10</x:v>
      </x:c>
      <x:c r="P679" s="42" t="n">
        <x:f>IF(AND(F679&lt;=F695,F679&lt;=F647,F679&lt;=F663,G679&lt;=G687,G679&lt;=G675,G679&lt;=G683,H679&lt;=H681,H679&lt;=H678,H679&lt;=H680),1,0)</x:f>
        <x:v>0</x:v>
      </x:c>
      <x:c r="Q679" s="42" t="n">
        <x:f>IF(AND(L679&lt;=L695,L679&lt;=L647,L679&lt;=L663,M679&lt;=M687,M679&lt;=M675,M679&lt;=M683,N679&lt;=N681,N679&lt;=N678,N679&lt;=N680),1,0)</x:f>
        <x:v>0</x:v>
      </x:c>
      <x:c r="R679" s="42" t="n">
        <x:v>0</x:v>
      </x:c>
      <x:c r="S679" s="42" t="n">
        <x:v>0</x:v>
      </x:c>
    </x:row>
    <x:row r="680">
      <x:c r="A680" t="n">
        <x:v>11</x:v>
      </x:c>
      <x:c r="B680" t="n">
        <x:v>4</x:v>
      </x:c>
      <x:c r="C680" t="n">
        <x:v>1</x:v>
      </x:c>
      <x:c r="D680" t="n">
        <x:v>3</x:v>
      </x:c>
      <x:c r="E680" t="str">
        <x:v>olo</x:v>
      </x:c>
      <x:c r="F680" s="45" t="n">
        <x:f>(1/2)*$C680+(1/2)*$D680</x:f>
        <x:v>2</x:v>
      </x:c>
      <x:c r="G680" s="45" t="n">
        <x:f>1*$C680+2*$D680</x:f>
        <x:v>7</x:v>
      </x:c>
      <x:c r="H680" s="45" t="n">
        <x:f>(1/2)*$C680+(1/2)*$D680</x:f>
        <x:v>2</x:v>
      </x:c>
      <x:c r="I680" s="45" t="n">
        <x:f>(3/2)*($C680+$D680)</x:f>
        <x:v>6</x:v>
      </x:c>
      <x:c r="J680" s="45" t="n">
        <x:f>0</x:f>
        <x:v>0</x:v>
      </x:c>
      <x:c r="K680" s="45" t="n">
        <x:f>(3/2)*($C680+$D680)</x:f>
        <x:v>6</x:v>
      </x:c>
      <x:c r="L680" s="45" t="n">
        <x:f>F680+I680</x:f>
        <x:v>8</x:v>
      </x:c>
      <x:c r="M680" s="45" t="n">
        <x:f>G680+J680</x:f>
        <x:v>7</x:v>
      </x:c>
      <x:c r="N680" s="45" t="n">
        <x:f>H680+K680</x:f>
        <x:v>8</x:v>
      </x:c>
      <x:c r="O680" s="45" t="n">
        <x:f>SUM(F680:H680)</x:f>
        <x:v>11</x:v>
      </x:c>
      <x:c r="P680" s="42" t="n">
        <x:f>IF(AND(F680&lt;=F696,F680&lt;=F648,F680&lt;=F664,G680&lt;=G688,G680&lt;=G676,G680&lt;=G684,H680&lt;=H681,H680&lt;=H678,H680&lt;=H679),1,0)</x:f>
        <x:v>0</x:v>
      </x:c>
      <x:c r="Q680" s="42" t="n">
        <x:f>IF(AND(L680&lt;=L696,L680&lt;=L648,L680&lt;=L664,M680&lt;=M688,M680&lt;=M676,M680&lt;=M684,N680&lt;=N681,N680&lt;=N678,N680&lt;=N679),1,0)</x:f>
        <x:v>0</x:v>
      </x:c>
      <x:c r="R680" s="42" t="n">
        <x:v>0</x:v>
      </x:c>
      <x:c r="S680" s="42" t="n">
        <x:v>0</x:v>
      </x:c>
    </x:row>
    <x:row r="681">
      <x:c r="A681" t="n">
        <x:v>11</x:v>
      </x:c>
      <x:c r="B681" t="n">
        <x:v>4</x:v>
      </x:c>
      <x:c r="C681" t="n">
        <x:v>1</x:v>
      </x:c>
      <x:c r="D681" t="n">
        <x:v>3</x:v>
      </x:c>
      <x:c r="E681" t="str">
        <x:v>olv</x:v>
      </x:c>
      <x:c r="F681" s="45" t="n">
        <x:f>0</x:f>
        <x:v>0</x:v>
      </x:c>
      <x:c r="G681" s="45" t="n">
        <x:f>1*$D681</x:f>
        <x:v>3</x:v>
      </x:c>
      <x:c r="H681" s="45" t="n">
        <x:f>2*$B681</x:f>
        <x:v>8</x:v>
      </x:c>
      <x:c r="I681" s="45" t="n">
        <x:f>0</x:f>
        <x:v>0</x:v>
      </x:c>
      <x:c r="J681" s="45" t="n">
        <x:f>0</x:f>
        <x:v>0</x:v>
      </x:c>
      <x:c r="K681" s="45" t="n">
        <x:f>0</x:f>
        <x:v>0</x:v>
      </x:c>
      <x:c r="L681" s="45" t="n">
        <x:f>F681+I681</x:f>
        <x:v>0</x:v>
      </x:c>
      <x:c r="M681" s="45" t="n">
        <x:f>G681+J681</x:f>
        <x:v>3</x:v>
      </x:c>
      <x:c r="N681" s="45" t="n">
        <x:f>H681+K681</x:f>
        <x:v>8</x:v>
      </x:c>
      <x:c r="O681" s="45" t="n">
        <x:f>SUM(F681:H681)</x:f>
        <x:v>11</x:v>
      </x:c>
      <x:c r="P681" s="42" t="n">
        <x:f>IF(AND(F681&lt;=F697,F681&lt;=F649,F681&lt;=F665,G681&lt;=G689,G681&lt;=G677,G681&lt;=G685,H681&lt;=H678,H681&lt;=H680,H681&lt;=H679),1,0)</x:f>
        <x:v>0</x:v>
      </x:c>
      <x:c r="Q681" s="42" t="n">
        <x:f>IF(AND(L681&lt;=L697,L681&lt;=L649,L681&lt;=L665,M681&lt;=M689,M681&lt;=M677,M681&lt;=M685,N681&lt;=N678,N681&lt;=N680,N681&lt;=N679),1,0)</x:f>
        <x:v>0</x:v>
      </x:c>
      <x:c r="R681" s="42" t="n">
        <x:v>0</x:v>
      </x:c>
      <x:c r="S681" s="42" t="n">
        <x:v>0</x:v>
      </x:c>
    </x:row>
    <x:row r="682">
      <x:c r="A682" t="n">
        <x:v>11</x:v>
      </x:c>
      <x:c r="B682" t="n">
        <x:v>4</x:v>
      </x:c>
      <x:c r="C682" t="n">
        <x:v>1</x:v>
      </x:c>
      <x:c r="D682" t="n">
        <x:v>3</x:v>
      </x:c>
      <x:c r="E682" t="str">
        <x:v>ooe</x:v>
      </x:c>
      <x:c r="F682" s="45" t="n">
        <x:f>(1/2)*$C682+(1/2)*$D682</x:f>
        <x:v>2</x:v>
      </x:c>
      <x:c r="G682" s="45" t="n">
        <x:f>(1/2)*$C682+(1/2)*$D682</x:f>
        <x:v>2</x:v>
      </x:c>
      <x:c r="H682" s="45" t="n">
        <x:f>1*$B682</x:f>
        <x:v>4</x:v>
      </x:c>
      <x:c r="I682" s="45" t="n">
        <x:f>(1/2)*($C682+$D682)</x:f>
        <x:v>2</x:v>
      </x:c>
      <x:c r="J682" s="45" t="n">
        <x:f>(1/2)*($C682+$D682)</x:f>
        <x:v>2</x:v>
      </x:c>
      <x:c r="K682" s="45" t="n">
        <x:f>0</x:f>
        <x:v>0</x:v>
      </x:c>
      <x:c r="L682" s="45" t="n">
        <x:f>F682+I682</x:f>
        <x:v>4</x:v>
      </x:c>
      <x:c r="M682" s="45" t="n">
        <x:f>G682+J682</x:f>
        <x:v>4</x:v>
      </x:c>
      <x:c r="N682" s="45" t="n">
        <x:f>H682+K682</x:f>
        <x:v>4</x:v>
      </x:c>
      <x:c r="O682" s="45" t="n">
        <x:f>SUM(F682:H682)</x:f>
        <x:v>8</x:v>
      </x:c>
      <x:c r="P682" s="42" t="n">
        <x:f>IF(AND(F682&lt;=F698,F682&lt;=F650,F682&lt;=F666,G682&lt;=G686,G682&lt;=G674,G682&lt;=G678,H682&lt;=H685,H682&lt;=H684,H682&lt;=H683),1,0)</x:f>
        <x:v>1</x:v>
      </x:c>
      <x:c r="Q682" s="42" t="n">
        <x:f>IF(AND(L682&lt;=L698,L682&lt;=L650,L682&lt;=L666,M682&lt;=M686,M682&lt;=M674,M682&lt;=M678,N682&lt;=N685,N682&lt;=N684,N682&lt;=N683),1,0)</x:f>
        <x:v>0</x:v>
      </x:c>
      <x:c r="R682" s="42" t="n">
        <x:v>1</x:v>
      </x:c>
      <x:c r="S682" s="42" t="n">
        <x:v>0</x:v>
      </x:c>
    </x:row>
    <x:row r="683">
      <x:c r="A683" t="n">
        <x:v>11</x:v>
      </x:c>
      <x:c r="B683" t="n">
        <x:v>4</x:v>
      </x:c>
      <x:c r="C683" t="n">
        <x:v>1</x:v>
      </x:c>
      <x:c r="D683" t="n">
        <x:v>3</x:v>
      </x:c>
      <x:c r="E683" t="str">
        <x:v>ool</x:v>
      </x:c>
      <x:c r="F683" s="45" t="n">
        <x:f>(1/2)*$C683+(1/2)*$D683</x:f>
        <x:v>2</x:v>
      </x:c>
      <x:c r="G683" s="45" t="n">
        <x:f>(1/2)*$C683+(1/2)*$D683</x:f>
        <x:v>2</x:v>
      </x:c>
      <x:c r="H683" s="45" t="n">
        <x:f>1*$C683+2*$D683</x:f>
        <x:v>7</x:v>
      </x:c>
      <x:c r="I683" s="45" t="n">
        <x:f>(3/2)*($C683+$D683)</x:f>
        <x:v>6</x:v>
      </x:c>
      <x:c r="J683" s="45" t="n">
        <x:f>(3/2)*($C683+$D683)</x:f>
        <x:v>6</x:v>
      </x:c>
      <x:c r="K683" s="45" t="n">
        <x:f>0</x:f>
        <x:v>0</x:v>
      </x:c>
      <x:c r="L683" s="45" t="n">
        <x:f>F683+I683</x:f>
        <x:v>8</x:v>
      </x:c>
      <x:c r="M683" s="45" t="n">
        <x:f>G683+J683</x:f>
        <x:v>8</x:v>
      </x:c>
      <x:c r="N683" s="45" t="n">
        <x:f>H683+K683</x:f>
        <x:v>7</x:v>
      </x:c>
      <x:c r="O683" s="45" t="n">
        <x:f>SUM(F683:H683)</x:f>
        <x:v>11</x:v>
      </x:c>
      <x:c r="P683" s="42" t="n">
        <x:f>IF(AND(F683&lt;=F699,F683&lt;=F651,F683&lt;=F667,G683&lt;=G687,G683&lt;=G675,G683&lt;=G679,H683&lt;=H685,H683&lt;=H682,H683&lt;=H684),1,0)</x:f>
        <x:v>0</x:v>
      </x:c>
      <x:c r="Q683" s="42" t="n">
        <x:f>IF(AND(L683&lt;=L699,L683&lt;=L651,L683&lt;=L667,M683&lt;=M687,M683&lt;=M675,M683&lt;=M679,N683&lt;=N685,N683&lt;=N682,N683&lt;=N684),1,0)</x:f>
        <x:v>0</x:v>
      </x:c>
      <x:c r="R683" s="42" t="n">
        <x:v>0</x:v>
      </x:c>
      <x:c r="S683" s="42" t="n">
        <x:v>0</x:v>
      </x:c>
    </x:row>
    <x:row r="684">
      <x:c r="A684" t="n">
        <x:v>11</x:v>
      </x:c>
      <x:c r="B684" t="n">
        <x:v>4</x:v>
      </x:c>
      <x:c r="C684" t="n">
        <x:v>1</x:v>
      </x:c>
      <x:c r="D684" t="n">
        <x:v>3</x:v>
      </x:c>
      <x:c r="E684" t="str">
        <x:v>ooo</x:v>
      </x:c>
      <x:c r="F684" s="45" t="n">
        <x:f>1*$C684+1*$D684</x:f>
        <x:v>4</x:v>
      </x:c>
      <x:c r="G684" s="45" t="n">
        <x:f>1*$C684+1*$D684</x:f>
        <x:v>4</x:v>
      </x:c>
      <x:c r="H684" s="45" t="n">
        <x:f>1*$C684+1*$D684</x:f>
        <x:v>4</x:v>
      </x:c>
      <x:c r="I684" s="45" t="n">
        <x:f>$C684+$D684</x:f>
        <x:v>4</x:v>
      </x:c>
      <x:c r="J684" s="45" t="n">
        <x:f>$C684+$D684</x:f>
        <x:v>4</x:v>
      </x:c>
      <x:c r="K684" s="45" t="n">
        <x:f>$C684+$D684</x:f>
        <x:v>4</x:v>
      </x:c>
      <x:c r="L684" s="45" t="n">
        <x:f>F684+I684</x:f>
        <x:v>8</x:v>
      </x:c>
      <x:c r="M684" s="45" t="n">
        <x:f>G684+J684</x:f>
        <x:v>8</x:v>
      </x:c>
      <x:c r="N684" s="45" t="n">
        <x:f>H684+K684</x:f>
        <x:v>8</x:v>
      </x:c>
      <x:c r="O684" s="45" t="n">
        <x:f>SUM(F684:H684)</x:f>
        <x:v>12</x:v>
      </x:c>
      <x:c r="P684" s="42" t="n">
        <x:f>IF(AND(F684&lt;=F700,F684&lt;=F652,F684&lt;=F668,G684&lt;=G688,G684&lt;=G676,G684&lt;=G680,H684&lt;=H685,H684&lt;=H682,H684&lt;=H683),1,0)</x:f>
        <x:v>1</x:v>
      </x:c>
      <x:c r="Q684" s="42" t="n">
        <x:f>IF(AND(L684&lt;=L700,L684&lt;=L652,L684&lt;=L668,M684&lt;=M688,M684&lt;=M676,M684&lt;=M680,N684&lt;=N685,N684&lt;=N682,N684&lt;=N683),1,0)</x:f>
        <x:v>0</x:v>
      </x:c>
      <x:c r="R684" s="42" t="n">
        <x:v>1</x:v>
      </x:c>
      <x:c r="S684" s="42" t="n">
        <x:v>0</x:v>
      </x:c>
    </x:row>
    <x:row r="685">
      <x:c r="A685" t="n">
        <x:v>11</x:v>
      </x:c>
      <x:c r="B685" t="n">
        <x:v>4</x:v>
      </x:c>
      <x:c r="C685" t="n">
        <x:v>1</x:v>
      </x:c>
      <x:c r="D685" t="n">
        <x:v>3</x:v>
      </x:c>
      <x:c r="E685" t="str">
        <x:v>oov</x:v>
      </x:c>
      <x:c r="F685" s="45" t="n">
        <x:f>(1/2)*$C685+(1/2)*$D685</x:f>
        <x:v>2</x:v>
      </x:c>
      <x:c r="G685" s="45" t="n">
        <x:f>(1/2)*$C685+(1/2)*$D685</x:f>
        <x:v>2</x:v>
      </x:c>
      <x:c r="H685" s="45" t="n">
        <x:f>2*$B685</x:f>
        <x:v>8</x:v>
      </x:c>
      <x:c r="I685" s="45" t="n">
        <x:f>(1/2)*($C685+$D685)</x:f>
        <x:v>2</x:v>
      </x:c>
      <x:c r="J685" s="45" t="n">
        <x:f>(1/2)*($C685+$D685)</x:f>
        <x:v>2</x:v>
      </x:c>
      <x:c r="K685" s="45" t="n">
        <x:f>0</x:f>
        <x:v>0</x:v>
      </x:c>
      <x:c r="L685" s="45" t="n">
        <x:f>F685+I685</x:f>
        <x:v>4</x:v>
      </x:c>
      <x:c r="M685" s="45" t="n">
        <x:f>G685+J685</x:f>
        <x:v>4</x:v>
      </x:c>
      <x:c r="N685" s="45" t="n">
        <x:f>H685+K685</x:f>
        <x:v>8</x:v>
      </x:c>
      <x:c r="O685" s="45" t="n">
        <x:f>SUM(F685:H685)</x:f>
        <x:v>12</x:v>
      </x:c>
      <x:c r="P685" s="42" t="n">
        <x:f>IF(AND(F685&lt;=F701,F685&lt;=F653,F685&lt;=F669,G685&lt;=G689,G685&lt;=G677,G685&lt;=G681,H685&lt;=H682,H685&lt;=H684,H685&lt;=H683),1,0)</x:f>
        <x:v>0</x:v>
      </x:c>
      <x:c r="Q685" s="42" t="n">
        <x:f>IF(AND(L685&lt;=L701,L685&lt;=L653,L685&lt;=L669,M685&lt;=M689,M685&lt;=M677,M685&lt;=M681,N685&lt;=N682,N685&lt;=N684,N685&lt;=N683),1,0)</x:f>
        <x:v>0</x:v>
      </x:c>
      <x:c r="R685" s="42" t="n">
        <x:v>0</x:v>
      </x:c>
      <x:c r="S685" s="42" t="n">
        <x:v>0</x:v>
      </x:c>
    </x:row>
    <x:row r="686">
      <x:c r="A686" t="n">
        <x:v>11</x:v>
      </x:c>
      <x:c r="B686" t="n">
        <x:v>4</x:v>
      </x:c>
      <x:c r="C686" t="n">
        <x:v>1</x:v>
      </x:c>
      <x:c r="D686" t="n">
        <x:v>3</x:v>
      </x:c>
      <x:c r="E686" t="str">
        <x:v>ove</x:v>
      </x:c>
      <x:c r="F686" s="45" t="n">
        <x:f>0</x:f>
        <x:v>0</x:v>
      </x:c>
      <x:c r="G686" s="45" t="n">
        <x:f>2*$B686</x:f>
        <x:v>8</x:v>
      </x:c>
      <x:c r="H686" s="45" t="n">
        <x:f>1*$B686</x:f>
        <x:v>4</x:v>
      </x:c>
      <x:c r="I686" s="45" t="n">
        <x:f>0</x:f>
        <x:v>0</x:v>
      </x:c>
      <x:c r="J686" s="45" t="n">
        <x:f>0</x:f>
        <x:v>0</x:v>
      </x:c>
      <x:c r="K686" s="45" t="n">
        <x:f>0</x:f>
        <x:v>0</x:v>
      </x:c>
      <x:c r="L686" s="45" t="n">
        <x:f>F686+I686</x:f>
        <x:v>0</x:v>
      </x:c>
      <x:c r="M686" s="45" t="n">
        <x:f>G686+J686</x:f>
        <x:v>8</x:v>
      </x:c>
      <x:c r="N686" s="45" t="n">
        <x:f>H686+K686</x:f>
        <x:v>4</x:v>
      </x:c>
      <x:c r="O686" s="45" t="n">
        <x:f>SUM(F686:H686)</x:f>
        <x:v>12</x:v>
      </x:c>
      <x:c r="P686" s="42" t="n">
        <x:f>IF(AND(F686&lt;=F702,F686&lt;=F654,F686&lt;=F670,G686&lt;=G674,G686&lt;=G682,G686&lt;=G678,H686&lt;=H689,H686&lt;=H688,H686&lt;=H687),1,0)</x:f>
        <x:v>0</x:v>
      </x:c>
      <x:c r="Q686" s="42" t="n">
        <x:f>IF(AND(L686&lt;=L702,L686&lt;=L654,L686&lt;=L670,M686&lt;=M674,M686&lt;=M682,M686&lt;=M678,N686&lt;=N689,N686&lt;=N688,N686&lt;=N687),1,0)</x:f>
        <x:v>0</x:v>
      </x:c>
      <x:c r="R686" s="42" t="n">
        <x:v>0</x:v>
      </x:c>
      <x:c r="S686" s="42" t="n">
        <x:v>0</x:v>
      </x:c>
    </x:row>
    <x:row r="687">
      <x:c r="A687" t="n">
        <x:v>11</x:v>
      </x:c>
      <x:c r="B687" t="n">
        <x:v>4</x:v>
      </x:c>
      <x:c r="C687" t="n">
        <x:v>1</x:v>
      </x:c>
      <x:c r="D687" t="n">
        <x:v>3</x:v>
      </x:c>
      <x:c r="E687" t="str">
        <x:v>ovl</x:v>
      </x:c>
      <x:c r="F687" s="45" t="n">
        <x:f>0</x:f>
        <x:v>0</x:v>
      </x:c>
      <x:c r="G687" s="45" t="n">
        <x:f>2*$B687</x:f>
        <x:v>8</x:v>
      </x:c>
      <x:c r="H687" s="45" t="n">
        <x:f>1*$D687</x:f>
        <x:v>3</x:v>
      </x:c>
      <x:c r="I687" s="45" t="n">
        <x:f>0</x:f>
        <x:v>0</x:v>
      </x:c>
      <x:c r="J687" s="45" t="n">
        <x:f>0</x:f>
        <x:v>0</x:v>
      </x:c>
      <x:c r="K687" s="45" t="n">
        <x:f>0</x:f>
        <x:v>0</x:v>
      </x:c>
      <x:c r="L687" s="45" t="n">
        <x:f>F687+I687</x:f>
        <x:v>0</x:v>
      </x:c>
      <x:c r="M687" s="45" t="n">
        <x:f>G687+J687</x:f>
        <x:v>8</x:v>
      </x:c>
      <x:c r="N687" s="45" t="n">
        <x:f>H687+K687</x:f>
        <x:v>3</x:v>
      </x:c>
      <x:c r="O687" s="45" t="n">
        <x:f>SUM(F687:H687)</x:f>
        <x:v>11</x:v>
      </x:c>
      <x:c r="P687" s="42" t="n">
        <x:f>IF(AND(F687&lt;=F703,F687&lt;=F655,F687&lt;=F671,G687&lt;=G675,G687&lt;=G683,G687&lt;=G679,H687&lt;=H689,H687&lt;=H686,H687&lt;=H688),1,0)</x:f>
        <x:v>0</x:v>
      </x:c>
      <x:c r="Q687" s="42" t="n">
        <x:f>IF(AND(L687&lt;=L703,L687&lt;=L655,L687&lt;=L671,M687&lt;=M675,M687&lt;=M683,M687&lt;=M679,N687&lt;=N689,N687&lt;=N686,N687&lt;=N688),1,0)</x:f>
        <x:v>0</x:v>
      </x:c>
      <x:c r="R687" s="42" t="n">
        <x:v>0</x:v>
      </x:c>
      <x:c r="S687" s="42" t="n">
        <x:v>0</x:v>
      </x:c>
    </x:row>
    <x:row r="688">
      <x:c r="A688" t="n">
        <x:v>11</x:v>
      </x:c>
      <x:c r="B688" t="n">
        <x:v>4</x:v>
      </x:c>
      <x:c r="C688" t="n">
        <x:v>1</x:v>
      </x:c>
      <x:c r="D688" t="n">
        <x:v>3</x:v>
      </x:c>
      <x:c r="E688" t="str">
        <x:v>ovo</x:v>
      </x:c>
      <x:c r="F688" s="45" t="n">
        <x:f>(1/2)*$C688+(1/2)*$D688</x:f>
        <x:v>2</x:v>
      </x:c>
      <x:c r="G688" s="45" t="n">
        <x:f>2*$B688</x:f>
        <x:v>8</x:v>
      </x:c>
      <x:c r="H688" s="45" t="n">
        <x:f>(1/2)*$C688+(1/2)*$D688</x:f>
        <x:v>2</x:v>
      </x:c>
      <x:c r="I688" s="45" t="n">
        <x:f>(1/2)*($C688+$D688)</x:f>
        <x:v>2</x:v>
      </x:c>
      <x:c r="J688" s="45" t="n">
        <x:f>0</x:f>
        <x:v>0</x:v>
      </x:c>
      <x:c r="K688" s="45" t="n">
        <x:f>(1/2)*($C688+$D688)</x:f>
        <x:v>2</x:v>
      </x:c>
      <x:c r="L688" s="45" t="n">
        <x:f>F688+I688</x:f>
        <x:v>4</x:v>
      </x:c>
      <x:c r="M688" s="45" t="n">
        <x:f>G688+J688</x:f>
        <x:v>8</x:v>
      </x:c>
      <x:c r="N688" s="45" t="n">
        <x:f>H688+K688</x:f>
        <x:v>4</x:v>
      </x:c>
      <x:c r="O688" s="45" t="n">
        <x:f>SUM(F688:H688)</x:f>
        <x:v>12</x:v>
      </x:c>
      <x:c r="P688" s="42" t="n">
        <x:f>IF(AND(F688&lt;=F704,F688&lt;=F656,F688&lt;=F672,G688&lt;=G676,G688&lt;=G684,G688&lt;=G680,H688&lt;=H689,H688&lt;=H686,H688&lt;=H687),1,0)</x:f>
        <x:v>0</x:v>
      </x:c>
      <x:c r="Q688" s="42" t="n">
        <x:f>IF(AND(L688&lt;=L704,L688&lt;=L656,L688&lt;=L672,M688&lt;=M676,M688&lt;=M684,M688&lt;=M680,N688&lt;=N689,N688&lt;=N686,N688&lt;=N687),1,0)</x:f>
        <x:v>0</x:v>
      </x:c>
      <x:c r="R688" s="42" t="n">
        <x:v>0</x:v>
      </x:c>
      <x:c r="S688" s="42" t="n">
        <x:v>0</x:v>
      </x:c>
    </x:row>
    <x:row r="689">
      <x:c r="A689" t="n">
        <x:v>11</x:v>
      </x:c>
      <x:c r="B689" t="n">
        <x:v>4</x:v>
      </x:c>
      <x:c r="C689" t="n">
        <x:v>1</x:v>
      </x:c>
      <x:c r="D689" t="n">
        <x:v>3</x:v>
      </x:c>
      <x:c r="E689" t="str">
        <x:v>ovv</x:v>
      </x:c>
      <x:c r="F689" s="45" t="n">
        <x:f>0</x:f>
        <x:v>0</x:v>
      </x:c>
      <x:c r="G689" s="45" t="n">
        <x:f>(3/2)*$B689+(1/2)*$C689</x:f>
        <x:v>6.5</x:v>
      </x:c>
      <x:c r="H689" s="45" t="n">
        <x:f>(3/2)*$B689+(1/2)*$C689</x:f>
        <x:v>6.5</x:v>
      </x:c>
      <x:c r="I689" s="45" t="n">
        <x:f>0</x:f>
        <x:v>0</x:v>
      </x:c>
      <x:c r="J689" s="45" t="n">
        <x:f>MAX((1/2)*($C689-$B689),0)</x:f>
        <x:v>0</x:v>
      </x:c>
      <x:c r="K689" s="45" t="n">
        <x:f>MAX((1/2)*($C689-$B689),0)</x:f>
        <x:v>0</x:v>
      </x:c>
      <x:c r="L689" s="45" t="n">
        <x:f>F689+I689</x:f>
        <x:v>0</x:v>
      </x:c>
      <x:c r="M689" s="45" t="n">
        <x:f>G689+J689</x:f>
        <x:v>6.5</x:v>
      </x:c>
      <x:c r="N689" s="45" t="n">
        <x:f>H689+K689</x:f>
        <x:v>6.5</x:v>
      </x:c>
      <x:c r="O689" s="45" t="n">
        <x:f>SUM(F689:H689)</x:f>
        <x:v>13</x:v>
      </x:c>
      <x:c r="P689" s="42" t="n">
        <x:f>IF(AND(F689&lt;=F705,F689&lt;=F657,F689&lt;=F673,G689&lt;=G677,G689&lt;=G685,G689&lt;=G681,H689&lt;=H686,H689&lt;=H688,H689&lt;=H687),1,0)</x:f>
        <x:v>0</x:v>
      </x:c>
      <x:c r="Q689" s="42" t="n">
        <x:f>IF(AND(L689&lt;=L705,L689&lt;=L657,L689&lt;=L673,M689&lt;=M677,M689&lt;=M685,M689&lt;=M681,N689&lt;=N686,N689&lt;=N688,N689&lt;=N687),1,0)</x:f>
        <x:v>0</x:v>
      </x:c>
      <x:c r="R689" s="42" t="n">
        <x:v>0</x:v>
      </x:c>
      <x:c r="S689" s="42" t="n">
        <x:v>0</x:v>
      </x:c>
    </x:row>
    <x:row r="690">
      <x:c r="A690" t="n">
        <x:v>11</x:v>
      </x:c>
      <x:c r="B690" t="n">
        <x:v>4</x:v>
      </x:c>
      <x:c r="C690" t="n">
        <x:v>1</x:v>
      </x:c>
      <x:c r="D690" t="n">
        <x:v>3</x:v>
      </x:c>
      <x:c r="E690" t="str">
        <x:v>vee</x:v>
      </x:c>
      <x:c r="F690" s="45" t="n">
        <x:f>2*$B690</x:f>
        <x:v>8</x:v>
      </x:c>
      <x:c r="G690" s="45" t="n">
        <x:f>(1/2)*$B690+(1/2)*$C690</x:f>
        <x:v>2.5</x:v>
      </x:c>
      <x:c r="H690" s="45" t="n">
        <x:f>(1/2)*$B690+(1/2)*$C690</x:f>
        <x:v>2.5</x:v>
      </x:c>
      <x:c r="I690" s="45" t="n">
        <x:f>0</x:f>
        <x:v>0</x:v>
      </x:c>
      <x:c r="J690" s="45" t="n">
        <x:f>MAX((1/2)*($C690-$B690),0)</x:f>
        <x:v>0</x:v>
      </x:c>
      <x:c r="K690" s="45" t="n">
        <x:f>MAX((1/2)*($C690-$B690),0)</x:f>
        <x:v>0</x:v>
      </x:c>
      <x:c r="L690" s="45" t="n">
        <x:f>F690+I690</x:f>
        <x:v>8</x:v>
      </x:c>
      <x:c r="M690" s="45" t="n">
        <x:f>G690+J690</x:f>
        <x:v>2.5</x:v>
      </x:c>
      <x:c r="N690" s="45" t="n">
        <x:f>H690+K690</x:f>
        <x:v>2.5</x:v>
      </x:c>
      <x:c r="O690" s="45" t="n">
        <x:f>SUM(F690:H690)</x:f>
        <x:v>13</x:v>
      </x:c>
      <x:c r="P690" s="42" t="n">
        <x:f>IF(AND(F690&lt;=F642,F690&lt;=F674,F690&lt;=F658,G690&lt;=G702,G690&lt;=G698,G690&lt;=G694,H690&lt;=H693,H690&lt;=H692,H690&lt;=H691),1,0)</x:f>
        <x:v>0</x:v>
      </x:c>
      <x:c r="Q690" s="42" t="n">
        <x:f>IF(AND(L690&lt;=L642,L690&lt;=L674,L690&lt;=L658,M690&lt;=M702,M690&lt;=M698,M690&lt;=M694,N690&lt;=N693,N690&lt;=N692,N690&lt;=N691),1,0)</x:f>
        <x:v>0</x:v>
      </x:c>
      <x:c r="R690" s="42" t="n">
        <x:v>0</x:v>
      </x:c>
      <x:c r="S690" s="42" t="n">
        <x:v>0</x:v>
      </x:c>
    </x:row>
    <x:row r="691">
      <x:c r="A691" t="n">
        <x:v>11</x:v>
      </x:c>
      <x:c r="B691" t="n">
        <x:v>4</x:v>
      </x:c>
      <x:c r="C691" t="n">
        <x:v>1</x:v>
      </x:c>
      <x:c r="D691" t="n">
        <x:v>3</x:v>
      </x:c>
      <x:c r="E691" t="str">
        <x:v>vel</x:v>
      </x:c>
      <x:c r="F691" s="45" t="n">
        <x:f>2*$B691</x:f>
        <x:v>8</x:v>
      </x:c>
      <x:c r="G691" s="45" t="n">
        <x:f>1*$B691</x:f>
        <x:v>4</x:v>
      </x:c>
      <x:c r="H691" s="45" t="n">
        <x:f>1*$D691</x:f>
        <x:v>3</x:v>
      </x:c>
      <x:c r="I691" s="45" t="n">
        <x:f>0</x:f>
        <x:v>0</x:v>
      </x:c>
      <x:c r="J691" s="45" t="n">
        <x:f>0</x:f>
        <x:v>0</x:v>
      </x:c>
      <x:c r="K691" s="45" t="n">
        <x:f>0</x:f>
        <x:v>0</x:v>
      </x:c>
      <x:c r="L691" s="45" t="n">
        <x:f>F691+I691</x:f>
        <x:v>8</x:v>
      </x:c>
      <x:c r="M691" s="45" t="n">
        <x:f>G691+J691</x:f>
        <x:v>4</x:v>
      </x:c>
      <x:c r="N691" s="45" t="n">
        <x:f>H691+K691</x:f>
        <x:v>3</x:v>
      </x:c>
      <x:c r="O691" s="45" t="n">
        <x:f>SUM(F691:H691)</x:f>
        <x:v>15</x:v>
      </x:c>
      <x:c r="P691" s="42" t="n">
        <x:f>IF(AND(F691&lt;=F643,F691&lt;=F675,F691&lt;=F659,G691&lt;=G703,G691&lt;=G699,G691&lt;=G695,H691&lt;=H693,H691&lt;=H690,H691&lt;=H692),1,0)</x:f>
        <x:v>0</x:v>
      </x:c>
      <x:c r="Q691" s="42" t="n">
        <x:f>IF(AND(L691&lt;=L643,L691&lt;=L675,L691&lt;=L659,M691&lt;=M703,M691&lt;=M699,M691&lt;=M695,N691&lt;=N693,N691&lt;=N690,N691&lt;=N692),1,0)</x:f>
        <x:v>0</x:v>
      </x:c>
      <x:c r="R691" s="42" t="n">
        <x:v>0</x:v>
      </x:c>
      <x:c r="S691" s="42" t="n">
        <x:v>0</x:v>
      </x:c>
    </x:row>
    <x:row r="692">
      <x:c r="A692" t="n">
        <x:v>11</x:v>
      </x:c>
      <x:c r="B692" t="n">
        <x:v>4</x:v>
      </x:c>
      <x:c r="C692" t="n">
        <x:v>1</x:v>
      </x:c>
      <x:c r="D692" t="n">
        <x:v>3</x:v>
      </x:c>
      <x:c r="E692" t="str">
        <x:v>veo</x:v>
      </x:c>
      <x:c r="F692" s="45" t="n">
        <x:f>2*$B692</x:f>
        <x:v>8</x:v>
      </x:c>
      <x:c r="G692" s="45" t="n">
        <x:f>1*$B692</x:f>
        <x:v>4</x:v>
      </x:c>
      <x:c r="H692" s="45" t="n">
        <x:f>0</x:f>
        <x:v>0</x:v>
      </x:c>
      <x:c r="I692" s="45" t="n">
        <x:f>0</x:f>
        <x:v>0</x:v>
      </x:c>
      <x:c r="J692" s="45" t="n">
        <x:f>0</x:f>
        <x:v>0</x:v>
      </x:c>
      <x:c r="K692" s="45" t="n">
        <x:f>0</x:f>
        <x:v>0</x:v>
      </x:c>
      <x:c r="L692" s="45" t="n">
        <x:f>F692+I692</x:f>
        <x:v>8</x:v>
      </x:c>
      <x:c r="M692" s="45" t="n">
        <x:f>G692+J692</x:f>
        <x:v>4</x:v>
      </x:c>
      <x:c r="N692" s="45" t="n">
        <x:f>H692+K692</x:f>
        <x:v>0</x:v>
      </x:c>
      <x:c r="O692" s="45" t="n">
        <x:f>SUM(F692:H692)</x:f>
        <x:v>12</x:v>
      </x:c>
      <x:c r="P692" s="42" t="n">
        <x:f>IF(AND(F692&lt;=F644,F692&lt;=F676,F692&lt;=F660,G692&lt;=G704,G692&lt;=G700,G692&lt;=G696,H692&lt;=H693,H692&lt;=H690,H692&lt;=H691),1,0)</x:f>
        <x:v>0</x:v>
      </x:c>
      <x:c r="Q692" s="42" t="n">
        <x:f>IF(AND(L692&lt;=L644,L692&lt;=L676,L692&lt;=L660,M692&lt;=M704,M692&lt;=M700,M692&lt;=M696,N692&lt;=N693,N692&lt;=N690,N692&lt;=N691),1,0)</x:f>
        <x:v>0</x:v>
      </x:c>
      <x:c r="R692" s="42" t="n">
        <x:v>0</x:v>
      </x:c>
      <x:c r="S692" s="42" t="n">
        <x:v>0</x:v>
      </x:c>
    </x:row>
    <x:row r="693">
      <x:c r="A693" t="n">
        <x:v>11</x:v>
      </x:c>
      <x:c r="B693" t="n">
        <x:v>4</x:v>
      </x:c>
      <x:c r="C693" t="n">
        <x:v>1</x:v>
      </x:c>
      <x:c r="D693" t="n">
        <x:v>3</x:v>
      </x:c>
      <x:c r="E693" t="str">
        <x:v>vev</x:v>
      </x:c>
      <x:c r="F693" s="45" t="n">
        <x:f>(3/2)*$B693+(1/2)*$C693</x:f>
        <x:v>6.5</x:v>
      </x:c>
      <x:c r="G693" s="45" t="n">
        <x:f>1*$C693</x:f>
        <x:v>1</x:v>
      </x:c>
      <x:c r="H693" s="45" t="n">
        <x:f>(3/2)*$B693+(1/2)*$C693</x:f>
        <x:v>6.5</x:v>
      </x:c>
      <x:c r="I693" s="45" t="n">
        <x:f>MAX((3/2)*($C693-$B693),0)</x:f>
        <x:v>0</x:v>
      </x:c>
      <x:c r="J693" s="45" t="n">
        <x:f>0</x:f>
        <x:v>0</x:v>
      </x:c>
      <x:c r="K693" s="45" t="n">
        <x:f>MAX((3/2)*($C693-$B693),0)</x:f>
        <x:v>0</x:v>
      </x:c>
      <x:c r="L693" s="45" t="n">
        <x:f>F693+I693</x:f>
        <x:v>6.5</x:v>
      </x:c>
      <x:c r="M693" s="45" t="n">
        <x:f>G693+J693</x:f>
        <x:v>1</x:v>
      </x:c>
      <x:c r="N693" s="45" t="n">
        <x:f>H693+K693</x:f>
        <x:v>6.5</x:v>
      </x:c>
      <x:c r="O693" s="45" t="n">
        <x:f>SUM(F693:H693)</x:f>
        <x:v>14</x:v>
      </x:c>
      <x:c r="P693" s="42" t="n">
        <x:f>IF(AND(F693&lt;=F645,F693&lt;=F677,F693&lt;=F661,G693&lt;=G705,G693&lt;=G701,G693&lt;=G697,H693&lt;=H690,H693&lt;=H692,H693&lt;=H691),1,0)</x:f>
        <x:v>0</x:v>
      </x:c>
      <x:c r="Q693" s="42" t="n">
        <x:f>IF(AND(L693&lt;=L645,L693&lt;=L677,L693&lt;=L661,M693&lt;=M705,M693&lt;=M701,M693&lt;=M697,N693&lt;=N690,N693&lt;=N692,N693&lt;=N691),1,0)</x:f>
        <x:v>0</x:v>
      </x:c>
      <x:c r="R693" s="42" t="n">
        <x:v>0</x:v>
      </x:c>
      <x:c r="S693" s="42" t="n">
        <x:v>0</x:v>
      </x:c>
    </x:row>
    <x:row r="694">
      <x:c r="A694" t="n">
        <x:v>11</x:v>
      </x:c>
      <x:c r="B694" t="n">
        <x:v>4</x:v>
      </x:c>
      <x:c r="C694" t="n">
        <x:v>1</x:v>
      </x:c>
      <x:c r="D694" t="n">
        <x:v>3</x:v>
      </x:c>
      <x:c r="E694" t="str">
        <x:v>vle</x:v>
      </x:c>
      <x:c r="F694" s="45" t="n">
        <x:f>2*$B694</x:f>
        <x:v>8</x:v>
      </x:c>
      <x:c r="G694" s="45" t="n">
        <x:f>1*$D694</x:f>
        <x:v>3</x:v>
      </x:c>
      <x:c r="H694" s="45" t="n">
        <x:f>1*$B694</x:f>
        <x:v>4</x:v>
      </x:c>
      <x:c r="I694" s="45" t="n">
        <x:f>0</x:f>
        <x:v>0</x:v>
      </x:c>
      <x:c r="J694" s="45" t="n">
        <x:f>0</x:f>
        <x:v>0</x:v>
      </x:c>
      <x:c r="K694" s="45" t="n">
        <x:f>0</x:f>
        <x:v>0</x:v>
      </x:c>
      <x:c r="L694" s="45" t="n">
        <x:f>F694+I694</x:f>
        <x:v>8</x:v>
      </x:c>
      <x:c r="M694" s="45" t="n">
        <x:f>G694+J694</x:f>
        <x:v>3</x:v>
      </x:c>
      <x:c r="N694" s="45" t="n">
        <x:f>H694+K694</x:f>
        <x:v>4</x:v>
      </x:c>
      <x:c r="O694" s="45" t="n">
        <x:f>SUM(F694:H694)</x:f>
        <x:v>15</x:v>
      </x:c>
      <x:c r="P694" s="42" t="n">
        <x:f>IF(AND(F694&lt;=F646,F694&lt;=F678,F694&lt;=F662,G694&lt;=G702,G694&lt;=G690,G694&lt;=G698,H694&lt;=H697,H694&lt;=H696,H694&lt;=H695),1,0)</x:f>
        <x:v>0</x:v>
      </x:c>
      <x:c r="Q694" s="42" t="n">
        <x:f>IF(AND(L694&lt;=L646,L694&lt;=L678,L694&lt;=L662,M694&lt;=M702,M694&lt;=M690,M694&lt;=M698,N694&lt;=N697,N694&lt;=N696,N694&lt;=N695),1,0)</x:f>
        <x:v>0</x:v>
      </x:c>
      <x:c r="R694" s="42" t="n">
        <x:v>0</x:v>
      </x:c>
      <x:c r="S694" s="42" t="n">
        <x:v>0</x:v>
      </x:c>
    </x:row>
    <x:row r="695">
      <x:c r="A695" t="n">
        <x:v>11</x:v>
      </x:c>
      <x:c r="B695" t="n">
        <x:v>4</x:v>
      </x:c>
      <x:c r="C695" t="n">
        <x:v>1</x:v>
      </x:c>
      <x:c r="D695" t="n">
        <x:v>3</x:v>
      </x:c>
      <x:c r="E695" t="str">
        <x:v>vll</x:v>
      </x:c>
      <x:c r="F695" s="45" t="n">
        <x:f>2*$B695</x:f>
        <x:v>8</x:v>
      </x:c>
      <x:c r="G695" s="45" t="n">
        <x:f>(1/2)*$C695+(3/2)*$D695</x:f>
        <x:v>5</x:v>
      </x:c>
      <x:c r="H695" s="45" t="n">
        <x:f>(1/2)*$C695+(3/2)*$D695</x:f>
        <x:v>5</x:v>
      </x:c>
      <x:c r="I695" s="45" t="n">
        <x:f>0</x:f>
        <x:v>0</x:v>
      </x:c>
      <x:c r="J695" s="45" t="n">
        <x:f>(1/2)*($C695+$D695)</x:f>
        <x:v>2</x:v>
      </x:c>
      <x:c r="K695" s="45" t="n">
        <x:f>(1/2)*($C695+$D695)</x:f>
        <x:v>2</x:v>
      </x:c>
      <x:c r="L695" s="45" t="n">
        <x:f>F695+I695</x:f>
        <x:v>8</x:v>
      </x:c>
      <x:c r="M695" s="45" t="n">
        <x:f>G695+J695</x:f>
        <x:v>7</x:v>
      </x:c>
      <x:c r="N695" s="45" t="n">
        <x:f>H695+K695</x:f>
        <x:v>7</x:v>
      </x:c>
      <x:c r="O695" s="45" t="n">
        <x:f>SUM(F695:H695)</x:f>
        <x:v>18</x:v>
      </x:c>
      <x:c r="P695" s="42" t="n">
        <x:f>IF(AND(F695&lt;=F647,F695&lt;=F679,F695&lt;=F663,G695&lt;=G703,G695&lt;=G691,G695&lt;=G699,H695&lt;=H697,H695&lt;=H694,H695&lt;=H696),1,0)</x:f>
        <x:v>0</x:v>
      </x:c>
      <x:c r="Q695" s="42" t="n">
        <x:f>IF(AND(L695&lt;=L647,L695&lt;=L679,L695&lt;=L663,M695&lt;=M703,M695&lt;=M691,M695&lt;=M699,N695&lt;=N697,N695&lt;=N694,N695&lt;=N696),1,0)</x:f>
        <x:v>0</x:v>
      </x:c>
      <x:c r="R695" s="42" t="n">
        <x:v>0</x:v>
      </x:c>
      <x:c r="S695" s="42" t="n">
        <x:v>0</x:v>
      </x:c>
    </x:row>
    <x:row r="696">
      <x:c r="A696" t="n">
        <x:v>11</x:v>
      </x:c>
      <x:c r="B696" t="n">
        <x:v>4</x:v>
      </x:c>
      <x:c r="C696" t="n">
        <x:v>1</x:v>
      </x:c>
      <x:c r="D696" t="n">
        <x:v>3</x:v>
      </x:c>
      <x:c r="E696" t="str">
        <x:v>vlo</x:v>
      </x:c>
      <x:c r="F696" s="45" t="n">
        <x:f>2*$B696</x:f>
        <x:v>8</x:v>
      </x:c>
      <x:c r="G696" s="45" t="n">
        <x:f>1*$D696</x:f>
        <x:v>3</x:v>
      </x:c>
      <x:c r="H696" s="45" t="n">
        <x:f>0</x:f>
        <x:v>0</x:v>
      </x:c>
      <x:c r="I696" s="45" t="n">
        <x:f>0</x:f>
        <x:v>0</x:v>
      </x:c>
      <x:c r="J696" s="45" t="n">
        <x:f>0</x:f>
        <x:v>0</x:v>
      </x:c>
      <x:c r="K696" s="45" t="n">
        <x:f>0</x:f>
        <x:v>0</x:v>
      </x:c>
      <x:c r="L696" s="45" t="n">
        <x:f>F696+I696</x:f>
        <x:v>8</x:v>
      </x:c>
      <x:c r="M696" s="45" t="n">
        <x:f>G696+J696</x:f>
        <x:v>3</x:v>
      </x:c>
      <x:c r="N696" s="45" t="n">
        <x:f>H696+K696</x:f>
        <x:v>0</x:v>
      </x:c>
      <x:c r="O696" s="45" t="n">
        <x:f>SUM(F696:H696)</x:f>
        <x:v>11</x:v>
      </x:c>
      <x:c r="P696" s="42" t="n">
        <x:f>IF(AND(F696&lt;=F648,F696&lt;=F680,F696&lt;=F664,G696&lt;=G704,G696&lt;=G692,G696&lt;=G700,H696&lt;=H697,H696&lt;=H694,H696&lt;=H695),1,0)</x:f>
        <x:v>0</x:v>
      </x:c>
      <x:c r="Q696" s="42" t="n">
        <x:f>IF(AND(L696&lt;=L648,L696&lt;=L680,L696&lt;=L664,M696&lt;=M704,M696&lt;=M692,M696&lt;=M700,N696&lt;=N697,N696&lt;=N694,N696&lt;=N695),1,0)</x:f>
        <x:v>0</x:v>
      </x:c>
      <x:c r="R696" s="42" t="n">
        <x:v>0</x:v>
      </x:c>
      <x:c r="S696" s="42" t="n">
        <x:v>0</x:v>
      </x:c>
    </x:row>
    <x:row r="697">
      <x:c r="A697" t="n">
        <x:v>11</x:v>
      </x:c>
      <x:c r="B697" t="n">
        <x:v>4</x:v>
      </x:c>
      <x:c r="C697" t="n">
        <x:v>1</x:v>
      </x:c>
      <x:c r="D697" t="n">
        <x:v>3</x:v>
      </x:c>
      <x:c r="E697" t="str">
        <x:v>vlv</x:v>
      </x:c>
      <x:c r="F697" s="45" t="n">
        <x:f>(3/2)*$B697+(1/2)*$C697</x:f>
        <x:v>6.5</x:v>
      </x:c>
      <x:c r="G697" s="45" t="n">
        <x:f>1*$D697</x:f>
        <x:v>3</x:v>
      </x:c>
      <x:c r="H697" s="45" t="n">
        <x:f>(3/2)*$B697+(1/2)*$C697</x:f>
        <x:v>6.5</x:v>
      </x:c>
      <x:c r="I697" s="45" t="n">
        <x:f>MAX((1/2)*($C697-$B697),0)</x:f>
        <x:v>0</x:v>
      </x:c>
      <x:c r="J697" s="45" t="n">
        <x:f>0</x:f>
        <x:v>0</x:v>
      </x:c>
      <x:c r="K697" s="45" t="n">
        <x:f>MAX((1/2)*($C697-$B697),0)</x:f>
        <x:v>0</x:v>
      </x:c>
      <x:c r="L697" s="45" t="n">
        <x:f>F697+I697</x:f>
        <x:v>6.5</x:v>
      </x:c>
      <x:c r="M697" s="45" t="n">
        <x:f>G697+J697</x:f>
        <x:v>3</x:v>
      </x:c>
      <x:c r="N697" s="45" t="n">
        <x:f>H697+K697</x:f>
        <x:v>6.5</x:v>
      </x:c>
      <x:c r="O697" s="45" t="n">
        <x:f>SUM(F697:H697)</x:f>
        <x:v>16</x:v>
      </x:c>
      <x:c r="P697" s="42" t="n">
        <x:f>IF(AND(F697&lt;=F649,F697&lt;=F681,F697&lt;=F665,G697&lt;=G705,G697&lt;=G693,G697&lt;=G701,H697&lt;=H694,H697&lt;=H696,H697&lt;=H695),1,0)</x:f>
        <x:v>0</x:v>
      </x:c>
      <x:c r="Q697" s="42" t="n">
        <x:f>IF(AND(L697&lt;=L649,L697&lt;=L681,L697&lt;=L665,M697&lt;=M705,M697&lt;=M693,M697&lt;=M701,N697&lt;=N694,N697&lt;=N696,N697&lt;=N695),1,0)</x:f>
        <x:v>0</x:v>
      </x:c>
      <x:c r="R697" s="42" t="n">
        <x:v>0</x:v>
      </x:c>
      <x:c r="S697" s="42" t="n">
        <x:v>0</x:v>
      </x:c>
    </x:row>
    <x:row r="698">
      <x:c r="A698" t="n">
        <x:v>11</x:v>
      </x:c>
      <x:c r="B698" t="n">
        <x:v>4</x:v>
      </x:c>
      <x:c r="C698" t="n">
        <x:v>1</x:v>
      </x:c>
      <x:c r="D698" t="n">
        <x:v>3</x:v>
      </x:c>
      <x:c r="E698" t="str">
        <x:v>voe</x:v>
      </x:c>
      <x:c r="F698" s="45" t="n">
        <x:f>2*$B698</x:f>
        <x:v>8</x:v>
      </x:c>
      <x:c r="G698" s="45" t="n">
        <x:f>0</x:f>
        <x:v>0</x:v>
      </x:c>
      <x:c r="H698" s="45" t="n">
        <x:f>1*$B698</x:f>
        <x:v>4</x:v>
      </x:c>
      <x:c r="I698" s="45" t="n">
        <x:f>0</x:f>
        <x:v>0</x:v>
      </x:c>
      <x:c r="J698" s="45" t="n">
        <x:f>0</x:f>
        <x:v>0</x:v>
      </x:c>
      <x:c r="K698" s="45" t="n">
        <x:f>0</x:f>
        <x:v>0</x:v>
      </x:c>
      <x:c r="L698" s="45" t="n">
        <x:f>F698+I698</x:f>
        <x:v>8</x:v>
      </x:c>
      <x:c r="M698" s="45" t="n">
        <x:f>G698+J698</x:f>
        <x:v>0</x:v>
      </x:c>
      <x:c r="N698" s="45" t="n">
        <x:f>H698+K698</x:f>
        <x:v>4</x:v>
      </x:c>
      <x:c r="O698" s="45" t="n">
        <x:f>SUM(F698:H698)</x:f>
        <x:v>12</x:v>
      </x:c>
      <x:c r="P698" s="42" t="n">
        <x:f>IF(AND(F698&lt;=F650,F698&lt;=F682,F698&lt;=F666,G698&lt;=G702,G698&lt;=G690,G698&lt;=G694,H698&lt;=H701,H698&lt;=H700,H698&lt;=H699),1,0)</x:f>
        <x:v>0</x:v>
      </x:c>
      <x:c r="Q698" s="42" t="n">
        <x:f>IF(AND(L698&lt;=L650,L698&lt;=L682,L698&lt;=L666,M698&lt;=M702,M698&lt;=M690,M698&lt;=M694,N698&lt;=N701,N698&lt;=N700,N698&lt;=N699),1,0)</x:f>
        <x:v>0</x:v>
      </x:c>
      <x:c r="R698" s="42" t="n">
        <x:v>0</x:v>
      </x:c>
      <x:c r="S698" s="42" t="n">
        <x:v>0</x:v>
      </x:c>
    </x:row>
    <x:row r="699">
      <x:c r="A699" t="n">
        <x:v>11</x:v>
      </x:c>
      <x:c r="B699" t="n">
        <x:v>4</x:v>
      </x:c>
      <x:c r="C699" t="n">
        <x:v>1</x:v>
      </x:c>
      <x:c r="D699" t="n">
        <x:v>3</x:v>
      </x:c>
      <x:c r="E699" t="str">
        <x:v>vol</x:v>
      </x:c>
      <x:c r="F699" s="45" t="n">
        <x:f>2*$B699</x:f>
        <x:v>8</x:v>
      </x:c>
      <x:c r="G699" s="45" t="n">
        <x:f>0</x:f>
        <x:v>0</x:v>
      </x:c>
      <x:c r="H699" s="45" t="n">
        <x:f>1*$D699</x:f>
        <x:v>3</x:v>
      </x:c>
      <x:c r="I699" s="45" t="n">
        <x:f>0</x:f>
        <x:v>0</x:v>
      </x:c>
      <x:c r="J699" s="45" t="n">
        <x:f>0</x:f>
        <x:v>0</x:v>
      </x:c>
      <x:c r="K699" s="45" t="n">
        <x:f>0</x:f>
        <x:v>0</x:v>
      </x:c>
      <x:c r="L699" s="45" t="n">
        <x:f>F699+I699</x:f>
        <x:v>8</x:v>
      </x:c>
      <x:c r="M699" s="45" t="n">
        <x:f>G699+J699</x:f>
        <x:v>0</x:v>
      </x:c>
      <x:c r="N699" s="45" t="n">
        <x:f>H699+K699</x:f>
        <x:v>3</x:v>
      </x:c>
      <x:c r="O699" s="45" t="n">
        <x:f>SUM(F699:H699)</x:f>
        <x:v>11</x:v>
      </x:c>
      <x:c r="P699" s="42" t="n">
        <x:f>IF(AND(F699&lt;=F651,F699&lt;=F683,F699&lt;=F667,G699&lt;=G703,G699&lt;=G691,G699&lt;=G695,H699&lt;=H701,H699&lt;=H698,H699&lt;=H700),1,0)</x:f>
        <x:v>0</x:v>
      </x:c>
      <x:c r="Q699" s="42" t="n">
        <x:f>IF(AND(L699&lt;=L651,L699&lt;=L683,L699&lt;=L667,M699&lt;=M703,M699&lt;=M691,M699&lt;=M695,N699&lt;=N701,N699&lt;=N698,N699&lt;=N700),1,0)</x:f>
        <x:v>0</x:v>
      </x:c>
      <x:c r="R699" s="42" t="n">
        <x:v>0</x:v>
      </x:c>
      <x:c r="S699" s="42" t="n">
        <x:v>0</x:v>
      </x:c>
    </x:row>
    <x:row r="700">
      <x:c r="A700" t="n">
        <x:v>11</x:v>
      </x:c>
      <x:c r="B700" t="n">
        <x:v>4</x:v>
      </x:c>
      <x:c r="C700" t="n">
        <x:v>1</x:v>
      </x:c>
      <x:c r="D700" t="n">
        <x:v>3</x:v>
      </x:c>
      <x:c r="E700" t="str">
        <x:v>voo</x:v>
      </x:c>
      <x:c r="F700" s="45" t="n">
        <x:f>2*$B700</x:f>
        <x:v>8</x:v>
      </x:c>
      <x:c r="G700" s="45" t="n">
        <x:f>(1/2)*$C700+(1/2)*$D700</x:f>
        <x:v>2</x:v>
      </x:c>
      <x:c r="H700" s="45" t="n">
        <x:f>(1/2)*$C700+(1/2)*$D700</x:f>
        <x:v>2</x:v>
      </x:c>
      <x:c r="I700" s="45" t="n">
        <x:f>0</x:f>
        <x:v>0</x:v>
      </x:c>
      <x:c r="J700" s="45" t="n">
        <x:f>(1/2)*($C700+$D700)</x:f>
        <x:v>2</x:v>
      </x:c>
      <x:c r="K700" s="45" t="n">
        <x:f>(1/2)*($C700+$D700)</x:f>
        <x:v>2</x:v>
      </x:c>
      <x:c r="L700" s="45" t="n">
        <x:f>F700+I700</x:f>
        <x:v>8</x:v>
      </x:c>
      <x:c r="M700" s="45" t="n">
        <x:f>G700+J700</x:f>
        <x:v>4</x:v>
      </x:c>
      <x:c r="N700" s="45" t="n">
        <x:f>H700+K700</x:f>
        <x:v>4</x:v>
      </x:c>
      <x:c r="O700" s="45" t="n">
        <x:f>SUM(F700:H700)</x:f>
        <x:v>12</x:v>
      </x:c>
      <x:c r="P700" s="42" t="n">
        <x:f>IF(AND(F700&lt;=F652,F700&lt;=F684,F700&lt;=F668,G700&lt;=G704,G700&lt;=G692,G700&lt;=G696,H700&lt;=H701,H700&lt;=H698,H700&lt;=H699),1,0)</x:f>
        <x:v>0</x:v>
      </x:c>
      <x:c r="Q700" s="42" t="n">
        <x:f>IF(AND(L700&lt;=L652,L700&lt;=L684,L700&lt;=L668,M700&lt;=M704,M700&lt;=M692,M700&lt;=M696,N700&lt;=N701,N700&lt;=N698,N700&lt;=N699),1,0)</x:f>
        <x:v>0</x:v>
      </x:c>
      <x:c r="R700" s="42" t="n">
        <x:v>0</x:v>
      </x:c>
      <x:c r="S700" s="42" t="n">
        <x:v>0</x:v>
      </x:c>
    </x:row>
    <x:row r="701">
      <x:c r="A701" t="n">
        <x:v>11</x:v>
      </x:c>
      <x:c r="B701" t="n">
        <x:v>4</x:v>
      </x:c>
      <x:c r="C701" t="n">
        <x:v>1</x:v>
      </x:c>
      <x:c r="D701" t="n">
        <x:v>3</x:v>
      </x:c>
      <x:c r="E701" t="str">
        <x:v>vov</x:v>
      </x:c>
      <x:c r="F701" s="45" t="n">
        <x:f>(3/2)*$B701+(1/2)*$C701</x:f>
        <x:v>6.5</x:v>
      </x:c>
      <x:c r="G701" s="45" t="n">
        <x:f>0</x:f>
        <x:v>0</x:v>
      </x:c>
      <x:c r="H701" s="45" t="n">
        <x:f>(3/2)*$B701+(1/2)*$C701</x:f>
        <x:v>6.5</x:v>
      </x:c>
      <x:c r="I701" s="45" t="n">
        <x:f>MAX((1/2)*($C701-$B701),0)</x:f>
        <x:v>0</x:v>
      </x:c>
      <x:c r="J701" s="45" t="n">
        <x:f>0</x:f>
        <x:v>0</x:v>
      </x:c>
      <x:c r="K701" s="45" t="n">
        <x:f>MAX((1/2)*($C701-$B701),0)</x:f>
        <x:v>0</x:v>
      </x:c>
      <x:c r="L701" s="45" t="n">
        <x:f>F701+I701</x:f>
        <x:v>6.5</x:v>
      </x:c>
      <x:c r="M701" s="45" t="n">
        <x:f>G701+J701</x:f>
        <x:v>0</x:v>
      </x:c>
      <x:c r="N701" s="45" t="n">
        <x:f>H701+K701</x:f>
        <x:v>6.5</x:v>
      </x:c>
      <x:c r="O701" s="45" t="n">
        <x:f>SUM(F701:H701)</x:f>
        <x:v>13</x:v>
      </x:c>
      <x:c r="P701" s="42" t="n">
        <x:f>IF(AND(F701&lt;=F653,F701&lt;=F685,F701&lt;=F669,G701&lt;=G705,G701&lt;=G693,G701&lt;=G697,H701&lt;=H698,H701&lt;=H700,H701&lt;=H699),1,0)</x:f>
        <x:v>0</x:v>
      </x:c>
      <x:c r="Q701" s="42" t="n">
        <x:f>IF(AND(L701&lt;=L653,L701&lt;=L685,L701&lt;=L669,M701&lt;=M705,M701&lt;=M693,M701&lt;=M697,N701&lt;=N698,N701&lt;=N700,N701&lt;=N699),1,0)</x:f>
        <x:v>0</x:v>
      </x:c>
      <x:c r="R701" s="42" t="n">
        <x:v>0</x:v>
      </x:c>
      <x:c r="S701" s="42" t="n">
        <x:v>0</x:v>
      </x:c>
    </x:row>
    <x:row r="702">
      <x:c r="A702" t="n">
        <x:v>11</x:v>
      </x:c>
      <x:c r="B702" t="n">
        <x:v>4</x:v>
      </x:c>
      <x:c r="C702" t="n">
        <x:v>1</x:v>
      </x:c>
      <x:c r="D702" t="n">
        <x:v>3</x:v>
      </x:c>
      <x:c r="E702" t="str">
        <x:v>vve</x:v>
      </x:c>
      <x:c r="F702" s="45" t="n">
        <x:f>(3/2)*$B702+(1/2)*$C702</x:f>
        <x:v>6.5</x:v>
      </x:c>
      <x:c r="G702" s="45" t="n">
        <x:f>(3/2)*$B702+(1/2)*$C702</x:f>
        <x:v>6.5</x:v>
      </x:c>
      <x:c r="H702" s="45" t="n">
        <x:f>1*$C702</x:f>
        <x:v>1</x:v>
      </x:c>
      <x:c r="I702" s="45" t="n">
        <x:f>MAX((3/2)*($C702-$B702),0)</x:f>
        <x:v>0</x:v>
      </x:c>
      <x:c r="J702" s="45" t="n">
        <x:f>MAX((3/2)*($C702-$B702),0)</x:f>
        <x:v>0</x:v>
      </x:c>
      <x:c r="K702" s="45" t="n">
        <x:f>0</x:f>
        <x:v>0</x:v>
      </x:c>
      <x:c r="L702" s="45" t="n">
        <x:f>F702+I702</x:f>
        <x:v>6.5</x:v>
      </x:c>
      <x:c r="M702" s="45" t="n">
        <x:f>G702+J702</x:f>
        <x:v>6.5</x:v>
      </x:c>
      <x:c r="N702" s="45" t="n">
        <x:f>H702+K702</x:f>
        <x:v>1</x:v>
      </x:c>
      <x:c r="O702" s="45" t="n">
        <x:f>SUM(F702:H702)</x:f>
        <x:v>14</x:v>
      </x:c>
      <x:c r="P702" s="42" t="n">
        <x:f>IF(AND(F702&lt;=F654,F702&lt;=F686,F702&lt;=F670,G702&lt;=G690,G702&lt;=G698,G702&lt;=G694,H702&lt;=H705,H702&lt;=H704,H702&lt;=H703),1,0)</x:f>
        <x:v>0</x:v>
      </x:c>
      <x:c r="Q702" s="42" t="n">
        <x:f>IF(AND(L702&lt;=L654,L702&lt;=L686,L702&lt;=L670,M702&lt;=M690,M702&lt;=M698,M702&lt;=M694,N702&lt;=N705,N702&lt;=N704,N702&lt;=N703),1,0)</x:f>
        <x:v>0</x:v>
      </x:c>
      <x:c r="R702" s="42" t="n">
        <x:v>0</x:v>
      </x:c>
      <x:c r="S702" s="42" t="n">
        <x:v>0</x:v>
      </x:c>
    </x:row>
    <x:row r="703">
      <x:c r="A703" t="n">
        <x:v>11</x:v>
      </x:c>
      <x:c r="B703" t="n">
        <x:v>4</x:v>
      </x:c>
      <x:c r="C703" t="n">
        <x:v>1</x:v>
      </x:c>
      <x:c r="D703" t="n">
        <x:v>3</x:v>
      </x:c>
      <x:c r="E703" t="str">
        <x:v>vvl</x:v>
      </x:c>
      <x:c r="F703" s="45" t="n">
        <x:f>(3/2)*$B703+(1/2)*$C703</x:f>
        <x:v>6.5</x:v>
      </x:c>
      <x:c r="G703" s="45" t="n">
        <x:f>(3/2)*$B703+(1/2)*$C703</x:f>
        <x:v>6.5</x:v>
      </x:c>
      <x:c r="H703" s="45" t="n">
        <x:f>1*$D703</x:f>
        <x:v>3</x:v>
      </x:c>
      <x:c r="I703" s="45" t="n">
        <x:f>MAX((1/2)*($C703-$B703),0)</x:f>
        <x:v>0</x:v>
      </x:c>
      <x:c r="J703" s="45" t="n">
        <x:f>MAX((1/2)*($C703-$B703),0)</x:f>
        <x:v>0</x:v>
      </x:c>
      <x:c r="K703" s="45" t="n">
        <x:f>0</x:f>
        <x:v>0</x:v>
      </x:c>
      <x:c r="L703" s="45" t="n">
        <x:f>F703+I703</x:f>
        <x:v>6.5</x:v>
      </x:c>
      <x:c r="M703" s="45" t="n">
        <x:f>G703+J703</x:f>
        <x:v>6.5</x:v>
      </x:c>
      <x:c r="N703" s="45" t="n">
        <x:f>H703+K703</x:f>
        <x:v>3</x:v>
      </x:c>
      <x:c r="O703" s="45" t="n">
        <x:f>SUM(F703:H703)</x:f>
        <x:v>16</x:v>
      </x:c>
      <x:c r="P703" s="42" t="n">
        <x:f>IF(AND(F703&lt;=F655,F703&lt;=F687,F703&lt;=F671,G703&lt;=G691,G703&lt;=G699,G703&lt;=G695,H703&lt;=H705,H703&lt;=H702,H703&lt;=H704),1,0)</x:f>
        <x:v>0</x:v>
      </x:c>
      <x:c r="Q703" s="42" t="n">
        <x:f>IF(AND(L703&lt;=L655,L703&lt;=L687,L703&lt;=L671,M703&lt;=M691,M703&lt;=M699,M703&lt;=M695,N703&lt;=N705,N703&lt;=N702,N703&lt;=N704),1,0)</x:f>
        <x:v>0</x:v>
      </x:c>
      <x:c r="R703" s="42" t="n">
        <x:v>0</x:v>
      </x:c>
      <x:c r="S703" s="42" t="n">
        <x:v>0</x:v>
      </x:c>
    </x:row>
    <x:row r="704">
      <x:c r="A704" t="n">
        <x:v>11</x:v>
      </x:c>
      <x:c r="B704" t="n">
        <x:v>4</x:v>
      </x:c>
      <x:c r="C704" t="n">
        <x:v>1</x:v>
      </x:c>
      <x:c r="D704" t="n">
        <x:v>3</x:v>
      </x:c>
      <x:c r="E704" t="str">
        <x:v>vvo</x:v>
      </x:c>
      <x:c r="F704" s="45" t="n">
        <x:f>(3/2)*$B704+(1/2)*$C704</x:f>
        <x:v>6.5</x:v>
      </x:c>
      <x:c r="G704" s="45" t="n">
        <x:f>(3/2)*$B704+(1/2)*$C704</x:f>
        <x:v>6.5</x:v>
      </x:c>
      <x:c r="H704" s="45" t="n">
        <x:f>0</x:f>
        <x:v>0</x:v>
      </x:c>
      <x:c r="I704" s="45" t="n">
        <x:f>MAX((1/2)*($C704-$B704),0)</x:f>
        <x:v>0</x:v>
      </x:c>
      <x:c r="J704" s="45" t="n">
        <x:f>MAX((1/2)*($C704-$B704),0)</x:f>
        <x:v>0</x:v>
      </x:c>
      <x:c r="K704" s="45" t="n">
        <x:f>0</x:f>
        <x:v>0</x:v>
      </x:c>
      <x:c r="L704" s="45" t="n">
        <x:f>F704+I704</x:f>
        <x:v>6.5</x:v>
      </x:c>
      <x:c r="M704" s="45" t="n">
        <x:f>G704+J704</x:f>
        <x:v>6.5</x:v>
      </x:c>
      <x:c r="N704" s="45" t="n">
        <x:f>H704+K704</x:f>
        <x:v>0</x:v>
      </x:c>
      <x:c r="O704" s="45" t="n">
        <x:f>SUM(F704:H704)</x:f>
        <x:v>13</x:v>
      </x:c>
      <x:c r="P704" s="42" t="n">
        <x:f>IF(AND(F704&lt;=F656,F704&lt;=F688,F704&lt;=F672,G704&lt;=G692,G704&lt;=G700,G704&lt;=G696,H704&lt;=H705,H704&lt;=H702,H704&lt;=H703),1,0)</x:f>
        <x:v>0</x:v>
      </x:c>
      <x:c r="Q704" s="42" t="n">
        <x:f>IF(AND(L704&lt;=L656,L704&lt;=L688,L704&lt;=L672,M704&lt;=M692,M704&lt;=M700,M704&lt;=M696,N704&lt;=N705,N704&lt;=N702,N704&lt;=N703),1,0)</x:f>
        <x:v>0</x:v>
      </x:c>
      <x:c r="R704" s="42" t="n">
        <x:v>0</x:v>
      </x:c>
      <x:c r="S704" s="42" t="n">
        <x:v>0</x:v>
      </x:c>
    </x:row>
    <x:row r="705">
      <x:c r="A705" t="n">
        <x:v>11</x:v>
      </x:c>
      <x:c r="B705" t="n">
        <x:v>4</x:v>
      </x:c>
      <x:c r="C705" t="n">
        <x:v>1</x:v>
      </x:c>
      <x:c r="D705" t="n">
        <x:v>3</x:v>
      </x:c>
      <x:c r="E705" t="str">
        <x:v>vvv</x:v>
      </x:c>
      <x:c r="F705" s="45" t="n">
        <x:f>1*$B705+1*$C705</x:f>
        <x:v>5</x:v>
      </x:c>
      <x:c r="G705" s="45" t="n">
        <x:f>1*$B705+1*$C705</x:f>
        <x:v>5</x:v>
      </x:c>
      <x:c r="H705" s="45" t="n">
        <x:f>1*$B705+1*$C705</x:f>
        <x:v>5</x:v>
      </x:c>
      <x:c r="I705" s="45" t="n">
        <x:f>MAX($C705-$B705,0)</x:f>
        <x:v>0</x:v>
      </x:c>
      <x:c r="J705" s="45" t="n">
        <x:f>MAX($C705-$B705,0)</x:f>
        <x:v>0</x:v>
      </x:c>
      <x:c r="K705" s="45" t="n">
        <x:f>MAX($C705-$B705,0)</x:f>
        <x:v>0</x:v>
      </x:c>
      <x:c r="L705" s="45" t="n">
        <x:f>F705+I705</x:f>
        <x:v>5</x:v>
      </x:c>
      <x:c r="M705" s="45" t="n">
        <x:f>G705+J705</x:f>
        <x:v>5</x:v>
      </x:c>
      <x:c r="N705" s="45" t="n">
        <x:f>H705+K705</x:f>
        <x:v>5</x:v>
      </x:c>
      <x:c r="O705" s="45" t="n">
        <x:f>SUM(F705:H705)</x:f>
        <x:v>15</x:v>
      </x:c>
      <x:c r="P705" s="42" t="n">
        <x:f>IF(AND(F705&lt;=F657,F705&lt;=F689,F705&lt;=F673,G705&lt;=G693,G705&lt;=G701,G705&lt;=G697,H705&lt;=H702,H705&lt;=H704,H705&lt;=H703),1,0)</x:f>
        <x:v>0</x:v>
      </x:c>
      <x:c r="Q705" s="42" t="n">
        <x:f>IF(AND(L705&lt;=L657,L705&lt;=L689,L705&lt;=L673,M705&lt;=M693,M705&lt;=M701,M705&lt;=M697,N705&lt;=N702,N705&lt;=N704,N705&lt;=N703),1,0)</x:f>
        <x:v>0</x:v>
      </x:c>
      <x:c r="R705" s="42" t="n">
        <x:v>0</x:v>
      </x:c>
      <x:c r="S705" s="42" t="n">
        <x:v>0</x:v>
      </x:c>
    </x:row>
    <x:row r="706">
      <x:c r="A706" t="n">
        <x:v>12</x:v>
      </x:c>
      <x:c r="B706" t="n">
        <x:v>3</x:v>
      </x:c>
      <x:c r="C706" t="n">
        <x:v>0</x:v>
      </x:c>
      <x:c r="D706" t="n">
        <x:v>4</x:v>
      </x:c>
      <x:c r="E706" t="str">
        <x:v>eee</x:v>
      </x:c>
      <x:c r="F706" s="45" t="n">
        <x:f>(1/3)*$B706+1*$C706+(1/3)*$D706</x:f>
        <x:v>2.333333333333333</x:v>
      </x:c>
      <x:c r="G706" s="45" t="n">
        <x:f>(1/3)*$B706+1*$C706+(1/3)*$D706</x:f>
        <x:v>2.333333333333333</x:v>
      </x:c>
      <x:c r="H706" s="45" t="n">
        <x:f>(1/3)*$B706+1*$C706+(1/3)*$D706</x:f>
        <x:v>2.333333333333333</x:v>
      </x:c>
      <x:c r="I706" s="45" t="n">
        <x:f>MAX($C706+(2/3)*$D706-(1/3)*$B706,0)</x:f>
        <x:v>1.6666666666666665</x:v>
      </x:c>
      <x:c r="J706" s="45" t="n">
        <x:f>MAX($C706+(2/3)*$D706-(1/3)*$B706,0)</x:f>
        <x:v>1.6666666666666665</x:v>
      </x:c>
      <x:c r="K706" s="45" t="n">
        <x:f>MAX($C706+(2/3)*$D706-(1/3)*$B706,0)</x:f>
        <x:v>1.6666666666666665</x:v>
      </x:c>
      <x:c r="L706" s="45" t="n">
        <x:f>F706+I706</x:f>
        <x:v>3.9999999999999996</x:v>
      </x:c>
      <x:c r="M706" s="45" t="n">
        <x:f>G706+J706</x:f>
        <x:v>3.9999999999999996</x:v>
      </x:c>
      <x:c r="N706" s="45" t="n">
        <x:f>H706+K706</x:f>
        <x:v>3.9999999999999996</x:v>
      </x:c>
      <x:c r="O706" s="45" t="n">
        <x:f>SUM(F706:H706)</x:f>
        <x:v>6.999999999999999</x:v>
      </x:c>
      <x:c r="P706" s="42" t="n">
        <x:f>IF(AND(F706&lt;=F754,F706&lt;=F738,F706&lt;=F722,G706&lt;=G718,G706&lt;=G714,G706&lt;=G710,H706&lt;=H709,H706&lt;=H708,H706&lt;=H707),1,0)</x:f>
        <x:v>1</x:v>
      </x:c>
      <x:c r="Q706" s="42" t="n">
        <x:f>IF(AND(L706&lt;=L754,L706&lt;=L738,L706&lt;=L722,M706&lt;=M718,M706&lt;=M714,M706&lt;=M710,N706&lt;=N709,N706&lt;=N708,N706&lt;=N707),1,0)</x:f>
        <x:v>1</x:v>
      </x:c>
      <x:c r="R706" s="42" t="n">
        <x:v>1</x:v>
      </x:c>
      <x:c r="S706" s="42" t="n">
        <x:v>1</x:v>
      </x:c>
    </x:row>
    <x:row r="707">
      <x:c r="A707" t="n">
        <x:v>12</x:v>
      </x:c>
      <x:c r="B707" t="n">
        <x:v>3</x:v>
      </x:c>
      <x:c r="C707" t="n">
        <x:v>0</x:v>
      </x:c>
      <x:c r="D707" t="n">
        <x:v>4</x:v>
      </x:c>
      <x:c r="E707" t="str">
        <x:v>eel</x:v>
      </x:c>
      <x:c r="F707" s="45" t="n">
        <x:f>(1/2)*$B707+(1/2)*$C707</x:f>
        <x:v>1.5</x:v>
      </x:c>
      <x:c r="G707" s="45" t="n">
        <x:f>(1/2)*$B707+(1/2)*$C707</x:f>
        <x:v>1.5</x:v>
      </x:c>
      <x:c r="H707" s="45" t="n">
        <x:f>1*$D707</x:f>
        <x:v>4</x:v>
      </x:c>
      <x:c r="I707" s="45" t="n">
        <x:f>MAX((1/2)*($C707-$B707),0)</x:f>
        <x:v>0</x:v>
      </x:c>
      <x:c r="J707" s="45" t="n">
        <x:f>MAX((1/2)*($C707-$B707),0)</x:f>
        <x:v>0</x:v>
      </x:c>
      <x:c r="K707" s="45" t="n">
        <x:f>0</x:f>
        <x:v>0</x:v>
      </x:c>
      <x:c r="L707" s="45" t="n">
        <x:f>F707+I707</x:f>
        <x:v>1.5</x:v>
      </x:c>
      <x:c r="M707" s="45" t="n">
        <x:f>G707+J707</x:f>
        <x:v>1.5</x:v>
      </x:c>
      <x:c r="N707" s="45" t="n">
        <x:f>H707+K707</x:f>
        <x:v>4</x:v>
      </x:c>
      <x:c r="O707" s="45" t="n">
        <x:f>SUM(F707:H707)</x:f>
        <x:v>7</x:v>
      </x:c>
      <x:c r="P707" s="42" t="n">
        <x:f>IF(AND(F707&lt;=F755,F707&lt;=F739,F707&lt;=F723,G707&lt;=G719,G707&lt;=G715,G707&lt;=G711,H707&lt;=H709,H707&lt;=H706,H707&lt;=H708),1,0)</x:f>
        <x:v>0</x:v>
      </x:c>
      <x:c r="Q707" s="42" t="n">
        <x:f>IF(AND(L707&lt;=L755,L707&lt;=L739,L707&lt;=L723,M707&lt;=M719,M707&lt;=M715,M707&lt;=M711,N707&lt;=N709,N707&lt;=N706,N707&lt;=N708),1,0)</x:f>
        <x:v>0</x:v>
      </x:c>
      <x:c r="R707" s="42" t="n">
        <x:v>0</x:v>
      </x:c>
      <x:c r="S707" s="42" t="n">
        <x:v>0</x:v>
      </x:c>
    </x:row>
    <x:row r="708">
      <x:c r="A708" t="n">
        <x:v>12</x:v>
      </x:c>
      <x:c r="B708" t="n">
        <x:v>3</x:v>
      </x:c>
      <x:c r="C708" t="n">
        <x:v>0</x:v>
      </x:c>
      <x:c r="D708" t="n">
        <x:v>4</x:v>
      </x:c>
      <x:c r="E708" t="str">
        <x:v>eeo</x:v>
      </x:c>
      <x:c r="F708" s="45" t="n">
        <x:f>(1/2)*$B708+(1/2)*$C708</x:f>
        <x:v>1.5</x:v>
      </x:c>
      <x:c r="G708" s="45" t="n">
        <x:f>(1/2)*$B708+(1/2)*$C708</x:f>
        <x:v>1.5</x:v>
      </x:c>
      <x:c r="H708" s="45" t="n">
        <x:f>1*$C708+1*$D708</x:f>
        <x:v>4</x:v>
      </x:c>
      <x:c r="I708" s="45" t="n">
        <x:f>MAX((3/2)*$C708+$D708-(1/2)*$B708,0)</x:f>
        <x:v>2.5</x:v>
      </x:c>
      <x:c r="J708" s="45" t="n">
        <x:f>MAX((3/2)*$C708+$D708-(1/2)*$B708,0)</x:f>
        <x:v>2.5</x:v>
      </x:c>
      <x:c r="K708" s="45" t="n">
        <x:f>0</x:f>
        <x:v>0</x:v>
      </x:c>
      <x:c r="L708" s="45" t="n">
        <x:f>F708+I708</x:f>
        <x:v>4</x:v>
      </x:c>
      <x:c r="M708" s="45" t="n">
        <x:f>G708+J708</x:f>
        <x:v>4</x:v>
      </x:c>
      <x:c r="N708" s="45" t="n">
        <x:f>H708+K708</x:f>
        <x:v>4</x:v>
      </x:c>
      <x:c r="O708" s="45" t="n">
        <x:f>SUM(F708:H708)</x:f>
        <x:v>7</x:v>
      </x:c>
      <x:c r="P708" s="42" t="n">
        <x:f>IF(AND(F708&lt;=F756,F708&lt;=F740,F708&lt;=F724,G708&lt;=G720,G708&lt;=G716,G708&lt;=G712,H708&lt;=H709,H708&lt;=H706,H708&lt;=H707),1,0)</x:f>
        <x:v>0</x:v>
      </x:c>
      <x:c r="Q708" s="42" t="n">
        <x:f>IF(AND(L708&lt;=L756,L708&lt;=L740,L708&lt;=L724,M708&lt;=M720,M708&lt;=M716,M708&lt;=M712,N708&lt;=N709,N708&lt;=N706,N708&lt;=N707),1,0)</x:f>
        <x:v>1</x:v>
      </x:c>
      <x:c r="R708" s="42" t="n">
        <x:v>0</x:v>
      </x:c>
      <x:c r="S708" s="42" t="n">
        <x:v>1</x:v>
      </x:c>
    </x:row>
    <x:row r="709">
      <x:c r="A709" t="n">
        <x:v>12</x:v>
      </x:c>
      <x:c r="B709" t="n">
        <x:v>3</x:v>
      </x:c>
      <x:c r="C709" t="n">
        <x:v>0</x:v>
      </x:c>
      <x:c r="D709" t="n">
        <x:v>4</x:v>
      </x:c>
      <x:c r="E709" t="str">
        <x:v>eev</x:v>
      </x:c>
      <x:c r="F709" s="45" t="n">
        <x:f>(1/2)*$B709+(1/2)*$C709</x:f>
        <x:v>1.5</x:v>
      </x:c>
      <x:c r="G709" s="45" t="n">
        <x:f>(1/2)*$B709+(1/2)*$C709</x:f>
        <x:v>1.5</x:v>
      </x:c>
      <x:c r="H709" s="45" t="n">
        <x:f>2*$B709</x:f>
        <x:v>6</x:v>
      </x:c>
      <x:c r="I709" s="45" t="n">
        <x:f>MAX((1/2)*($C709-$B709),0)</x:f>
        <x:v>0</x:v>
      </x:c>
      <x:c r="J709" s="45" t="n">
        <x:f>MAX((1/2)*($C709-$B709),0)</x:f>
        <x:v>0</x:v>
      </x:c>
      <x:c r="K709" s="45" t="n">
        <x:f>0</x:f>
        <x:v>0</x:v>
      </x:c>
      <x:c r="L709" s="45" t="n">
        <x:f>F709+I709</x:f>
        <x:v>1.5</x:v>
      </x:c>
      <x:c r="M709" s="45" t="n">
        <x:f>G709+J709</x:f>
        <x:v>1.5</x:v>
      </x:c>
      <x:c r="N709" s="45" t="n">
        <x:f>H709+K709</x:f>
        <x:v>6</x:v>
      </x:c>
      <x:c r="O709" s="45" t="n">
        <x:f>SUM(F709:H709)</x:f>
        <x:v>9</x:v>
      </x:c>
      <x:c r="P709" s="42" t="n">
        <x:f>IF(AND(F709&lt;=F757,F709&lt;=F741,F709&lt;=F725,G709&lt;=G721,G709&lt;=G717,G709&lt;=G713,H709&lt;=H706,H709&lt;=H708,H709&lt;=H707),1,0)</x:f>
        <x:v>0</x:v>
      </x:c>
      <x:c r="Q709" s="42" t="n">
        <x:f>IF(AND(L709&lt;=L757,L709&lt;=L741,L709&lt;=L725,M709&lt;=M721,M709&lt;=M717,M709&lt;=M713,N709&lt;=N706,N709&lt;=N708,N709&lt;=N707),1,0)</x:f>
        <x:v>0</x:v>
      </x:c>
      <x:c r="R709" s="42" t="n">
        <x:v>0</x:v>
      </x:c>
      <x:c r="S709" s="42" t="n">
        <x:v>0</x:v>
      </x:c>
    </x:row>
    <x:row r="710">
      <x:c r="A710" t="n">
        <x:v>12</x:v>
      </x:c>
      <x:c r="B710" t="n">
        <x:v>3</x:v>
      </x:c>
      <x:c r="C710" t="n">
        <x:v>0</x:v>
      </x:c>
      <x:c r="D710" t="n">
        <x:v>4</x:v>
      </x:c>
      <x:c r="E710" t="str">
        <x:v>ele</x:v>
      </x:c>
      <x:c r="F710" s="45" t="n">
        <x:f>(1/2)*$B710+(1/2)*$C710</x:f>
        <x:v>1.5</x:v>
      </x:c>
      <x:c r="G710" s="45" t="n">
        <x:f>1*$D710</x:f>
        <x:v>4</x:v>
      </x:c>
      <x:c r="H710" s="45" t="n">
        <x:f>(1/2)*$B710+(1/2)*$C710</x:f>
        <x:v>1.5</x:v>
      </x:c>
      <x:c r="I710" s="45" t="n">
        <x:f>MAX((1/2)*($C710-$B710),0)</x:f>
        <x:v>0</x:v>
      </x:c>
      <x:c r="J710" s="45" t="n">
        <x:f>0</x:f>
        <x:v>0</x:v>
      </x:c>
      <x:c r="K710" s="45" t="n">
        <x:f>MAX((1/2)*($C710-$B710),0)</x:f>
        <x:v>0</x:v>
      </x:c>
      <x:c r="L710" s="45" t="n">
        <x:f>F710+I710</x:f>
        <x:v>1.5</x:v>
      </x:c>
      <x:c r="M710" s="45" t="n">
        <x:f>G710+J710</x:f>
        <x:v>4</x:v>
      </x:c>
      <x:c r="N710" s="45" t="n">
        <x:f>H710+K710</x:f>
        <x:v>1.5</x:v>
      </x:c>
      <x:c r="O710" s="45" t="n">
        <x:f>SUM(F710:H710)</x:f>
        <x:v>7</x:v>
      </x:c>
      <x:c r="P710" s="42" t="n">
        <x:f>IF(AND(F710&lt;=F758,F710&lt;=F742,F710&lt;=F726,G710&lt;=G718,G710&lt;=G706,G710&lt;=G714,H710&lt;=H713,H710&lt;=H712,H710&lt;=H711),1,0)</x:f>
        <x:v>0</x:v>
      </x:c>
      <x:c r="Q710" s="42" t="n">
        <x:f>IF(AND(L710&lt;=L758,L710&lt;=L742,L710&lt;=L726,M710&lt;=M718,M710&lt;=M706,M710&lt;=M714,N710&lt;=N713,N710&lt;=N712,N710&lt;=N711),1,0)</x:f>
        <x:v>0</x:v>
      </x:c>
      <x:c r="R710" s="42" t="n">
        <x:v>0</x:v>
      </x:c>
      <x:c r="S710" s="42" t="n">
        <x:v>0</x:v>
      </x:c>
    </x:row>
    <x:row r="711">
      <x:c r="A711" t="n">
        <x:v>12</x:v>
      </x:c>
      <x:c r="B711" t="n">
        <x:v>3</x:v>
      </x:c>
      <x:c r="C711" t="n">
        <x:v>0</x:v>
      </x:c>
      <x:c r="D711" t="n">
        <x:v>4</x:v>
      </x:c>
      <x:c r="E711" t="str">
        <x:v>ell</x:v>
      </x:c>
      <x:c r="F711" s="45" t="n">
        <x:f>1*$B711</x:f>
        <x:v>3</x:v>
      </x:c>
      <x:c r="G711" s="45" t="n">
        <x:f>(1/2)*$C711+(3/2)*$D711</x:f>
        <x:v>6</x:v>
      </x:c>
      <x:c r="H711" s="45" t="n">
        <x:f>(1/2)*$C711+(3/2)*$D711</x:f>
        <x:v>6</x:v>
      </x:c>
      <x:c r="I711" s="45" t="n">
        <x:f>0</x:f>
        <x:v>0</x:v>
      </x:c>
      <x:c r="J711" s="45" t="n">
        <x:f>(1/2)*($C711+$D711)</x:f>
        <x:v>2</x:v>
      </x:c>
      <x:c r="K711" s="45" t="n">
        <x:f>(1/2)*($C711+$D711)</x:f>
        <x:v>2</x:v>
      </x:c>
      <x:c r="L711" s="45" t="n">
        <x:f>F711+I711</x:f>
        <x:v>3</x:v>
      </x:c>
      <x:c r="M711" s="45" t="n">
        <x:f>G711+J711</x:f>
        <x:v>8</x:v>
      </x:c>
      <x:c r="N711" s="45" t="n">
        <x:f>H711+K711</x:f>
        <x:v>8</x:v>
      </x:c>
      <x:c r="O711" s="45" t="n">
        <x:f>SUM(F711:H711)</x:f>
        <x:v>15</x:v>
      </x:c>
      <x:c r="P711" s="42" t="n">
        <x:f>IF(AND(F711&lt;=F759,F711&lt;=F743,F711&lt;=F727,G711&lt;=G719,G711&lt;=G707,G711&lt;=G715,H711&lt;=H713,H711&lt;=H710,H711&lt;=H712),1,0)</x:f>
        <x:v>0</x:v>
      </x:c>
      <x:c r="Q711" s="42" t="n">
        <x:f>IF(AND(L711&lt;=L759,L711&lt;=L743,L711&lt;=L727,M711&lt;=M719,M711&lt;=M707,M711&lt;=M715,N711&lt;=N713,N711&lt;=N710,N711&lt;=N712),1,0)</x:f>
        <x:v>0</x:v>
      </x:c>
      <x:c r="R711" s="42" t="n">
        <x:v>0</x:v>
      </x:c>
      <x:c r="S711" s="42" t="n">
        <x:v>0</x:v>
      </x:c>
    </x:row>
    <x:row r="712">
      <x:c r="A712" t="n">
        <x:v>12</x:v>
      </x:c>
      <x:c r="B712" t="n">
        <x:v>3</x:v>
      </x:c>
      <x:c r="C712" t="n">
        <x:v>0</x:v>
      </x:c>
      <x:c r="D712" t="n">
        <x:v>4</x:v>
      </x:c>
      <x:c r="E712" t="str">
        <x:v>elo</x:v>
      </x:c>
      <x:c r="F712" s="45" t="n">
        <x:f>1*$B712</x:f>
        <x:v>3</x:v>
      </x:c>
      <x:c r="G712" s="45" t="n">
        <x:f>1*$D712</x:f>
        <x:v>4</x:v>
      </x:c>
      <x:c r="H712" s="45" t="n">
        <x:f>0</x:f>
        <x:v>0</x:v>
      </x:c>
      <x:c r="I712" s="45" t="n">
        <x:f>0</x:f>
        <x:v>0</x:v>
      </x:c>
      <x:c r="J712" s="45" t="n">
        <x:f>0</x:f>
        <x:v>0</x:v>
      </x:c>
      <x:c r="K712" s="45" t="n">
        <x:f>0</x:f>
        <x:v>0</x:v>
      </x:c>
      <x:c r="L712" s="45" t="n">
        <x:f>F712+I712</x:f>
        <x:v>3</x:v>
      </x:c>
      <x:c r="M712" s="45" t="n">
        <x:f>G712+J712</x:f>
        <x:v>4</x:v>
      </x:c>
      <x:c r="N712" s="45" t="n">
        <x:f>H712+K712</x:f>
        <x:v>0</x:v>
      </x:c>
      <x:c r="O712" s="45" t="n">
        <x:f>SUM(F712:H712)</x:f>
        <x:v>7</x:v>
      </x:c>
      <x:c r="P712" s="42" t="n">
        <x:f>IF(AND(F712&lt;=F760,F712&lt;=F744,F712&lt;=F728,G712&lt;=G720,G712&lt;=G708,G712&lt;=G716,H712&lt;=H713,H712&lt;=H710,H712&lt;=H711),1,0)</x:f>
        <x:v>0</x:v>
      </x:c>
      <x:c r="Q712" s="42" t="n">
        <x:f>IF(AND(L712&lt;=L760,L712&lt;=L744,L712&lt;=L728,M712&lt;=M720,M712&lt;=M708,M712&lt;=M716,N712&lt;=N713,N712&lt;=N710,N712&lt;=N711),1,0)</x:f>
        <x:v>1</x:v>
      </x:c>
      <x:c r="R712" s="42" t="n">
        <x:v>0</x:v>
      </x:c>
      <x:c r="S712" s="42" t="n">
        <x:v>1</x:v>
      </x:c>
    </x:row>
    <x:row r="713">
      <x:c r="A713" t="n">
        <x:v>12</x:v>
      </x:c>
      <x:c r="B713" t="n">
        <x:v>3</x:v>
      </x:c>
      <x:c r="C713" t="n">
        <x:v>0</x:v>
      </x:c>
      <x:c r="D713" t="n">
        <x:v>4</x:v>
      </x:c>
      <x:c r="E713" t="str">
        <x:v>elv</x:v>
      </x:c>
      <x:c r="F713" s="45" t="n">
        <x:f>1*$B713</x:f>
        <x:v>3</x:v>
      </x:c>
      <x:c r="G713" s="45" t="n">
        <x:f>1*$D713</x:f>
        <x:v>4</x:v>
      </x:c>
      <x:c r="H713" s="45" t="n">
        <x:f>2*$B713</x:f>
        <x:v>6</x:v>
      </x:c>
      <x:c r="I713" s="45" t="n">
        <x:f>0</x:f>
        <x:v>0</x:v>
      </x:c>
      <x:c r="J713" s="45" t="n">
        <x:f>0</x:f>
        <x:v>0</x:v>
      </x:c>
      <x:c r="K713" s="45" t="n">
        <x:f>0</x:f>
        <x:v>0</x:v>
      </x:c>
      <x:c r="L713" s="45" t="n">
        <x:f>F713+I713</x:f>
        <x:v>3</x:v>
      </x:c>
      <x:c r="M713" s="45" t="n">
        <x:f>G713+J713</x:f>
        <x:v>4</x:v>
      </x:c>
      <x:c r="N713" s="45" t="n">
        <x:f>H713+K713</x:f>
        <x:v>6</x:v>
      </x:c>
      <x:c r="O713" s="45" t="n">
        <x:f>SUM(F713:H713)</x:f>
        <x:v>13</x:v>
      </x:c>
      <x:c r="P713" s="42" t="n">
        <x:f>IF(AND(F713&lt;=F761,F713&lt;=F745,F713&lt;=F729,G713&lt;=G721,G713&lt;=G709,G713&lt;=G717,H713&lt;=H710,H713&lt;=H712,H713&lt;=H711),1,0)</x:f>
        <x:v>0</x:v>
      </x:c>
      <x:c r="Q713" s="42" t="n">
        <x:f>IF(AND(L713&lt;=L761,L713&lt;=L745,L713&lt;=L729,M713&lt;=M721,M713&lt;=M709,M713&lt;=M717,N713&lt;=N710,N713&lt;=N712,N713&lt;=N711),1,0)</x:f>
        <x:v>0</x:v>
      </x:c>
      <x:c r="R713" s="42" t="n">
        <x:v>0</x:v>
      </x:c>
      <x:c r="S713" s="42" t="n">
        <x:v>0</x:v>
      </x:c>
    </x:row>
    <x:row r="714">
      <x:c r="A714" t="n">
        <x:v>12</x:v>
      </x:c>
      <x:c r="B714" t="n">
        <x:v>3</x:v>
      </x:c>
      <x:c r="C714" t="n">
        <x:v>0</x:v>
      </x:c>
      <x:c r="D714" t="n">
        <x:v>4</x:v>
      </x:c>
      <x:c r="E714" t="str">
        <x:v>eoe</x:v>
      </x:c>
      <x:c r="F714" s="45" t="n">
        <x:f>(1/2)*$B714+(1/2)*$C714</x:f>
        <x:v>1.5</x:v>
      </x:c>
      <x:c r="G714" s="45" t="n">
        <x:f>1*$C714+1*$D714</x:f>
        <x:v>4</x:v>
      </x:c>
      <x:c r="H714" s="45" t="n">
        <x:f>(1/2)*$B714+(1/2)*$C714</x:f>
        <x:v>1.5</x:v>
      </x:c>
      <x:c r="I714" s="45" t="n">
        <x:f>MAX((3/2)*$C714+$D714-(1/2)*$B714,0)</x:f>
        <x:v>2.5</x:v>
      </x:c>
      <x:c r="J714" s="45" t="n">
        <x:f>0</x:f>
        <x:v>0</x:v>
      </x:c>
      <x:c r="K714" s="45" t="n">
        <x:f>MAX((3/2)*$C714+$D714-(1/2)*$B714,0)</x:f>
        <x:v>2.5</x:v>
      </x:c>
      <x:c r="L714" s="45" t="n">
        <x:f>F714+I714</x:f>
        <x:v>4</x:v>
      </x:c>
      <x:c r="M714" s="45" t="n">
        <x:f>G714+J714</x:f>
        <x:v>4</x:v>
      </x:c>
      <x:c r="N714" s="45" t="n">
        <x:f>H714+K714</x:f>
        <x:v>4</x:v>
      </x:c>
      <x:c r="O714" s="45" t="n">
        <x:f>SUM(F714:H714)</x:f>
        <x:v>7</x:v>
      </x:c>
      <x:c r="P714" s="42" t="n">
        <x:f>IF(AND(F714&lt;=F762,F714&lt;=F746,F714&lt;=F730,G714&lt;=G718,G714&lt;=G706,G714&lt;=G710,H714&lt;=H717,H714&lt;=H716,H714&lt;=H715),1,0)</x:f>
        <x:v>0</x:v>
      </x:c>
      <x:c r="Q714" s="42" t="n">
        <x:f>IF(AND(L714&lt;=L762,L714&lt;=L746,L714&lt;=L730,M714&lt;=M718,M714&lt;=M706,M714&lt;=M710,N714&lt;=N717,N714&lt;=N716,N714&lt;=N715),1,0)</x:f>
        <x:v>1</x:v>
      </x:c>
      <x:c r="R714" s="42" t="n">
        <x:v>0</x:v>
      </x:c>
      <x:c r="S714" s="42" t="n">
        <x:v>1</x:v>
      </x:c>
    </x:row>
    <x:row r="715">
      <x:c r="A715" t="n">
        <x:v>12</x:v>
      </x:c>
      <x:c r="B715" t="n">
        <x:v>3</x:v>
      </x:c>
      <x:c r="C715" t="n">
        <x:v>0</x:v>
      </x:c>
      <x:c r="D715" t="n">
        <x:v>4</x:v>
      </x:c>
      <x:c r="E715" t="str">
        <x:v>eol</x:v>
      </x:c>
      <x:c r="F715" s="45" t="n">
        <x:f>1*$B715</x:f>
        <x:v>3</x:v>
      </x:c>
      <x:c r="G715" s="45" t="n">
        <x:f>0</x:f>
        <x:v>0</x:v>
      </x:c>
      <x:c r="H715" s="45" t="n">
        <x:f>1*$D715</x:f>
        <x:v>4</x:v>
      </x:c>
      <x:c r="I715" s="45" t="n">
        <x:f>0</x:f>
        <x:v>0</x:v>
      </x:c>
      <x:c r="J715" s="45" t="n">
        <x:f>0</x:f>
        <x:v>0</x:v>
      </x:c>
      <x:c r="K715" s="45" t="n">
        <x:f>0</x:f>
        <x:v>0</x:v>
      </x:c>
      <x:c r="L715" s="45" t="n">
        <x:f>F715+I715</x:f>
        <x:v>3</x:v>
      </x:c>
      <x:c r="M715" s="45" t="n">
        <x:f>G715+J715</x:f>
        <x:v>0</x:v>
      </x:c>
      <x:c r="N715" s="45" t="n">
        <x:f>H715+K715</x:f>
        <x:v>4</x:v>
      </x:c>
      <x:c r="O715" s="45" t="n">
        <x:f>SUM(F715:H715)</x:f>
        <x:v>7</x:v>
      </x:c>
      <x:c r="P715" s="42" t="n">
        <x:f>IF(AND(F715&lt;=F763,F715&lt;=F747,F715&lt;=F731,G715&lt;=G719,G715&lt;=G707,G715&lt;=G711,H715&lt;=H717,H715&lt;=H714,H715&lt;=H716),1,0)</x:f>
        <x:v>0</x:v>
      </x:c>
      <x:c r="Q715" s="42" t="n">
        <x:f>IF(AND(L715&lt;=L763,L715&lt;=L747,L715&lt;=L731,M715&lt;=M719,M715&lt;=M707,M715&lt;=M711,N715&lt;=N717,N715&lt;=N714,N715&lt;=N716),1,0)</x:f>
        <x:v>1</x:v>
      </x:c>
      <x:c r="R715" s="42" t="n">
        <x:v>0</x:v>
      </x:c>
      <x:c r="S715" s="42" t="n">
        <x:v>1</x:v>
      </x:c>
    </x:row>
    <x:row r="716">
      <x:c r="A716" t="n">
        <x:v>12</x:v>
      </x:c>
      <x:c r="B716" t="n">
        <x:v>3</x:v>
      </x:c>
      <x:c r="C716" t="n">
        <x:v>0</x:v>
      </x:c>
      <x:c r="D716" t="n">
        <x:v>4</x:v>
      </x:c>
      <x:c r="E716" t="str">
        <x:v>eoo</x:v>
      </x:c>
      <x:c r="F716" s="45" t="n">
        <x:f>1*$B716</x:f>
        <x:v>3</x:v>
      </x:c>
      <x:c r="G716" s="45" t="n">
        <x:f>(1/2)*$C716+(1/2)*$D716</x:f>
        <x:v>2</x:v>
      </x:c>
      <x:c r="H716" s="45" t="n">
        <x:f>(1/2)*$C716+(1/2)*$D716</x:f>
        <x:v>2</x:v>
      </x:c>
      <x:c r="I716" s="45" t="n">
        <x:f>0</x:f>
        <x:v>0</x:v>
      </x:c>
      <x:c r="J716" s="45" t="n">
        <x:f>(1/2)*($C716+$D716)</x:f>
        <x:v>2</x:v>
      </x:c>
      <x:c r="K716" s="45" t="n">
        <x:f>(1/2)*($C716+$D716)</x:f>
        <x:v>2</x:v>
      </x:c>
      <x:c r="L716" s="45" t="n">
        <x:f>F716+I716</x:f>
        <x:v>3</x:v>
      </x:c>
      <x:c r="M716" s="45" t="n">
        <x:f>G716+J716</x:f>
        <x:v>4</x:v>
      </x:c>
      <x:c r="N716" s="45" t="n">
        <x:f>H716+K716</x:f>
        <x:v>4</x:v>
      </x:c>
      <x:c r="O716" s="45" t="n">
        <x:f>SUM(F716:H716)</x:f>
        <x:v>7</x:v>
      </x:c>
      <x:c r="P716" s="42" t="n">
        <x:f>IF(AND(F716&lt;=F764,F716&lt;=F748,F716&lt;=F732,G716&lt;=G720,G716&lt;=G708,G716&lt;=G712,H716&lt;=H717,H716&lt;=H714,H716&lt;=H715),1,0)</x:f>
        <x:v>0</x:v>
      </x:c>
      <x:c r="Q716" s="42" t="n">
        <x:f>IF(AND(L716&lt;=L764,L716&lt;=L748,L716&lt;=L732,M716&lt;=M720,M716&lt;=M708,M716&lt;=M712,N716&lt;=N717,N716&lt;=N714,N716&lt;=N715),1,0)</x:f>
        <x:v>1</x:v>
      </x:c>
      <x:c r="R716" s="42" t="n">
        <x:v>0</x:v>
      </x:c>
      <x:c r="S716" s="42" t="n">
        <x:v>1</x:v>
      </x:c>
    </x:row>
    <x:row r="717">
      <x:c r="A717" t="n">
        <x:v>12</x:v>
      </x:c>
      <x:c r="B717" t="n">
        <x:v>3</x:v>
      </x:c>
      <x:c r="C717" t="n">
        <x:v>0</x:v>
      </x:c>
      <x:c r="D717" t="n">
        <x:v>4</x:v>
      </x:c>
      <x:c r="E717" t="str">
        <x:v>eov</x:v>
      </x:c>
      <x:c r="F717" s="45" t="n">
        <x:f>1*$B717</x:f>
        <x:v>3</x:v>
      </x:c>
      <x:c r="G717" s="45" t="n">
        <x:f>0</x:f>
        <x:v>0</x:v>
      </x:c>
      <x:c r="H717" s="45" t="n">
        <x:f>2*$B717</x:f>
        <x:v>6</x:v>
      </x:c>
      <x:c r="I717" s="45" t="n">
        <x:f>0</x:f>
        <x:v>0</x:v>
      </x:c>
      <x:c r="J717" s="45" t="n">
        <x:f>0</x:f>
        <x:v>0</x:v>
      </x:c>
      <x:c r="K717" s="45" t="n">
        <x:f>0</x:f>
        <x:v>0</x:v>
      </x:c>
      <x:c r="L717" s="45" t="n">
        <x:f>F717+I717</x:f>
        <x:v>3</x:v>
      </x:c>
      <x:c r="M717" s="45" t="n">
        <x:f>G717+J717</x:f>
        <x:v>0</x:v>
      </x:c>
      <x:c r="N717" s="45" t="n">
        <x:f>H717+K717</x:f>
        <x:v>6</x:v>
      </x:c>
      <x:c r="O717" s="45" t="n">
        <x:f>SUM(F717:H717)</x:f>
        <x:v>9</x:v>
      </x:c>
      <x:c r="P717" s="42" t="n">
        <x:f>IF(AND(F717&lt;=F765,F717&lt;=F749,F717&lt;=F733,G717&lt;=G721,G717&lt;=G709,G717&lt;=G713,H717&lt;=H714,H717&lt;=H716,H717&lt;=H715),1,0)</x:f>
        <x:v>0</x:v>
      </x:c>
      <x:c r="Q717" s="42" t="n">
        <x:f>IF(AND(L717&lt;=L765,L717&lt;=L749,L717&lt;=L733,M717&lt;=M721,M717&lt;=M709,M717&lt;=M713,N717&lt;=N714,N717&lt;=N716,N717&lt;=N715),1,0)</x:f>
        <x:v>0</x:v>
      </x:c>
      <x:c r="R717" s="42" t="n">
        <x:v>0</x:v>
      </x:c>
      <x:c r="S717" s="42" t="n">
        <x:v>0</x:v>
      </x:c>
    </x:row>
    <x:row r="718">
      <x:c r="A718" t="n">
        <x:v>12</x:v>
      </x:c>
      <x:c r="B718" t="n">
        <x:v>3</x:v>
      </x:c>
      <x:c r="C718" t="n">
        <x:v>0</x:v>
      </x:c>
      <x:c r="D718" t="n">
        <x:v>4</x:v>
      </x:c>
      <x:c r="E718" t="str">
        <x:v>eve</x:v>
      </x:c>
      <x:c r="F718" s="45" t="n">
        <x:f>(1/2)*$B718+(1/2)*$C718</x:f>
        <x:v>1.5</x:v>
      </x:c>
      <x:c r="G718" s="45" t="n">
        <x:f>2*$B718</x:f>
        <x:v>6</x:v>
      </x:c>
      <x:c r="H718" s="45" t="n">
        <x:f>(1/2)*$B718+(1/2)*$C718</x:f>
        <x:v>1.5</x:v>
      </x:c>
      <x:c r="I718" s="45" t="n">
        <x:f>MAX((1/2)*($C718-$B718),0)</x:f>
        <x:v>0</x:v>
      </x:c>
      <x:c r="J718" s="45" t="n">
        <x:f>0</x:f>
        <x:v>0</x:v>
      </x:c>
      <x:c r="K718" s="45" t="n">
        <x:f>MAX((1/2)*($C718-$B718),0)</x:f>
        <x:v>0</x:v>
      </x:c>
      <x:c r="L718" s="45" t="n">
        <x:f>F718+I718</x:f>
        <x:v>1.5</x:v>
      </x:c>
      <x:c r="M718" s="45" t="n">
        <x:f>G718+J718</x:f>
        <x:v>6</x:v>
      </x:c>
      <x:c r="N718" s="45" t="n">
        <x:f>H718+K718</x:f>
        <x:v>1.5</x:v>
      </x:c>
      <x:c r="O718" s="45" t="n">
        <x:f>SUM(F718:H718)</x:f>
        <x:v>9</x:v>
      </x:c>
      <x:c r="P718" s="42" t="n">
        <x:f>IF(AND(F718&lt;=F766,F718&lt;=F750,F718&lt;=F734,G718&lt;=G706,G718&lt;=G714,G718&lt;=G710,H718&lt;=H721,H718&lt;=H720,H718&lt;=H719),1,0)</x:f>
        <x:v>0</x:v>
      </x:c>
      <x:c r="Q718" s="42" t="n">
        <x:f>IF(AND(L718&lt;=L766,L718&lt;=L750,L718&lt;=L734,M718&lt;=M706,M718&lt;=M714,M718&lt;=M710,N718&lt;=N721,N718&lt;=N720,N718&lt;=N719),1,0)</x:f>
        <x:v>0</x:v>
      </x:c>
      <x:c r="R718" s="42" t="n">
        <x:v>0</x:v>
      </x:c>
      <x:c r="S718" s="42" t="n">
        <x:v>0</x:v>
      </x:c>
    </x:row>
    <x:row r="719">
      <x:c r="A719" t="n">
        <x:v>12</x:v>
      </x:c>
      <x:c r="B719" t="n">
        <x:v>3</x:v>
      </x:c>
      <x:c r="C719" t="n">
        <x:v>0</x:v>
      </x:c>
      <x:c r="D719" t="n">
        <x:v>4</x:v>
      </x:c>
      <x:c r="E719" t="str">
        <x:v>evl</x:v>
      </x:c>
      <x:c r="F719" s="45" t="n">
        <x:f>1*$B719</x:f>
        <x:v>3</x:v>
      </x:c>
      <x:c r="G719" s="45" t="n">
        <x:f>2*$B719</x:f>
        <x:v>6</x:v>
      </x:c>
      <x:c r="H719" s="45" t="n">
        <x:f>1*$D719</x:f>
        <x:v>4</x:v>
      </x:c>
      <x:c r="I719" s="45" t="n">
        <x:f>0</x:f>
        <x:v>0</x:v>
      </x:c>
      <x:c r="J719" s="45" t="n">
        <x:f>0</x:f>
        <x:v>0</x:v>
      </x:c>
      <x:c r="K719" s="45" t="n">
        <x:f>0</x:f>
        <x:v>0</x:v>
      </x:c>
      <x:c r="L719" s="45" t="n">
        <x:f>F719+I719</x:f>
        <x:v>3</x:v>
      </x:c>
      <x:c r="M719" s="45" t="n">
        <x:f>G719+J719</x:f>
        <x:v>6</x:v>
      </x:c>
      <x:c r="N719" s="45" t="n">
        <x:f>H719+K719</x:f>
        <x:v>4</x:v>
      </x:c>
      <x:c r="O719" s="45" t="n">
        <x:f>SUM(F719:H719)</x:f>
        <x:v>13</x:v>
      </x:c>
      <x:c r="P719" s="42" t="n">
        <x:f>IF(AND(F719&lt;=F767,F719&lt;=F751,F719&lt;=F735,G719&lt;=G707,G719&lt;=G715,G719&lt;=G711,H719&lt;=H721,H719&lt;=H718,H719&lt;=H720),1,0)</x:f>
        <x:v>0</x:v>
      </x:c>
      <x:c r="Q719" s="42" t="n">
        <x:f>IF(AND(L719&lt;=L767,L719&lt;=L751,L719&lt;=L735,M719&lt;=M707,M719&lt;=M715,M719&lt;=M711,N719&lt;=N721,N719&lt;=N718,N719&lt;=N720),1,0)</x:f>
        <x:v>0</x:v>
      </x:c>
      <x:c r="R719" s="42" t="n">
        <x:v>0</x:v>
      </x:c>
      <x:c r="S719" s="42" t="n">
        <x:v>0</x:v>
      </x:c>
    </x:row>
    <x:row r="720">
      <x:c r="A720" t="n">
        <x:v>12</x:v>
      </x:c>
      <x:c r="B720" t="n">
        <x:v>3</x:v>
      </x:c>
      <x:c r="C720" t="n">
        <x:v>0</x:v>
      </x:c>
      <x:c r="D720" t="n">
        <x:v>4</x:v>
      </x:c>
      <x:c r="E720" t="str">
        <x:v>evo</x:v>
      </x:c>
      <x:c r="F720" s="45" t="n">
        <x:f>1*$B720</x:f>
        <x:v>3</x:v>
      </x:c>
      <x:c r="G720" s="45" t="n">
        <x:f>2*$B720</x:f>
        <x:v>6</x:v>
      </x:c>
      <x:c r="H720" s="45" t="n">
        <x:f>0</x:f>
        <x:v>0</x:v>
      </x:c>
      <x:c r="I720" s="45" t="n">
        <x:f>0</x:f>
        <x:v>0</x:v>
      </x:c>
      <x:c r="J720" s="45" t="n">
        <x:f>0</x:f>
        <x:v>0</x:v>
      </x:c>
      <x:c r="K720" s="45" t="n">
        <x:f>0</x:f>
        <x:v>0</x:v>
      </x:c>
      <x:c r="L720" s="45" t="n">
        <x:f>F720+I720</x:f>
        <x:v>3</x:v>
      </x:c>
      <x:c r="M720" s="45" t="n">
        <x:f>G720+J720</x:f>
        <x:v>6</x:v>
      </x:c>
      <x:c r="N720" s="45" t="n">
        <x:f>H720+K720</x:f>
        <x:v>0</x:v>
      </x:c>
      <x:c r="O720" s="45" t="n">
        <x:f>SUM(F720:H720)</x:f>
        <x:v>9</x:v>
      </x:c>
      <x:c r="P720" s="42" t="n">
        <x:f>IF(AND(F720&lt;=F768,F720&lt;=F752,F720&lt;=F736,G720&lt;=G708,G720&lt;=G716,G720&lt;=G712,H720&lt;=H721,H720&lt;=H718,H720&lt;=H719),1,0)</x:f>
        <x:v>0</x:v>
      </x:c>
      <x:c r="Q720" s="42" t="n">
        <x:f>IF(AND(L720&lt;=L768,L720&lt;=L752,L720&lt;=L736,M720&lt;=M708,M720&lt;=M716,M720&lt;=M712,N720&lt;=N721,N720&lt;=N718,N720&lt;=N719),1,0)</x:f>
        <x:v>0</x:v>
      </x:c>
      <x:c r="R720" s="42" t="n">
        <x:v>0</x:v>
      </x:c>
      <x:c r="S720" s="42" t="n">
        <x:v>0</x:v>
      </x:c>
    </x:row>
    <x:row r="721">
      <x:c r="A721" t="n">
        <x:v>12</x:v>
      </x:c>
      <x:c r="B721" t="n">
        <x:v>3</x:v>
      </x:c>
      <x:c r="C721" t="n">
        <x:v>0</x:v>
      </x:c>
      <x:c r="D721" t="n">
        <x:v>4</x:v>
      </x:c>
      <x:c r="E721" t="str">
        <x:v>evv</x:v>
      </x:c>
      <x:c r="F721" s="45" t="n">
        <x:f>1*$C721</x:f>
        <x:v>0</x:v>
      </x:c>
      <x:c r="G721" s="45" t="n">
        <x:f>(3/2)*$B721+(1/2)*$C721</x:f>
        <x:v>4.5</x:v>
      </x:c>
      <x:c r="H721" s="45" t="n">
        <x:f>(3/2)*$B721+(1/2)*$C721</x:f>
        <x:v>4.5</x:v>
      </x:c>
      <x:c r="I721" s="45" t="n">
        <x:f>0</x:f>
        <x:v>0</x:v>
      </x:c>
      <x:c r="J721" s="45" t="n">
        <x:f>MAX((3/2)*($C721-$B721),0)</x:f>
        <x:v>0</x:v>
      </x:c>
      <x:c r="K721" s="45" t="n">
        <x:f>MAX((3/2)*($C721-$B721),0)</x:f>
        <x:v>0</x:v>
      </x:c>
      <x:c r="L721" s="45" t="n">
        <x:f>F721+I721</x:f>
        <x:v>0</x:v>
      </x:c>
      <x:c r="M721" s="45" t="n">
        <x:f>G721+J721</x:f>
        <x:v>4.5</x:v>
      </x:c>
      <x:c r="N721" s="45" t="n">
        <x:f>H721+K721</x:f>
        <x:v>4.5</x:v>
      </x:c>
      <x:c r="O721" s="45" t="n">
        <x:f>SUM(F721:H721)</x:f>
        <x:v>9</x:v>
      </x:c>
      <x:c r="P721" s="42" t="n">
        <x:f>IF(AND(F721&lt;=F769,F721&lt;=F753,F721&lt;=F737,G721&lt;=G709,G721&lt;=G717,G721&lt;=G713,H721&lt;=H718,H721&lt;=H720,H721&lt;=H719),1,0)</x:f>
        <x:v>0</x:v>
      </x:c>
      <x:c r="Q721" s="42" t="n">
        <x:f>IF(AND(L721&lt;=L769,L721&lt;=L753,L721&lt;=L737,M721&lt;=M709,M721&lt;=M717,M721&lt;=M713,N721&lt;=N718,N721&lt;=N720,N721&lt;=N719),1,0)</x:f>
        <x:v>0</x:v>
      </x:c>
      <x:c r="R721" s="42" t="n">
        <x:v>0</x:v>
      </x:c>
      <x:c r="S721" s="42" t="n">
        <x:v>0</x:v>
      </x:c>
    </x:row>
    <x:row r="722">
      <x:c r="A722" t="n">
        <x:v>12</x:v>
      </x:c>
      <x:c r="B722" t="n">
        <x:v>3</x:v>
      </x:c>
      <x:c r="C722" t="n">
        <x:v>0</x:v>
      </x:c>
      <x:c r="D722" t="n">
        <x:v>4</x:v>
      </x:c>
      <x:c r="E722" t="str">
        <x:v>lee</x:v>
      </x:c>
      <x:c r="F722" s="45" t="n">
        <x:f>1*$D722</x:f>
        <x:v>4</x:v>
      </x:c>
      <x:c r="G722" s="45" t="n">
        <x:f>(1/2)*$B722+(1/2)*$C722</x:f>
        <x:v>1.5</x:v>
      </x:c>
      <x:c r="H722" s="45" t="n">
        <x:f>(1/2)*$B722+(1/2)*$C722</x:f>
        <x:v>1.5</x:v>
      </x:c>
      <x:c r="I722" s="45" t="n">
        <x:f>0</x:f>
        <x:v>0</x:v>
      </x:c>
      <x:c r="J722" s="45" t="n">
        <x:f>MAX((1/2)*($C722-$B722),0)</x:f>
        <x:v>0</x:v>
      </x:c>
      <x:c r="K722" s="45" t="n">
        <x:f>MAX((1/2)*($C722-$B722),0)</x:f>
        <x:v>0</x:v>
      </x:c>
      <x:c r="L722" s="45" t="n">
        <x:f>F722+I722</x:f>
        <x:v>4</x:v>
      </x:c>
      <x:c r="M722" s="45" t="n">
        <x:f>G722+J722</x:f>
        <x:v>1.5</x:v>
      </x:c>
      <x:c r="N722" s="45" t="n">
        <x:f>H722+K722</x:f>
        <x:v>1.5</x:v>
      </x:c>
      <x:c r="O722" s="45" t="n">
        <x:f>SUM(F722:H722)</x:f>
        <x:v>7</x:v>
      </x:c>
      <x:c r="P722" s="42" t="n">
        <x:f>IF(AND(F722&lt;=F754,F722&lt;=F706,F722&lt;=F738,G722&lt;=G734,G722&lt;=G730,G722&lt;=G726,H722&lt;=H725,H722&lt;=H724,H722&lt;=H723),1,0)</x:f>
        <x:v>0</x:v>
      </x:c>
      <x:c r="Q722" s="42" t="n">
        <x:f>IF(AND(L722&lt;=L754,L722&lt;=L706,L722&lt;=L738,M722&lt;=M734,M722&lt;=M730,M722&lt;=M726,N722&lt;=N725,N722&lt;=N724,N722&lt;=N723),1,0)</x:f>
        <x:v>0</x:v>
      </x:c>
      <x:c r="R722" s="42" t="n">
        <x:v>0</x:v>
      </x:c>
      <x:c r="S722" s="42" t="n">
        <x:v>0</x:v>
      </x:c>
    </x:row>
    <x:row r="723">
      <x:c r="A723" t="n">
        <x:v>12</x:v>
      </x:c>
      <x:c r="B723" t="n">
        <x:v>3</x:v>
      </x:c>
      <x:c r="C723" t="n">
        <x:v>0</x:v>
      </x:c>
      <x:c r="D723" t="n">
        <x:v>4</x:v>
      </x:c>
      <x:c r="E723" t="str">
        <x:v>lel</x:v>
      </x:c>
      <x:c r="F723" s="45" t="n">
        <x:f>(1/2)*$C723+(3/2)*$D723</x:f>
        <x:v>6</x:v>
      </x:c>
      <x:c r="G723" s="45" t="n">
        <x:f>1*$B723</x:f>
        <x:v>3</x:v>
      </x:c>
      <x:c r="H723" s="45" t="n">
        <x:f>(1/2)*$C723+(3/2)*$D723</x:f>
        <x:v>6</x:v>
      </x:c>
      <x:c r="I723" s="45" t="n">
        <x:f>(1/2)*($C723+$D723)</x:f>
        <x:v>2</x:v>
      </x:c>
      <x:c r="J723" s="45" t="n">
        <x:f>0</x:f>
        <x:v>0</x:v>
      </x:c>
      <x:c r="K723" s="45" t="n">
        <x:f>(1/2)*($C723+$D723)</x:f>
        <x:v>2</x:v>
      </x:c>
      <x:c r="L723" s="45" t="n">
        <x:f>F723+I723</x:f>
        <x:v>8</x:v>
      </x:c>
      <x:c r="M723" s="45" t="n">
        <x:f>G723+J723</x:f>
        <x:v>3</x:v>
      </x:c>
      <x:c r="N723" s="45" t="n">
        <x:f>H723+K723</x:f>
        <x:v>8</x:v>
      </x:c>
      <x:c r="O723" s="45" t="n">
        <x:f>SUM(F723:H723)</x:f>
        <x:v>15</x:v>
      </x:c>
      <x:c r="P723" s="42" t="n">
        <x:f>IF(AND(F723&lt;=F755,F723&lt;=F707,F723&lt;=F739,G723&lt;=G735,G723&lt;=G731,G723&lt;=G727,H723&lt;=H725,H723&lt;=H722,H723&lt;=H724),1,0)</x:f>
        <x:v>0</x:v>
      </x:c>
      <x:c r="Q723" s="42" t="n">
        <x:f>IF(AND(L723&lt;=L755,L723&lt;=L707,L723&lt;=L739,M723&lt;=M735,M723&lt;=M731,M723&lt;=M727,N723&lt;=N725,N723&lt;=N722,N723&lt;=N724),1,0)</x:f>
        <x:v>0</x:v>
      </x:c>
      <x:c r="R723" s="42" t="n">
        <x:v>0</x:v>
      </x:c>
      <x:c r="S723" s="42" t="n">
        <x:v>0</x:v>
      </x:c>
    </x:row>
    <x:row r="724">
      <x:c r="A724" t="n">
        <x:v>12</x:v>
      </x:c>
      <x:c r="B724" t="n">
        <x:v>3</x:v>
      </x:c>
      <x:c r="C724" t="n">
        <x:v>0</x:v>
      </x:c>
      <x:c r="D724" t="n">
        <x:v>4</x:v>
      </x:c>
      <x:c r="E724" t="str">
        <x:v>leo</x:v>
      </x:c>
      <x:c r="F724" s="45" t="n">
        <x:f>1*$D724</x:f>
        <x:v>4</x:v>
      </x:c>
      <x:c r="G724" s="45" t="n">
        <x:f>1*$B724</x:f>
        <x:v>3</x:v>
      </x:c>
      <x:c r="H724" s="45" t="n">
        <x:f>0</x:f>
        <x:v>0</x:v>
      </x:c>
      <x:c r="I724" s="45" t="n">
        <x:f>0</x:f>
        <x:v>0</x:v>
      </x:c>
      <x:c r="J724" s="45" t="n">
        <x:f>0</x:f>
        <x:v>0</x:v>
      </x:c>
      <x:c r="K724" s="45" t="n">
        <x:f>0</x:f>
        <x:v>0</x:v>
      </x:c>
      <x:c r="L724" s="45" t="n">
        <x:f>F724+I724</x:f>
        <x:v>4</x:v>
      </x:c>
      <x:c r="M724" s="45" t="n">
        <x:f>G724+J724</x:f>
        <x:v>3</x:v>
      </x:c>
      <x:c r="N724" s="45" t="n">
        <x:f>H724+K724</x:f>
        <x:v>0</x:v>
      </x:c>
      <x:c r="O724" s="45" t="n">
        <x:f>SUM(F724:H724)</x:f>
        <x:v>7</x:v>
      </x:c>
      <x:c r="P724" s="42" t="n">
        <x:f>IF(AND(F724&lt;=F756,F724&lt;=F708,F724&lt;=F740,G724&lt;=G736,G724&lt;=G732,G724&lt;=G728,H724&lt;=H725,H724&lt;=H722,H724&lt;=H723),1,0)</x:f>
        <x:v>0</x:v>
      </x:c>
      <x:c r="Q724" s="42" t="n">
        <x:f>IF(AND(L724&lt;=L756,L724&lt;=L708,L724&lt;=L740,M724&lt;=M736,M724&lt;=M732,M724&lt;=M728,N724&lt;=N725,N724&lt;=N722,N724&lt;=N723),1,0)</x:f>
        <x:v>1</x:v>
      </x:c>
      <x:c r="R724" s="42" t="n">
        <x:v>0</x:v>
      </x:c>
      <x:c r="S724" s="42" t="n">
        <x:v>1</x:v>
      </x:c>
    </x:row>
    <x:row r="725">
      <x:c r="A725" t="n">
        <x:v>12</x:v>
      </x:c>
      <x:c r="B725" t="n">
        <x:v>3</x:v>
      </x:c>
      <x:c r="C725" t="n">
        <x:v>0</x:v>
      </x:c>
      <x:c r="D725" t="n">
        <x:v>4</x:v>
      </x:c>
      <x:c r="E725" t="str">
        <x:v>lev</x:v>
      </x:c>
      <x:c r="F725" s="45" t="n">
        <x:f>1*$D725</x:f>
        <x:v>4</x:v>
      </x:c>
      <x:c r="G725" s="45" t="n">
        <x:f>1*$B725</x:f>
        <x:v>3</x:v>
      </x:c>
      <x:c r="H725" s="45" t="n">
        <x:f>2*$B725</x:f>
        <x:v>6</x:v>
      </x:c>
      <x:c r="I725" s="45" t="n">
        <x:f>0</x:f>
        <x:v>0</x:v>
      </x:c>
      <x:c r="J725" s="45" t="n">
        <x:f>0</x:f>
        <x:v>0</x:v>
      </x:c>
      <x:c r="K725" s="45" t="n">
        <x:f>0</x:f>
        <x:v>0</x:v>
      </x:c>
      <x:c r="L725" s="45" t="n">
        <x:f>F725+I725</x:f>
        <x:v>4</x:v>
      </x:c>
      <x:c r="M725" s="45" t="n">
        <x:f>G725+J725</x:f>
        <x:v>3</x:v>
      </x:c>
      <x:c r="N725" s="45" t="n">
        <x:f>H725+K725</x:f>
        <x:v>6</x:v>
      </x:c>
      <x:c r="O725" s="45" t="n">
        <x:f>SUM(F725:H725)</x:f>
        <x:v>13</x:v>
      </x:c>
      <x:c r="P725" s="42" t="n">
        <x:f>IF(AND(F725&lt;=F757,F725&lt;=F709,F725&lt;=F741,G725&lt;=G737,G725&lt;=G733,G725&lt;=G729,H725&lt;=H722,H725&lt;=H724,H725&lt;=H723),1,0)</x:f>
        <x:v>0</x:v>
      </x:c>
      <x:c r="Q725" s="42" t="n">
        <x:f>IF(AND(L725&lt;=L757,L725&lt;=L709,L725&lt;=L741,M725&lt;=M737,M725&lt;=M733,M725&lt;=M729,N725&lt;=N722,N725&lt;=N724,N725&lt;=N723),1,0)</x:f>
        <x:v>0</x:v>
      </x:c>
      <x:c r="R725" s="42" t="n">
        <x:v>0</x:v>
      </x:c>
      <x:c r="S725" s="42" t="n">
        <x:v>0</x:v>
      </x:c>
    </x:row>
    <x:row r="726">
      <x:c r="A726" t="n">
        <x:v>12</x:v>
      </x:c>
      <x:c r="B726" t="n">
        <x:v>3</x:v>
      </x:c>
      <x:c r="C726" t="n">
        <x:v>0</x:v>
      </x:c>
      <x:c r="D726" t="n">
        <x:v>4</x:v>
      </x:c>
      <x:c r="E726" t="str">
        <x:v>lle</x:v>
      </x:c>
      <x:c r="F726" s="45" t="n">
        <x:f>(1/2)*$C726+(3/2)*$D726</x:f>
        <x:v>6</x:v>
      </x:c>
      <x:c r="G726" s="45" t="n">
        <x:f>(1/2)*$C726+(3/2)*$D726</x:f>
        <x:v>6</x:v>
      </x:c>
      <x:c r="H726" s="45" t="n">
        <x:f>1*$B726</x:f>
        <x:v>3</x:v>
      </x:c>
      <x:c r="I726" s="45" t="n">
        <x:f>(1/2)*($C726+$D726)</x:f>
        <x:v>2</x:v>
      </x:c>
      <x:c r="J726" s="45" t="n">
        <x:f>(1/2)*($C726+$D726)</x:f>
        <x:v>2</x:v>
      </x:c>
      <x:c r="K726" s="45" t="n">
        <x:f>0</x:f>
        <x:v>0</x:v>
      </x:c>
      <x:c r="L726" s="45" t="n">
        <x:f>F726+I726</x:f>
        <x:v>8</x:v>
      </x:c>
      <x:c r="M726" s="45" t="n">
        <x:f>G726+J726</x:f>
        <x:v>8</x:v>
      </x:c>
      <x:c r="N726" s="45" t="n">
        <x:f>H726+K726</x:f>
        <x:v>3</x:v>
      </x:c>
      <x:c r="O726" s="45" t="n">
        <x:f>SUM(F726:H726)</x:f>
        <x:v>15</x:v>
      </x:c>
      <x:c r="P726" s="42" t="n">
        <x:f>IF(AND(F726&lt;=F758,F726&lt;=F710,F726&lt;=F742,G726&lt;=G734,G726&lt;=G722,G726&lt;=G730,H726&lt;=H729,H726&lt;=H728,H726&lt;=H727),1,0)</x:f>
        <x:v>0</x:v>
      </x:c>
      <x:c r="Q726" s="42" t="n">
        <x:f>IF(AND(L726&lt;=L758,L726&lt;=L710,L726&lt;=L742,M726&lt;=M734,M726&lt;=M722,M726&lt;=M730,N726&lt;=N729,N726&lt;=N728,N726&lt;=N727),1,0)</x:f>
        <x:v>0</x:v>
      </x:c>
      <x:c r="R726" s="42" t="n">
        <x:v>0</x:v>
      </x:c>
      <x:c r="S726" s="42" t="n">
        <x:v>0</x:v>
      </x:c>
    </x:row>
    <x:row r="727">
      <x:c r="A727" t="n">
        <x:v>12</x:v>
      </x:c>
      <x:c r="B727" t="n">
        <x:v>3</x:v>
      </x:c>
      <x:c r="C727" t="n">
        <x:v>0</x:v>
      </x:c>
      <x:c r="D727" t="n">
        <x:v>4</x:v>
      </x:c>
      <x:c r="E727" t="str">
        <x:v>lll</x:v>
      </x:c>
      <x:c r="F727" s="45" t="n">
        <x:f>1*$C727+2*$D727</x:f>
        <x:v>8</x:v>
      </x:c>
      <x:c r="G727" s="45" t="n">
        <x:f>1*$C727+2*$D727</x:f>
        <x:v>8</x:v>
      </x:c>
      <x:c r="H727" s="45" t="n">
        <x:f>1*$C727+2*$D727</x:f>
        <x:v>8</x:v>
      </x:c>
      <x:c r="I727" s="45" t="n">
        <x:f>$C727+$D727</x:f>
        <x:v>4</x:v>
      </x:c>
      <x:c r="J727" s="45" t="n">
        <x:f>$C727+$D727</x:f>
        <x:v>4</x:v>
      </x:c>
      <x:c r="K727" s="45" t="n">
        <x:f>$C727+$D727</x:f>
        <x:v>4</x:v>
      </x:c>
      <x:c r="L727" s="45" t="n">
        <x:f>F727+I727</x:f>
        <x:v>12</x:v>
      </x:c>
      <x:c r="M727" s="45" t="n">
        <x:f>G727+J727</x:f>
        <x:v>12</x:v>
      </x:c>
      <x:c r="N727" s="45" t="n">
        <x:f>H727+K727</x:f>
        <x:v>12</x:v>
      </x:c>
      <x:c r="O727" s="45" t="n">
        <x:f>SUM(F727:H727)</x:f>
        <x:v>24</x:v>
      </x:c>
      <x:c r="P727" s="42" t="n">
        <x:f>IF(AND(F727&lt;=F759,F727&lt;=F711,F727&lt;=F743,G727&lt;=G735,G727&lt;=G723,G727&lt;=G731,H727&lt;=H729,H727&lt;=H726,H727&lt;=H728),1,0)</x:f>
        <x:v>0</x:v>
      </x:c>
      <x:c r="Q727" s="42" t="n">
        <x:f>IF(AND(L727&lt;=L759,L727&lt;=L711,L727&lt;=L743,M727&lt;=M735,M727&lt;=M723,M727&lt;=M731,N727&lt;=N729,N727&lt;=N726,N727&lt;=N728),1,0)</x:f>
        <x:v>0</x:v>
      </x:c>
      <x:c r="R727" s="42" t="n">
        <x:v>0</x:v>
      </x:c>
      <x:c r="S727" s="42" t="n">
        <x:v>0</x:v>
      </x:c>
    </x:row>
    <x:row r="728">
      <x:c r="A728" t="n">
        <x:v>12</x:v>
      </x:c>
      <x:c r="B728" t="n">
        <x:v>3</x:v>
      </x:c>
      <x:c r="C728" t="n">
        <x:v>0</x:v>
      </x:c>
      <x:c r="D728" t="n">
        <x:v>4</x:v>
      </x:c>
      <x:c r="E728" t="str">
        <x:v>llo</x:v>
      </x:c>
      <x:c r="F728" s="45" t="n">
        <x:f>(1/2)*$C728+(3/2)*$D728</x:f>
        <x:v>6</x:v>
      </x:c>
      <x:c r="G728" s="45" t="n">
        <x:f>(1/2)*$C728+(3/2)*$D728</x:f>
        <x:v>6</x:v>
      </x:c>
      <x:c r="H728" s="45" t="n">
        <x:f>0</x:f>
        <x:v>0</x:v>
      </x:c>
      <x:c r="I728" s="45" t="n">
        <x:f>(1/2)*($C728+$D728)</x:f>
        <x:v>2</x:v>
      </x:c>
      <x:c r="J728" s="45" t="n">
        <x:f>(1/2)*($C728+$D728)</x:f>
        <x:v>2</x:v>
      </x:c>
      <x:c r="K728" s="45" t="n">
        <x:f>0</x:f>
        <x:v>0</x:v>
      </x:c>
      <x:c r="L728" s="45" t="n">
        <x:f>F728+I728</x:f>
        <x:v>8</x:v>
      </x:c>
      <x:c r="M728" s="45" t="n">
        <x:f>G728+J728</x:f>
        <x:v>8</x:v>
      </x:c>
      <x:c r="N728" s="45" t="n">
        <x:f>H728+K728</x:f>
        <x:v>0</x:v>
      </x:c>
      <x:c r="O728" s="45" t="n">
        <x:f>SUM(F728:H728)</x:f>
        <x:v>12</x:v>
      </x:c>
      <x:c r="P728" s="42" t="n">
        <x:f>IF(AND(F728&lt;=F760,F728&lt;=F712,F728&lt;=F744,G728&lt;=G736,G728&lt;=G724,G728&lt;=G732,H728&lt;=H729,H728&lt;=H726,H728&lt;=H727),1,0)</x:f>
        <x:v>0</x:v>
      </x:c>
      <x:c r="Q728" s="42" t="n">
        <x:f>IF(AND(L728&lt;=L760,L728&lt;=L712,L728&lt;=L744,M728&lt;=M736,M728&lt;=M724,M728&lt;=M732,N728&lt;=N729,N728&lt;=N726,N728&lt;=N727),1,0)</x:f>
        <x:v>0</x:v>
      </x:c>
      <x:c r="R728" s="42" t="n">
        <x:v>0</x:v>
      </x:c>
      <x:c r="S728" s="42" t="n">
        <x:v>0</x:v>
      </x:c>
    </x:row>
    <x:row r="729">
      <x:c r="A729" t="n">
        <x:v>12</x:v>
      </x:c>
      <x:c r="B729" t="n">
        <x:v>3</x:v>
      </x:c>
      <x:c r="C729" t="n">
        <x:v>0</x:v>
      </x:c>
      <x:c r="D729" t="n">
        <x:v>4</x:v>
      </x:c>
      <x:c r="E729" t="str">
        <x:v>llv</x:v>
      </x:c>
      <x:c r="F729" s="45" t="n">
        <x:f>(1/2)*$C729+(3/2)*$D729</x:f>
        <x:v>6</x:v>
      </x:c>
      <x:c r="G729" s="45" t="n">
        <x:f>(1/2)*$C729+(3/2)*$D729</x:f>
        <x:v>6</x:v>
      </x:c>
      <x:c r="H729" s="45" t="n">
        <x:f>2*$B729</x:f>
        <x:v>6</x:v>
      </x:c>
      <x:c r="I729" s="45" t="n">
        <x:f>(1/2)*($C729+$D729)</x:f>
        <x:v>2</x:v>
      </x:c>
      <x:c r="J729" s="45" t="n">
        <x:f>(1/2)*($C729+$D729)</x:f>
        <x:v>2</x:v>
      </x:c>
      <x:c r="K729" s="45" t="n">
        <x:f>0</x:f>
        <x:v>0</x:v>
      </x:c>
      <x:c r="L729" s="45" t="n">
        <x:f>F729+I729</x:f>
        <x:v>8</x:v>
      </x:c>
      <x:c r="M729" s="45" t="n">
        <x:f>G729+J729</x:f>
        <x:v>8</x:v>
      </x:c>
      <x:c r="N729" s="45" t="n">
        <x:f>H729+K729</x:f>
        <x:v>6</x:v>
      </x:c>
      <x:c r="O729" s="45" t="n">
        <x:f>SUM(F729:H729)</x:f>
        <x:v>18</x:v>
      </x:c>
      <x:c r="P729" s="42" t="n">
        <x:f>IF(AND(F729&lt;=F761,F729&lt;=F713,F729&lt;=F745,G729&lt;=G737,G729&lt;=G725,G729&lt;=G733,H729&lt;=H726,H729&lt;=H728,H729&lt;=H727),1,0)</x:f>
        <x:v>0</x:v>
      </x:c>
      <x:c r="Q729" s="42" t="n">
        <x:f>IF(AND(L729&lt;=L761,L729&lt;=L713,L729&lt;=L745,M729&lt;=M737,M729&lt;=M725,M729&lt;=M733,N729&lt;=N726,N729&lt;=N728,N729&lt;=N727),1,0)</x:f>
        <x:v>0</x:v>
      </x:c>
      <x:c r="R729" s="42" t="n">
        <x:v>0</x:v>
      </x:c>
      <x:c r="S729" s="42" t="n">
        <x:v>0</x:v>
      </x:c>
    </x:row>
    <x:row r="730">
      <x:c r="A730" t="n">
        <x:v>12</x:v>
      </x:c>
      <x:c r="B730" t="n">
        <x:v>3</x:v>
      </x:c>
      <x:c r="C730" t="n">
        <x:v>0</x:v>
      </x:c>
      <x:c r="D730" t="n">
        <x:v>4</x:v>
      </x:c>
      <x:c r="E730" t="str">
        <x:v>loe</x:v>
      </x:c>
      <x:c r="F730" s="45" t="n">
        <x:f>1*$D730</x:f>
        <x:v>4</x:v>
      </x:c>
      <x:c r="G730" s="45" t="n">
        <x:f>0</x:f>
        <x:v>0</x:v>
      </x:c>
      <x:c r="H730" s="45" t="n">
        <x:f>1*$B730</x:f>
        <x:v>3</x:v>
      </x:c>
      <x:c r="I730" s="45" t="n">
        <x:f>0</x:f>
        <x:v>0</x:v>
      </x:c>
      <x:c r="J730" s="45" t="n">
        <x:f>0</x:f>
        <x:v>0</x:v>
      </x:c>
      <x:c r="K730" s="45" t="n">
        <x:f>0</x:f>
        <x:v>0</x:v>
      </x:c>
      <x:c r="L730" s="45" t="n">
        <x:f>F730+I730</x:f>
        <x:v>4</x:v>
      </x:c>
      <x:c r="M730" s="45" t="n">
        <x:f>G730+J730</x:f>
        <x:v>0</x:v>
      </x:c>
      <x:c r="N730" s="45" t="n">
        <x:f>H730+K730</x:f>
        <x:v>3</x:v>
      </x:c>
      <x:c r="O730" s="45" t="n">
        <x:f>SUM(F730:H730)</x:f>
        <x:v>7</x:v>
      </x:c>
      <x:c r="P730" s="42" t="n">
        <x:f>IF(AND(F730&lt;=F762,F730&lt;=F714,F730&lt;=F746,G730&lt;=G734,G730&lt;=G722,G730&lt;=G726,H730&lt;=H733,H730&lt;=H732,H730&lt;=H731),1,0)</x:f>
        <x:v>0</x:v>
      </x:c>
      <x:c r="Q730" s="42" t="n">
        <x:f>IF(AND(L730&lt;=L762,L730&lt;=L714,L730&lt;=L746,M730&lt;=M734,M730&lt;=M722,M730&lt;=M726,N730&lt;=N733,N730&lt;=N732,N730&lt;=N731),1,0)</x:f>
        <x:v>1</x:v>
      </x:c>
      <x:c r="R730" s="42" t="n">
        <x:v>0</x:v>
      </x:c>
      <x:c r="S730" s="42" t="n">
        <x:v>1</x:v>
      </x:c>
    </x:row>
    <x:row r="731">
      <x:c r="A731" t="n">
        <x:v>12</x:v>
      </x:c>
      <x:c r="B731" t="n">
        <x:v>3</x:v>
      </x:c>
      <x:c r="C731" t="n">
        <x:v>0</x:v>
      </x:c>
      <x:c r="D731" t="n">
        <x:v>4</x:v>
      </x:c>
      <x:c r="E731" t="str">
        <x:v>lol</x:v>
      </x:c>
      <x:c r="F731" s="45" t="n">
        <x:f>(1/2)*$C731+(3/2)*$D731</x:f>
        <x:v>6</x:v>
      </x:c>
      <x:c r="G731" s="45" t="n">
        <x:f>0</x:f>
        <x:v>0</x:v>
      </x:c>
      <x:c r="H731" s="45" t="n">
        <x:f>(1/2)*$C731+(3/2)*$D731</x:f>
        <x:v>6</x:v>
      </x:c>
      <x:c r="I731" s="45" t="n">
        <x:f>(1/2)*($C731+$D731)</x:f>
        <x:v>2</x:v>
      </x:c>
      <x:c r="J731" s="45" t="n">
        <x:f>0</x:f>
        <x:v>0</x:v>
      </x:c>
      <x:c r="K731" s="45" t="n">
        <x:f>(1/2)*($C731+$D731)</x:f>
        <x:v>2</x:v>
      </x:c>
      <x:c r="L731" s="45" t="n">
        <x:f>F731+I731</x:f>
        <x:v>8</x:v>
      </x:c>
      <x:c r="M731" s="45" t="n">
        <x:f>G731+J731</x:f>
        <x:v>0</x:v>
      </x:c>
      <x:c r="N731" s="45" t="n">
        <x:f>H731+K731</x:f>
        <x:v>8</x:v>
      </x:c>
      <x:c r="O731" s="45" t="n">
        <x:f>SUM(F731:H731)</x:f>
        <x:v>12</x:v>
      </x:c>
      <x:c r="P731" s="42" t="n">
        <x:f>IF(AND(F731&lt;=F763,F731&lt;=F715,F731&lt;=F747,G731&lt;=G735,G731&lt;=G723,G731&lt;=G727,H731&lt;=H733,H731&lt;=H730,H731&lt;=H732),1,0)</x:f>
        <x:v>0</x:v>
      </x:c>
      <x:c r="Q731" s="42" t="n">
        <x:f>IF(AND(L731&lt;=L763,L731&lt;=L715,L731&lt;=L747,M731&lt;=M735,M731&lt;=M723,M731&lt;=M727,N731&lt;=N733,N731&lt;=N730,N731&lt;=N732),1,0)</x:f>
        <x:v>0</x:v>
      </x:c>
      <x:c r="R731" s="42" t="n">
        <x:v>0</x:v>
      </x:c>
      <x:c r="S731" s="42" t="n">
        <x:v>0</x:v>
      </x:c>
    </x:row>
    <x:row r="732">
      <x:c r="A732" t="n">
        <x:v>12</x:v>
      </x:c>
      <x:c r="B732" t="n">
        <x:v>3</x:v>
      </x:c>
      <x:c r="C732" t="n">
        <x:v>0</x:v>
      </x:c>
      <x:c r="D732" t="n">
        <x:v>4</x:v>
      </x:c>
      <x:c r="E732" t="str">
        <x:v>loo</x:v>
      </x:c>
      <x:c r="F732" s="45" t="n">
        <x:f>1*$C732+2*$D732</x:f>
        <x:v>8</x:v>
      </x:c>
      <x:c r="G732" s="45" t="n">
        <x:f>(1/2)*$C732+(1/2)*$D732</x:f>
        <x:v>2</x:v>
      </x:c>
      <x:c r="H732" s="45" t="n">
        <x:f>(1/2)*$C732+(1/2)*$D732</x:f>
        <x:v>2</x:v>
      </x:c>
      <x:c r="I732" s="45" t="n">
        <x:f>0</x:f>
        <x:v>0</x:v>
      </x:c>
      <x:c r="J732" s="45" t="n">
        <x:f>(3/2)*($C732+$D732)</x:f>
        <x:v>6</x:v>
      </x:c>
      <x:c r="K732" s="45" t="n">
        <x:f>(3/2)*($C732+$D732)</x:f>
        <x:v>6</x:v>
      </x:c>
      <x:c r="L732" s="45" t="n">
        <x:f>F732+I732</x:f>
        <x:v>8</x:v>
      </x:c>
      <x:c r="M732" s="45" t="n">
        <x:f>G732+J732</x:f>
        <x:v>8</x:v>
      </x:c>
      <x:c r="N732" s="45" t="n">
        <x:f>H732+K732</x:f>
        <x:v>8</x:v>
      </x:c>
      <x:c r="O732" s="45" t="n">
        <x:f>SUM(F732:H732)</x:f>
        <x:v>12</x:v>
      </x:c>
      <x:c r="P732" s="42" t="n">
        <x:f>IF(AND(F732&lt;=F764,F732&lt;=F716,F732&lt;=F748,G732&lt;=G736,G732&lt;=G724,G732&lt;=G728,H732&lt;=H733,H732&lt;=H730,H732&lt;=H731),1,0)</x:f>
        <x:v>0</x:v>
      </x:c>
      <x:c r="Q732" s="42" t="n">
        <x:f>IF(AND(L732&lt;=L764,L732&lt;=L716,L732&lt;=L748,M732&lt;=M736,M732&lt;=M724,M732&lt;=M728,N732&lt;=N733,N732&lt;=N730,N732&lt;=N731),1,0)</x:f>
        <x:v>0</x:v>
      </x:c>
      <x:c r="R732" s="42" t="n">
        <x:v>0</x:v>
      </x:c>
      <x:c r="S732" s="42" t="n">
        <x:v>0</x:v>
      </x:c>
    </x:row>
    <x:row r="733">
      <x:c r="A733" t="n">
        <x:v>12</x:v>
      </x:c>
      <x:c r="B733" t="n">
        <x:v>3</x:v>
      </x:c>
      <x:c r="C733" t="n">
        <x:v>0</x:v>
      </x:c>
      <x:c r="D733" t="n">
        <x:v>4</x:v>
      </x:c>
      <x:c r="E733" t="str">
        <x:v>lov</x:v>
      </x:c>
      <x:c r="F733" s="45" t="n">
        <x:f>1*$D733</x:f>
        <x:v>4</x:v>
      </x:c>
      <x:c r="G733" s="45" t="n">
        <x:f>0</x:f>
        <x:v>0</x:v>
      </x:c>
      <x:c r="H733" s="45" t="n">
        <x:f>2*$B733</x:f>
        <x:v>6</x:v>
      </x:c>
      <x:c r="I733" s="45" t="n">
        <x:f>0</x:f>
        <x:v>0</x:v>
      </x:c>
      <x:c r="J733" s="45" t="n">
        <x:f>0</x:f>
        <x:v>0</x:v>
      </x:c>
      <x:c r="K733" s="45" t="n">
        <x:f>0</x:f>
        <x:v>0</x:v>
      </x:c>
      <x:c r="L733" s="45" t="n">
        <x:f>F733+I733</x:f>
        <x:v>4</x:v>
      </x:c>
      <x:c r="M733" s="45" t="n">
        <x:f>G733+J733</x:f>
        <x:v>0</x:v>
      </x:c>
      <x:c r="N733" s="45" t="n">
        <x:f>H733+K733</x:f>
        <x:v>6</x:v>
      </x:c>
      <x:c r="O733" s="45" t="n">
        <x:f>SUM(F733:H733)</x:f>
        <x:v>10</x:v>
      </x:c>
      <x:c r="P733" s="42" t="n">
        <x:f>IF(AND(F733&lt;=F765,F733&lt;=F717,F733&lt;=F749,G733&lt;=G737,G733&lt;=G725,G733&lt;=G729,H733&lt;=H730,H733&lt;=H732,H733&lt;=H731),1,0)</x:f>
        <x:v>0</x:v>
      </x:c>
      <x:c r="Q733" s="42" t="n">
        <x:f>IF(AND(L733&lt;=L765,L733&lt;=L717,L733&lt;=L749,M733&lt;=M737,M733&lt;=M725,M733&lt;=M729,N733&lt;=N730,N733&lt;=N732,N733&lt;=N731),1,0)</x:f>
        <x:v>0</x:v>
      </x:c>
      <x:c r="R733" s="42" t="n">
        <x:v>0</x:v>
      </x:c>
      <x:c r="S733" s="42" t="n">
        <x:v>0</x:v>
      </x:c>
    </x:row>
    <x:row r="734">
      <x:c r="A734" t="n">
        <x:v>12</x:v>
      </x:c>
      <x:c r="B734" t="n">
        <x:v>3</x:v>
      </x:c>
      <x:c r="C734" t="n">
        <x:v>0</x:v>
      </x:c>
      <x:c r="D734" t="n">
        <x:v>4</x:v>
      </x:c>
      <x:c r="E734" t="str">
        <x:v>lve</x:v>
      </x:c>
      <x:c r="F734" s="45" t="n">
        <x:f>1*$D734</x:f>
        <x:v>4</x:v>
      </x:c>
      <x:c r="G734" s="45" t="n">
        <x:f>2*$B734</x:f>
        <x:v>6</x:v>
      </x:c>
      <x:c r="H734" s="45" t="n">
        <x:f>1*$B734</x:f>
        <x:v>3</x:v>
      </x:c>
      <x:c r="I734" s="45" t="n">
        <x:f>0</x:f>
        <x:v>0</x:v>
      </x:c>
      <x:c r="J734" s="45" t="n">
        <x:f>0</x:f>
        <x:v>0</x:v>
      </x:c>
      <x:c r="K734" s="45" t="n">
        <x:f>0</x:f>
        <x:v>0</x:v>
      </x:c>
      <x:c r="L734" s="45" t="n">
        <x:f>F734+I734</x:f>
        <x:v>4</x:v>
      </x:c>
      <x:c r="M734" s="45" t="n">
        <x:f>G734+J734</x:f>
        <x:v>6</x:v>
      </x:c>
      <x:c r="N734" s="45" t="n">
        <x:f>H734+K734</x:f>
        <x:v>3</x:v>
      </x:c>
      <x:c r="O734" s="45" t="n">
        <x:f>SUM(F734:H734)</x:f>
        <x:v>13</x:v>
      </x:c>
      <x:c r="P734" s="42" t="n">
        <x:f>IF(AND(F734&lt;=F766,F734&lt;=F718,F734&lt;=F750,G734&lt;=G722,G734&lt;=G730,G734&lt;=G726,H734&lt;=H737,H734&lt;=H736,H734&lt;=H735),1,0)</x:f>
        <x:v>0</x:v>
      </x:c>
      <x:c r="Q734" s="42" t="n">
        <x:f>IF(AND(L734&lt;=L766,L734&lt;=L718,L734&lt;=L750,M734&lt;=M722,M734&lt;=M730,M734&lt;=M726,N734&lt;=N737,N734&lt;=N736,N734&lt;=N735),1,0)</x:f>
        <x:v>0</x:v>
      </x:c>
      <x:c r="R734" s="42" t="n">
        <x:v>0</x:v>
      </x:c>
      <x:c r="S734" s="42" t="n">
        <x:v>0</x:v>
      </x:c>
    </x:row>
    <x:row r="735">
      <x:c r="A735" t="n">
        <x:v>12</x:v>
      </x:c>
      <x:c r="B735" t="n">
        <x:v>3</x:v>
      </x:c>
      <x:c r="C735" t="n">
        <x:v>0</x:v>
      </x:c>
      <x:c r="D735" t="n">
        <x:v>4</x:v>
      </x:c>
      <x:c r="E735" t="str">
        <x:v>lvl</x:v>
      </x:c>
      <x:c r="F735" s="45" t="n">
        <x:f>(1/2)*$C735+(3/2)*$D735</x:f>
        <x:v>6</x:v>
      </x:c>
      <x:c r="G735" s="45" t="n">
        <x:f>2*$B735</x:f>
        <x:v>6</x:v>
      </x:c>
      <x:c r="H735" s="45" t="n">
        <x:f>(1/2)*$C735+(3/2)*$D735</x:f>
        <x:v>6</x:v>
      </x:c>
      <x:c r="I735" s="45" t="n">
        <x:f>(1/2)*($C735+$D735)</x:f>
        <x:v>2</x:v>
      </x:c>
      <x:c r="J735" s="45" t="n">
        <x:f>0</x:f>
        <x:v>0</x:v>
      </x:c>
      <x:c r="K735" s="45" t="n">
        <x:f>(1/2)*($C735+$D735)</x:f>
        <x:v>2</x:v>
      </x:c>
      <x:c r="L735" s="45" t="n">
        <x:f>F735+I735</x:f>
        <x:v>8</x:v>
      </x:c>
      <x:c r="M735" s="45" t="n">
        <x:f>G735+J735</x:f>
        <x:v>6</x:v>
      </x:c>
      <x:c r="N735" s="45" t="n">
        <x:f>H735+K735</x:f>
        <x:v>8</x:v>
      </x:c>
      <x:c r="O735" s="45" t="n">
        <x:f>SUM(F735:H735)</x:f>
        <x:v>18</x:v>
      </x:c>
      <x:c r="P735" s="42" t="n">
        <x:f>IF(AND(F735&lt;=F767,F735&lt;=F719,F735&lt;=F751,G735&lt;=G723,G735&lt;=G731,G735&lt;=G727,H735&lt;=H737,H735&lt;=H734,H735&lt;=H736),1,0)</x:f>
        <x:v>0</x:v>
      </x:c>
      <x:c r="Q735" s="42" t="n">
        <x:f>IF(AND(L735&lt;=L767,L735&lt;=L719,L735&lt;=L751,M735&lt;=M723,M735&lt;=M731,M735&lt;=M727,N735&lt;=N737,N735&lt;=N734,N735&lt;=N736),1,0)</x:f>
        <x:v>0</x:v>
      </x:c>
      <x:c r="R735" s="42" t="n">
        <x:v>0</x:v>
      </x:c>
      <x:c r="S735" s="42" t="n">
        <x:v>0</x:v>
      </x:c>
    </x:row>
    <x:row r="736">
      <x:c r="A736" t="n">
        <x:v>12</x:v>
      </x:c>
      <x:c r="B736" t="n">
        <x:v>3</x:v>
      </x:c>
      <x:c r="C736" t="n">
        <x:v>0</x:v>
      </x:c>
      <x:c r="D736" t="n">
        <x:v>4</x:v>
      </x:c>
      <x:c r="E736" t="str">
        <x:v>lvo</x:v>
      </x:c>
      <x:c r="F736" s="45" t="n">
        <x:f>1*$D736</x:f>
        <x:v>4</x:v>
      </x:c>
      <x:c r="G736" s="45" t="n">
        <x:f>2*$B736</x:f>
        <x:v>6</x:v>
      </x:c>
      <x:c r="H736" s="45" t="n">
        <x:f>0</x:f>
        <x:v>0</x:v>
      </x:c>
      <x:c r="I736" s="45" t="n">
        <x:f>0</x:f>
        <x:v>0</x:v>
      </x:c>
      <x:c r="J736" s="45" t="n">
        <x:f>0</x:f>
        <x:v>0</x:v>
      </x:c>
      <x:c r="K736" s="45" t="n">
        <x:f>0</x:f>
        <x:v>0</x:v>
      </x:c>
      <x:c r="L736" s="45" t="n">
        <x:f>F736+I736</x:f>
        <x:v>4</x:v>
      </x:c>
      <x:c r="M736" s="45" t="n">
        <x:f>G736+J736</x:f>
        <x:v>6</x:v>
      </x:c>
      <x:c r="N736" s="45" t="n">
        <x:f>H736+K736</x:f>
        <x:v>0</x:v>
      </x:c>
      <x:c r="O736" s="45" t="n">
        <x:f>SUM(F736:H736)</x:f>
        <x:v>10</x:v>
      </x:c>
      <x:c r="P736" s="42" t="n">
        <x:f>IF(AND(F736&lt;=F768,F736&lt;=F720,F736&lt;=F752,G736&lt;=G724,G736&lt;=G732,G736&lt;=G728,H736&lt;=H737,H736&lt;=H734,H736&lt;=H735),1,0)</x:f>
        <x:v>0</x:v>
      </x:c>
      <x:c r="Q736" s="42" t="n">
        <x:f>IF(AND(L736&lt;=L768,L736&lt;=L720,L736&lt;=L752,M736&lt;=M724,M736&lt;=M732,M736&lt;=M728,N736&lt;=N737,N736&lt;=N734,N736&lt;=N735),1,0)</x:f>
        <x:v>0</x:v>
      </x:c>
      <x:c r="R736" s="42" t="n">
        <x:v>0</x:v>
      </x:c>
      <x:c r="S736" s="42" t="n">
        <x:v>0</x:v>
      </x:c>
    </x:row>
    <x:row r="737">
      <x:c r="A737" t="n">
        <x:v>12</x:v>
      </x:c>
      <x:c r="B737" t="n">
        <x:v>3</x:v>
      </x:c>
      <x:c r="C737" t="n">
        <x:v>0</x:v>
      </x:c>
      <x:c r="D737" t="n">
        <x:v>4</x:v>
      </x:c>
      <x:c r="E737" t="str">
        <x:v>lvv</x:v>
      </x:c>
      <x:c r="F737" s="45" t="n">
        <x:f>1*$D737</x:f>
        <x:v>4</x:v>
      </x:c>
      <x:c r="G737" s="45" t="n">
        <x:f>(3/2)*$B737+(1/2)*$C737</x:f>
        <x:v>4.5</x:v>
      </x:c>
      <x:c r="H737" s="45" t="n">
        <x:f>(3/2)*$B737+(1/2)*$C737</x:f>
        <x:v>4.5</x:v>
      </x:c>
      <x:c r="I737" s="45" t="n">
        <x:f>0</x:f>
        <x:v>0</x:v>
      </x:c>
      <x:c r="J737" s="45" t="n">
        <x:f>MAX((1/2)*($C737-$B737),0)</x:f>
        <x:v>0</x:v>
      </x:c>
      <x:c r="K737" s="45" t="n">
        <x:f>MAX((1/2)*($C737-$B737),0)</x:f>
        <x:v>0</x:v>
      </x:c>
      <x:c r="L737" s="45" t="n">
        <x:f>F737+I737</x:f>
        <x:v>4</x:v>
      </x:c>
      <x:c r="M737" s="45" t="n">
        <x:f>G737+J737</x:f>
        <x:v>4.5</x:v>
      </x:c>
      <x:c r="N737" s="45" t="n">
        <x:f>H737+K737</x:f>
        <x:v>4.5</x:v>
      </x:c>
      <x:c r="O737" s="45" t="n">
        <x:f>SUM(F737:H737)</x:f>
        <x:v>13</x:v>
      </x:c>
      <x:c r="P737" s="42" t="n">
        <x:f>IF(AND(F737&lt;=F769,F737&lt;=F721,F737&lt;=F753,G737&lt;=G725,G737&lt;=G733,G737&lt;=G729,H737&lt;=H734,H737&lt;=H736,H737&lt;=H735),1,0)</x:f>
        <x:v>0</x:v>
      </x:c>
      <x:c r="Q737" s="42" t="n">
        <x:f>IF(AND(L737&lt;=L769,L737&lt;=L721,L737&lt;=L753,M737&lt;=M725,M737&lt;=M733,M737&lt;=M729,N737&lt;=N734,N737&lt;=N736,N737&lt;=N735),1,0)</x:f>
        <x:v>0</x:v>
      </x:c>
      <x:c r="R737" s="42" t="n">
        <x:v>0</x:v>
      </x:c>
      <x:c r="S737" s="42" t="n">
        <x:v>0</x:v>
      </x:c>
    </x:row>
    <x:row r="738">
      <x:c r="A738" t="n">
        <x:v>12</x:v>
      </x:c>
      <x:c r="B738" t="n">
        <x:v>3</x:v>
      </x:c>
      <x:c r="C738" t="n">
        <x:v>0</x:v>
      </x:c>
      <x:c r="D738" t="n">
        <x:v>4</x:v>
      </x:c>
      <x:c r="E738" t="str">
        <x:v>oee</x:v>
      </x:c>
      <x:c r="F738" s="45" t="n">
        <x:f>1*$C738+1*$D738</x:f>
        <x:v>4</x:v>
      </x:c>
      <x:c r="G738" s="45" t="n">
        <x:f>(1/2)*$B738+(1/2)*$C738</x:f>
        <x:v>1.5</x:v>
      </x:c>
      <x:c r="H738" s="45" t="n">
        <x:f>(1/2)*$B738+(1/2)*$C738</x:f>
        <x:v>1.5</x:v>
      </x:c>
      <x:c r="I738" s="45" t="n">
        <x:f>0</x:f>
        <x:v>0</x:v>
      </x:c>
      <x:c r="J738" s="45" t="n">
        <x:f>MAX((3/2)*$C738+$D738-(1/2)*$B738,0)</x:f>
        <x:v>2.5</x:v>
      </x:c>
      <x:c r="K738" s="45" t="n">
        <x:f>MAX((3/2)*$C738+$D738-(1/2)*$B738,0)</x:f>
        <x:v>2.5</x:v>
      </x:c>
      <x:c r="L738" s="45" t="n">
        <x:f>F738+I738</x:f>
        <x:v>4</x:v>
      </x:c>
      <x:c r="M738" s="45" t="n">
        <x:f>G738+J738</x:f>
        <x:v>4</x:v>
      </x:c>
      <x:c r="N738" s="45" t="n">
        <x:f>H738+K738</x:f>
        <x:v>4</x:v>
      </x:c>
      <x:c r="O738" s="45" t="n">
        <x:f>SUM(F738:H738)</x:f>
        <x:v>7</x:v>
      </x:c>
      <x:c r="P738" s="42" t="n">
        <x:f>IF(AND(F738&lt;=F754,F738&lt;=F706,F738&lt;=F722,G738&lt;=G750,G738&lt;=G746,G738&lt;=G742,H738&lt;=H741,H738&lt;=H740,H738&lt;=H739),1,0)</x:f>
        <x:v>0</x:v>
      </x:c>
      <x:c r="Q738" s="42" t="n">
        <x:f>IF(AND(L738&lt;=L754,L738&lt;=L706,L738&lt;=L722,M738&lt;=M750,M738&lt;=M746,M738&lt;=M742,N738&lt;=N741,N738&lt;=N740,N738&lt;=N739),1,0)</x:f>
        <x:v>1</x:v>
      </x:c>
      <x:c r="R738" s="42" t="n">
        <x:v>0</x:v>
      </x:c>
      <x:c r="S738" s="42" t="n">
        <x:v>1</x:v>
      </x:c>
    </x:row>
    <x:row r="739">
      <x:c r="A739" t="n">
        <x:v>12</x:v>
      </x:c>
      <x:c r="B739" t="n">
        <x:v>3</x:v>
      </x:c>
      <x:c r="C739" t="n">
        <x:v>0</x:v>
      </x:c>
      <x:c r="D739" t="n">
        <x:v>4</x:v>
      </x:c>
      <x:c r="E739" t="str">
        <x:v>oel</x:v>
      </x:c>
      <x:c r="F739" s="45" t="n">
        <x:f>0</x:f>
        <x:v>0</x:v>
      </x:c>
      <x:c r="G739" s="45" t="n">
        <x:f>1*$B739</x:f>
        <x:v>3</x:v>
      </x:c>
      <x:c r="H739" s="45" t="n">
        <x:f>1*$D739</x:f>
        <x:v>4</x:v>
      </x:c>
      <x:c r="I739" s="45" t="n">
        <x:f>0</x:f>
        <x:v>0</x:v>
      </x:c>
      <x:c r="J739" s="45" t="n">
        <x:f>0</x:f>
        <x:v>0</x:v>
      </x:c>
      <x:c r="K739" s="45" t="n">
        <x:f>0</x:f>
        <x:v>0</x:v>
      </x:c>
      <x:c r="L739" s="45" t="n">
        <x:f>F739+I739</x:f>
        <x:v>0</x:v>
      </x:c>
      <x:c r="M739" s="45" t="n">
        <x:f>G739+J739</x:f>
        <x:v>3</x:v>
      </x:c>
      <x:c r="N739" s="45" t="n">
        <x:f>H739+K739</x:f>
        <x:v>4</x:v>
      </x:c>
      <x:c r="O739" s="45" t="n">
        <x:f>SUM(F739:H739)</x:f>
        <x:v>7</x:v>
      </x:c>
      <x:c r="P739" s="42" t="n">
        <x:f>IF(AND(F739&lt;=F755,F739&lt;=F707,F739&lt;=F723,G739&lt;=G751,G739&lt;=G747,G739&lt;=G743,H739&lt;=H741,H739&lt;=H738,H739&lt;=H740),1,0)</x:f>
        <x:v>0</x:v>
      </x:c>
      <x:c r="Q739" s="42" t="n">
        <x:f>IF(AND(L739&lt;=L755,L739&lt;=L707,L739&lt;=L723,M739&lt;=M751,M739&lt;=M747,M739&lt;=M743,N739&lt;=N741,N739&lt;=N738,N739&lt;=N740),1,0)</x:f>
        <x:v>1</x:v>
      </x:c>
      <x:c r="R739" s="42" t="n">
        <x:v>0</x:v>
      </x:c>
      <x:c r="S739" s="42" t="n">
        <x:v>1</x:v>
      </x:c>
    </x:row>
    <x:row r="740">
      <x:c r="A740" t="n">
        <x:v>12</x:v>
      </x:c>
      <x:c r="B740" t="n">
        <x:v>3</x:v>
      </x:c>
      <x:c r="C740" t="n">
        <x:v>0</x:v>
      </x:c>
      <x:c r="D740" t="n">
        <x:v>4</x:v>
      </x:c>
      <x:c r="E740" t="str">
        <x:v>oeo</x:v>
      </x:c>
      <x:c r="F740" s="45" t="n">
        <x:f>(1/2)*$C740+(1/2)*$D740</x:f>
        <x:v>2</x:v>
      </x:c>
      <x:c r="G740" s="45" t="n">
        <x:f>1*$B740</x:f>
        <x:v>3</x:v>
      </x:c>
      <x:c r="H740" s="45" t="n">
        <x:f>(1/2)*$C740+(1/2)*$D740</x:f>
        <x:v>2</x:v>
      </x:c>
      <x:c r="I740" s="45" t="n">
        <x:f>(1/2)*($C740+$D740)</x:f>
        <x:v>2</x:v>
      </x:c>
      <x:c r="J740" s="45" t="n">
        <x:f>0</x:f>
        <x:v>0</x:v>
      </x:c>
      <x:c r="K740" s="45" t="n">
        <x:f>(1/2)*($C740+$D740)</x:f>
        <x:v>2</x:v>
      </x:c>
      <x:c r="L740" s="45" t="n">
        <x:f>F740+I740</x:f>
        <x:v>4</x:v>
      </x:c>
      <x:c r="M740" s="45" t="n">
        <x:f>G740+J740</x:f>
        <x:v>3</x:v>
      </x:c>
      <x:c r="N740" s="45" t="n">
        <x:f>H740+K740</x:f>
        <x:v>4</x:v>
      </x:c>
      <x:c r="O740" s="45" t="n">
        <x:f>SUM(F740:H740)</x:f>
        <x:v>7</x:v>
      </x:c>
      <x:c r="P740" s="42" t="n">
        <x:f>IF(AND(F740&lt;=F756,F740&lt;=F708,F740&lt;=F724,G740&lt;=G752,G740&lt;=G748,G740&lt;=G744,H740&lt;=H741,H740&lt;=H738,H740&lt;=H739),1,0)</x:f>
        <x:v>0</x:v>
      </x:c>
      <x:c r="Q740" s="42" t="n">
        <x:f>IF(AND(L740&lt;=L756,L740&lt;=L708,L740&lt;=L724,M740&lt;=M752,M740&lt;=M748,M740&lt;=M744,N740&lt;=N741,N740&lt;=N738,N740&lt;=N739),1,0)</x:f>
        <x:v>1</x:v>
      </x:c>
      <x:c r="R740" s="42" t="n">
        <x:v>0</x:v>
      </x:c>
      <x:c r="S740" s="42" t="n">
        <x:v>1</x:v>
      </x:c>
    </x:row>
    <x:row r="741">
      <x:c r="A741" t="n">
        <x:v>12</x:v>
      </x:c>
      <x:c r="B741" t="n">
        <x:v>3</x:v>
      </x:c>
      <x:c r="C741" t="n">
        <x:v>0</x:v>
      </x:c>
      <x:c r="D741" t="n">
        <x:v>4</x:v>
      </x:c>
      <x:c r="E741" t="str">
        <x:v>oev</x:v>
      </x:c>
      <x:c r="F741" s="45" t="n">
        <x:f>0</x:f>
        <x:v>0</x:v>
      </x:c>
      <x:c r="G741" s="45" t="n">
        <x:f>1*$B741</x:f>
        <x:v>3</x:v>
      </x:c>
      <x:c r="H741" s="45" t="n">
        <x:f>2*$B741</x:f>
        <x:v>6</x:v>
      </x:c>
      <x:c r="I741" s="45" t="n">
        <x:f>0</x:f>
        <x:v>0</x:v>
      </x:c>
      <x:c r="J741" s="45" t="n">
        <x:f>0</x:f>
        <x:v>0</x:v>
      </x:c>
      <x:c r="K741" s="45" t="n">
        <x:f>0</x:f>
        <x:v>0</x:v>
      </x:c>
      <x:c r="L741" s="45" t="n">
        <x:f>F741+I741</x:f>
        <x:v>0</x:v>
      </x:c>
      <x:c r="M741" s="45" t="n">
        <x:f>G741+J741</x:f>
        <x:v>3</x:v>
      </x:c>
      <x:c r="N741" s="45" t="n">
        <x:f>H741+K741</x:f>
        <x:v>6</x:v>
      </x:c>
      <x:c r="O741" s="45" t="n">
        <x:f>SUM(F741:H741)</x:f>
        <x:v>9</x:v>
      </x:c>
      <x:c r="P741" s="42" t="n">
        <x:f>IF(AND(F741&lt;=F757,F741&lt;=F709,F741&lt;=F725,G741&lt;=G753,G741&lt;=G749,G741&lt;=G745,H741&lt;=H738,H741&lt;=H740,H741&lt;=H739),1,0)</x:f>
        <x:v>0</x:v>
      </x:c>
      <x:c r="Q741" s="42" t="n">
        <x:f>IF(AND(L741&lt;=L757,L741&lt;=L709,L741&lt;=L725,M741&lt;=M753,M741&lt;=M749,M741&lt;=M745,N741&lt;=N738,N741&lt;=N740,N741&lt;=N739),1,0)</x:f>
        <x:v>0</x:v>
      </x:c>
      <x:c r="R741" s="42" t="n">
        <x:v>0</x:v>
      </x:c>
      <x:c r="S741" s="42" t="n">
        <x:v>0</x:v>
      </x:c>
    </x:row>
    <x:row r="742">
      <x:c r="A742" t="n">
        <x:v>12</x:v>
      </x:c>
      <x:c r="B742" t="n">
        <x:v>3</x:v>
      </x:c>
      <x:c r="C742" t="n">
        <x:v>0</x:v>
      </x:c>
      <x:c r="D742" t="n">
        <x:v>4</x:v>
      </x:c>
      <x:c r="E742" t="str">
        <x:v>ole</x:v>
      </x:c>
      <x:c r="F742" s="45" t="n">
        <x:f>0</x:f>
        <x:v>0</x:v>
      </x:c>
      <x:c r="G742" s="45" t="n">
        <x:f>1*$D742</x:f>
        <x:v>4</x:v>
      </x:c>
      <x:c r="H742" s="45" t="n">
        <x:f>1*$B742</x:f>
        <x:v>3</x:v>
      </x:c>
      <x:c r="I742" s="45" t="n">
        <x:f>0</x:f>
        <x:v>0</x:v>
      </x:c>
      <x:c r="J742" s="45" t="n">
        <x:f>0</x:f>
        <x:v>0</x:v>
      </x:c>
      <x:c r="K742" s="45" t="n">
        <x:f>0</x:f>
        <x:v>0</x:v>
      </x:c>
      <x:c r="L742" s="45" t="n">
        <x:f>F742+I742</x:f>
        <x:v>0</x:v>
      </x:c>
      <x:c r="M742" s="45" t="n">
        <x:f>G742+J742</x:f>
        <x:v>4</x:v>
      </x:c>
      <x:c r="N742" s="45" t="n">
        <x:f>H742+K742</x:f>
        <x:v>3</x:v>
      </x:c>
      <x:c r="O742" s="45" t="n">
        <x:f>SUM(F742:H742)</x:f>
        <x:v>7</x:v>
      </x:c>
      <x:c r="P742" s="42" t="n">
        <x:f>IF(AND(F742&lt;=F758,F742&lt;=F710,F742&lt;=F726,G742&lt;=G750,G742&lt;=G738,G742&lt;=G746,H742&lt;=H745,H742&lt;=H744,H742&lt;=H743),1,0)</x:f>
        <x:v>0</x:v>
      </x:c>
      <x:c r="Q742" s="42" t="n">
        <x:f>IF(AND(L742&lt;=L758,L742&lt;=L710,L742&lt;=L726,M742&lt;=M750,M742&lt;=M738,M742&lt;=M746,N742&lt;=N745,N742&lt;=N744,N742&lt;=N743),1,0)</x:f>
        <x:v>1</x:v>
      </x:c>
      <x:c r="R742" s="42" t="n">
        <x:v>0</x:v>
      </x:c>
      <x:c r="S742" s="42" t="n">
        <x:v>1</x:v>
      </x:c>
    </x:row>
    <x:row r="743">
      <x:c r="A743" t="n">
        <x:v>12</x:v>
      </x:c>
      <x:c r="B743" t="n">
        <x:v>3</x:v>
      </x:c>
      <x:c r="C743" t="n">
        <x:v>0</x:v>
      </x:c>
      <x:c r="D743" t="n">
        <x:v>4</x:v>
      </x:c>
      <x:c r="E743" t="str">
        <x:v>oll</x:v>
      </x:c>
      <x:c r="F743" s="45" t="n">
        <x:f>0</x:f>
        <x:v>0</x:v>
      </x:c>
      <x:c r="G743" s="45" t="n">
        <x:f>(1/2)*$C743+(3/2)*$D743</x:f>
        <x:v>6</x:v>
      </x:c>
      <x:c r="H743" s="45" t="n">
        <x:f>(1/2)*$C743+(3/2)*$D743</x:f>
        <x:v>6</x:v>
      </x:c>
      <x:c r="I743" s="45" t="n">
        <x:f>0</x:f>
        <x:v>0</x:v>
      </x:c>
      <x:c r="J743" s="45" t="n">
        <x:f>(1/2)*($C743+$D743)</x:f>
        <x:v>2</x:v>
      </x:c>
      <x:c r="K743" s="45" t="n">
        <x:f>(1/2)*($C743+$D743)</x:f>
        <x:v>2</x:v>
      </x:c>
      <x:c r="L743" s="45" t="n">
        <x:f>F743+I743</x:f>
        <x:v>0</x:v>
      </x:c>
      <x:c r="M743" s="45" t="n">
        <x:f>G743+J743</x:f>
        <x:v>8</x:v>
      </x:c>
      <x:c r="N743" s="45" t="n">
        <x:f>H743+K743</x:f>
        <x:v>8</x:v>
      </x:c>
      <x:c r="O743" s="45" t="n">
        <x:f>SUM(F743:H743)</x:f>
        <x:v>12</x:v>
      </x:c>
      <x:c r="P743" s="42" t="n">
        <x:f>IF(AND(F743&lt;=F759,F743&lt;=F711,F743&lt;=F727,G743&lt;=G751,G743&lt;=G739,G743&lt;=G747,H743&lt;=H745,H743&lt;=H742,H743&lt;=H744),1,0)</x:f>
        <x:v>0</x:v>
      </x:c>
      <x:c r="Q743" s="42" t="n">
        <x:f>IF(AND(L743&lt;=L759,L743&lt;=L711,L743&lt;=L727,M743&lt;=M751,M743&lt;=M739,M743&lt;=M747,N743&lt;=N745,N743&lt;=N742,N743&lt;=N744),1,0)</x:f>
        <x:v>0</x:v>
      </x:c>
      <x:c r="R743" s="42" t="n">
        <x:v>0</x:v>
      </x:c>
      <x:c r="S743" s="42" t="n">
        <x:v>0</x:v>
      </x:c>
    </x:row>
    <x:row r="744">
      <x:c r="A744" t="n">
        <x:v>12</x:v>
      </x:c>
      <x:c r="B744" t="n">
        <x:v>3</x:v>
      </x:c>
      <x:c r="C744" t="n">
        <x:v>0</x:v>
      </x:c>
      <x:c r="D744" t="n">
        <x:v>4</x:v>
      </x:c>
      <x:c r="E744" t="str">
        <x:v>olo</x:v>
      </x:c>
      <x:c r="F744" s="45" t="n">
        <x:f>(1/2)*$C744+(1/2)*$D744</x:f>
        <x:v>2</x:v>
      </x:c>
      <x:c r="G744" s="45" t="n">
        <x:f>1*$C744+2*$D744</x:f>
        <x:v>8</x:v>
      </x:c>
      <x:c r="H744" s="45" t="n">
        <x:f>(1/2)*$C744+(1/2)*$D744</x:f>
        <x:v>2</x:v>
      </x:c>
      <x:c r="I744" s="45" t="n">
        <x:f>(3/2)*($C744+$D744)</x:f>
        <x:v>6</x:v>
      </x:c>
      <x:c r="J744" s="45" t="n">
        <x:f>0</x:f>
        <x:v>0</x:v>
      </x:c>
      <x:c r="K744" s="45" t="n">
        <x:f>(3/2)*($C744+$D744)</x:f>
        <x:v>6</x:v>
      </x:c>
      <x:c r="L744" s="45" t="n">
        <x:f>F744+I744</x:f>
        <x:v>8</x:v>
      </x:c>
      <x:c r="M744" s="45" t="n">
        <x:f>G744+J744</x:f>
        <x:v>8</x:v>
      </x:c>
      <x:c r="N744" s="45" t="n">
        <x:f>H744+K744</x:f>
        <x:v>8</x:v>
      </x:c>
      <x:c r="O744" s="45" t="n">
        <x:f>SUM(F744:H744)</x:f>
        <x:v>12</x:v>
      </x:c>
      <x:c r="P744" s="42" t="n">
        <x:f>IF(AND(F744&lt;=F760,F744&lt;=F712,F744&lt;=F728,G744&lt;=G752,G744&lt;=G740,G744&lt;=G748,H744&lt;=H745,H744&lt;=H742,H744&lt;=H743),1,0)</x:f>
        <x:v>0</x:v>
      </x:c>
      <x:c r="Q744" s="42" t="n">
        <x:f>IF(AND(L744&lt;=L760,L744&lt;=L712,L744&lt;=L728,M744&lt;=M752,M744&lt;=M740,M744&lt;=M748,N744&lt;=N745,N744&lt;=N742,N744&lt;=N743),1,0)</x:f>
        <x:v>0</x:v>
      </x:c>
      <x:c r="R744" s="42" t="n">
        <x:v>0</x:v>
      </x:c>
      <x:c r="S744" s="42" t="n">
        <x:v>0</x:v>
      </x:c>
    </x:row>
    <x:row r="745">
      <x:c r="A745" t="n">
        <x:v>12</x:v>
      </x:c>
      <x:c r="B745" t="n">
        <x:v>3</x:v>
      </x:c>
      <x:c r="C745" t="n">
        <x:v>0</x:v>
      </x:c>
      <x:c r="D745" t="n">
        <x:v>4</x:v>
      </x:c>
      <x:c r="E745" t="str">
        <x:v>olv</x:v>
      </x:c>
      <x:c r="F745" s="45" t="n">
        <x:f>0</x:f>
        <x:v>0</x:v>
      </x:c>
      <x:c r="G745" s="45" t="n">
        <x:f>1*$D745</x:f>
        <x:v>4</x:v>
      </x:c>
      <x:c r="H745" s="45" t="n">
        <x:f>2*$B745</x:f>
        <x:v>6</x:v>
      </x:c>
      <x:c r="I745" s="45" t="n">
        <x:f>0</x:f>
        <x:v>0</x:v>
      </x:c>
      <x:c r="J745" s="45" t="n">
        <x:f>0</x:f>
        <x:v>0</x:v>
      </x:c>
      <x:c r="K745" s="45" t="n">
        <x:f>0</x:f>
        <x:v>0</x:v>
      </x:c>
      <x:c r="L745" s="45" t="n">
        <x:f>F745+I745</x:f>
        <x:v>0</x:v>
      </x:c>
      <x:c r="M745" s="45" t="n">
        <x:f>G745+J745</x:f>
        <x:v>4</x:v>
      </x:c>
      <x:c r="N745" s="45" t="n">
        <x:f>H745+K745</x:f>
        <x:v>6</x:v>
      </x:c>
      <x:c r="O745" s="45" t="n">
        <x:f>SUM(F745:H745)</x:f>
        <x:v>10</x:v>
      </x:c>
      <x:c r="P745" s="42" t="n">
        <x:f>IF(AND(F745&lt;=F761,F745&lt;=F713,F745&lt;=F729,G745&lt;=G753,G745&lt;=G741,G745&lt;=G749,H745&lt;=H742,H745&lt;=H744,H745&lt;=H743),1,0)</x:f>
        <x:v>0</x:v>
      </x:c>
      <x:c r="Q745" s="42" t="n">
        <x:f>IF(AND(L745&lt;=L761,L745&lt;=L713,L745&lt;=L729,M745&lt;=M753,M745&lt;=M741,M745&lt;=M749,N745&lt;=N742,N745&lt;=N744,N745&lt;=N743),1,0)</x:f>
        <x:v>0</x:v>
      </x:c>
      <x:c r="R745" s="42" t="n">
        <x:v>0</x:v>
      </x:c>
      <x:c r="S745" s="42" t="n">
        <x:v>0</x:v>
      </x:c>
    </x:row>
    <x:row r="746">
      <x:c r="A746" t="n">
        <x:v>12</x:v>
      </x:c>
      <x:c r="B746" t="n">
        <x:v>3</x:v>
      </x:c>
      <x:c r="C746" t="n">
        <x:v>0</x:v>
      </x:c>
      <x:c r="D746" t="n">
        <x:v>4</x:v>
      </x:c>
      <x:c r="E746" t="str">
        <x:v>ooe</x:v>
      </x:c>
      <x:c r="F746" s="45" t="n">
        <x:f>(1/2)*$C746+(1/2)*$D746</x:f>
        <x:v>2</x:v>
      </x:c>
      <x:c r="G746" s="45" t="n">
        <x:f>(1/2)*$C746+(1/2)*$D746</x:f>
        <x:v>2</x:v>
      </x:c>
      <x:c r="H746" s="45" t="n">
        <x:f>1*$B746</x:f>
        <x:v>3</x:v>
      </x:c>
      <x:c r="I746" s="45" t="n">
        <x:f>(1/2)*($C746+$D746)</x:f>
        <x:v>2</x:v>
      </x:c>
      <x:c r="J746" s="45" t="n">
        <x:f>(1/2)*($C746+$D746)</x:f>
        <x:v>2</x:v>
      </x:c>
      <x:c r="K746" s="45" t="n">
        <x:f>0</x:f>
        <x:v>0</x:v>
      </x:c>
      <x:c r="L746" s="45" t="n">
        <x:f>F746+I746</x:f>
        <x:v>4</x:v>
      </x:c>
      <x:c r="M746" s="45" t="n">
        <x:f>G746+J746</x:f>
        <x:v>4</x:v>
      </x:c>
      <x:c r="N746" s="45" t="n">
        <x:f>H746+K746</x:f>
        <x:v>3</x:v>
      </x:c>
      <x:c r="O746" s="45" t="n">
        <x:f>SUM(F746:H746)</x:f>
        <x:v>7</x:v>
      </x:c>
      <x:c r="P746" s="42" t="n">
        <x:f>IF(AND(F746&lt;=F762,F746&lt;=F714,F746&lt;=F730,G746&lt;=G750,G746&lt;=G738,G746&lt;=G742,H746&lt;=H749,H746&lt;=H748,H746&lt;=H747),1,0)</x:f>
        <x:v>0</x:v>
      </x:c>
      <x:c r="Q746" s="42" t="n">
        <x:f>IF(AND(L746&lt;=L762,L746&lt;=L714,L746&lt;=L730,M746&lt;=M750,M746&lt;=M738,M746&lt;=M742,N746&lt;=N749,N746&lt;=N748,N746&lt;=N747),1,0)</x:f>
        <x:v>1</x:v>
      </x:c>
      <x:c r="R746" s="42" t="n">
        <x:v>0</x:v>
      </x:c>
      <x:c r="S746" s="42" t="n">
        <x:v>1</x:v>
      </x:c>
    </x:row>
    <x:row r="747">
      <x:c r="A747" t="n">
        <x:v>12</x:v>
      </x:c>
      <x:c r="B747" t="n">
        <x:v>3</x:v>
      </x:c>
      <x:c r="C747" t="n">
        <x:v>0</x:v>
      </x:c>
      <x:c r="D747" t="n">
        <x:v>4</x:v>
      </x:c>
      <x:c r="E747" t="str">
        <x:v>ool</x:v>
      </x:c>
      <x:c r="F747" s="45" t="n">
        <x:f>(1/2)*$C747+(1/2)*$D747</x:f>
        <x:v>2</x:v>
      </x:c>
      <x:c r="G747" s="45" t="n">
        <x:f>(1/2)*$C747+(1/2)*$D747</x:f>
        <x:v>2</x:v>
      </x:c>
      <x:c r="H747" s="45" t="n">
        <x:f>1*$C747+2*$D747</x:f>
        <x:v>8</x:v>
      </x:c>
      <x:c r="I747" s="45" t="n">
        <x:f>(3/2)*($C747+$D747)</x:f>
        <x:v>6</x:v>
      </x:c>
      <x:c r="J747" s="45" t="n">
        <x:f>(3/2)*($C747+$D747)</x:f>
        <x:v>6</x:v>
      </x:c>
      <x:c r="K747" s="45" t="n">
        <x:f>0</x:f>
        <x:v>0</x:v>
      </x:c>
      <x:c r="L747" s="45" t="n">
        <x:f>F747+I747</x:f>
        <x:v>8</x:v>
      </x:c>
      <x:c r="M747" s="45" t="n">
        <x:f>G747+J747</x:f>
        <x:v>8</x:v>
      </x:c>
      <x:c r="N747" s="45" t="n">
        <x:f>H747+K747</x:f>
        <x:v>8</x:v>
      </x:c>
      <x:c r="O747" s="45" t="n">
        <x:f>SUM(F747:H747)</x:f>
        <x:v>12</x:v>
      </x:c>
      <x:c r="P747" s="42" t="n">
        <x:f>IF(AND(F747&lt;=F763,F747&lt;=F715,F747&lt;=F731,G747&lt;=G751,G747&lt;=G739,G747&lt;=G743,H747&lt;=H749,H747&lt;=H746,H747&lt;=H748),1,0)</x:f>
        <x:v>0</x:v>
      </x:c>
      <x:c r="Q747" s="42" t="n">
        <x:f>IF(AND(L747&lt;=L763,L747&lt;=L715,L747&lt;=L731,M747&lt;=M751,M747&lt;=M739,M747&lt;=M743,N747&lt;=N749,N747&lt;=N746,N747&lt;=N748),1,0)</x:f>
        <x:v>0</x:v>
      </x:c>
      <x:c r="R747" s="42" t="n">
        <x:v>0</x:v>
      </x:c>
      <x:c r="S747" s="42" t="n">
        <x:v>0</x:v>
      </x:c>
    </x:row>
    <x:row r="748">
      <x:c r="A748" t="n">
        <x:v>12</x:v>
      </x:c>
      <x:c r="B748" t="n">
        <x:v>3</x:v>
      </x:c>
      <x:c r="C748" t="n">
        <x:v>0</x:v>
      </x:c>
      <x:c r="D748" t="n">
        <x:v>4</x:v>
      </x:c>
      <x:c r="E748" t="str">
        <x:v>ooo</x:v>
      </x:c>
      <x:c r="F748" s="45" t="n">
        <x:f>1*$C748+1*$D748</x:f>
        <x:v>4</x:v>
      </x:c>
      <x:c r="G748" s="45" t="n">
        <x:f>1*$C748+1*$D748</x:f>
        <x:v>4</x:v>
      </x:c>
      <x:c r="H748" s="45" t="n">
        <x:f>1*$C748+1*$D748</x:f>
        <x:v>4</x:v>
      </x:c>
      <x:c r="I748" s="45" t="n">
        <x:f>$C748+$D748</x:f>
        <x:v>4</x:v>
      </x:c>
      <x:c r="J748" s="45" t="n">
        <x:f>$C748+$D748</x:f>
        <x:v>4</x:v>
      </x:c>
      <x:c r="K748" s="45" t="n">
        <x:f>$C748+$D748</x:f>
        <x:v>4</x:v>
      </x:c>
      <x:c r="L748" s="45" t="n">
        <x:f>F748+I748</x:f>
        <x:v>8</x:v>
      </x:c>
      <x:c r="M748" s="45" t="n">
        <x:f>G748+J748</x:f>
        <x:v>8</x:v>
      </x:c>
      <x:c r="N748" s="45" t="n">
        <x:f>H748+K748</x:f>
        <x:v>8</x:v>
      </x:c>
      <x:c r="O748" s="45" t="n">
        <x:f>SUM(F748:H748)</x:f>
        <x:v>12</x:v>
      </x:c>
      <x:c r="P748" s="42" t="n">
        <x:f>IF(AND(F748&lt;=F764,F748&lt;=F716,F748&lt;=F732,G748&lt;=G752,G748&lt;=G740,G748&lt;=G744,H748&lt;=H749,H748&lt;=H746,H748&lt;=H747),1,0)</x:f>
        <x:v>0</x:v>
      </x:c>
      <x:c r="Q748" s="42" t="n">
        <x:f>IF(AND(L748&lt;=L764,L748&lt;=L716,L748&lt;=L732,M748&lt;=M752,M748&lt;=M740,M748&lt;=M744,N748&lt;=N749,N748&lt;=N746,N748&lt;=N747),1,0)</x:f>
        <x:v>0</x:v>
      </x:c>
      <x:c r="R748" s="42" t="n">
        <x:v>0</x:v>
      </x:c>
      <x:c r="S748" s="42" t="n">
        <x:v>0</x:v>
      </x:c>
    </x:row>
    <x:row r="749">
      <x:c r="A749" t="n">
        <x:v>12</x:v>
      </x:c>
      <x:c r="B749" t="n">
        <x:v>3</x:v>
      </x:c>
      <x:c r="C749" t="n">
        <x:v>0</x:v>
      </x:c>
      <x:c r="D749" t="n">
        <x:v>4</x:v>
      </x:c>
      <x:c r="E749" t="str">
        <x:v>oov</x:v>
      </x:c>
      <x:c r="F749" s="45" t="n">
        <x:f>(1/2)*$C749+(1/2)*$D749</x:f>
        <x:v>2</x:v>
      </x:c>
      <x:c r="G749" s="45" t="n">
        <x:f>(1/2)*$C749+(1/2)*$D749</x:f>
        <x:v>2</x:v>
      </x:c>
      <x:c r="H749" s="45" t="n">
        <x:f>2*$B749</x:f>
        <x:v>6</x:v>
      </x:c>
      <x:c r="I749" s="45" t="n">
        <x:f>(1/2)*($C749+$D749)</x:f>
        <x:v>2</x:v>
      </x:c>
      <x:c r="J749" s="45" t="n">
        <x:f>(1/2)*($C749+$D749)</x:f>
        <x:v>2</x:v>
      </x:c>
      <x:c r="K749" s="45" t="n">
        <x:f>0</x:f>
        <x:v>0</x:v>
      </x:c>
      <x:c r="L749" s="45" t="n">
        <x:f>F749+I749</x:f>
        <x:v>4</x:v>
      </x:c>
      <x:c r="M749" s="45" t="n">
        <x:f>G749+J749</x:f>
        <x:v>4</x:v>
      </x:c>
      <x:c r="N749" s="45" t="n">
        <x:f>H749+K749</x:f>
        <x:v>6</x:v>
      </x:c>
      <x:c r="O749" s="45" t="n">
        <x:f>SUM(F749:H749)</x:f>
        <x:v>10</x:v>
      </x:c>
      <x:c r="P749" s="42" t="n">
        <x:f>IF(AND(F749&lt;=F765,F749&lt;=F717,F749&lt;=F733,G749&lt;=G753,G749&lt;=G741,G749&lt;=G745,H749&lt;=H746,H749&lt;=H748,H749&lt;=H747),1,0)</x:f>
        <x:v>0</x:v>
      </x:c>
      <x:c r="Q749" s="42" t="n">
        <x:f>IF(AND(L749&lt;=L765,L749&lt;=L717,L749&lt;=L733,M749&lt;=M753,M749&lt;=M741,M749&lt;=M745,N749&lt;=N746,N749&lt;=N748,N749&lt;=N747),1,0)</x:f>
        <x:v>0</x:v>
      </x:c>
      <x:c r="R749" s="42" t="n">
        <x:v>0</x:v>
      </x:c>
      <x:c r="S749" s="42" t="n">
        <x:v>0</x:v>
      </x:c>
    </x:row>
    <x:row r="750">
      <x:c r="A750" t="n">
        <x:v>12</x:v>
      </x:c>
      <x:c r="B750" t="n">
        <x:v>3</x:v>
      </x:c>
      <x:c r="C750" t="n">
        <x:v>0</x:v>
      </x:c>
      <x:c r="D750" t="n">
        <x:v>4</x:v>
      </x:c>
      <x:c r="E750" t="str">
        <x:v>ove</x:v>
      </x:c>
      <x:c r="F750" s="45" t="n">
        <x:f>0</x:f>
        <x:v>0</x:v>
      </x:c>
      <x:c r="G750" s="45" t="n">
        <x:f>2*$B750</x:f>
        <x:v>6</x:v>
      </x:c>
      <x:c r="H750" s="45" t="n">
        <x:f>1*$B750</x:f>
        <x:v>3</x:v>
      </x:c>
      <x:c r="I750" s="45" t="n">
        <x:f>0</x:f>
        <x:v>0</x:v>
      </x:c>
      <x:c r="J750" s="45" t="n">
        <x:f>0</x:f>
        <x:v>0</x:v>
      </x:c>
      <x:c r="K750" s="45" t="n">
        <x:f>0</x:f>
        <x:v>0</x:v>
      </x:c>
      <x:c r="L750" s="45" t="n">
        <x:f>F750+I750</x:f>
        <x:v>0</x:v>
      </x:c>
      <x:c r="M750" s="45" t="n">
        <x:f>G750+J750</x:f>
        <x:v>6</x:v>
      </x:c>
      <x:c r="N750" s="45" t="n">
        <x:f>H750+K750</x:f>
        <x:v>3</x:v>
      </x:c>
      <x:c r="O750" s="45" t="n">
        <x:f>SUM(F750:H750)</x:f>
        <x:v>9</x:v>
      </x:c>
      <x:c r="P750" s="42" t="n">
        <x:f>IF(AND(F750&lt;=F766,F750&lt;=F718,F750&lt;=F734,G750&lt;=G738,G750&lt;=G746,G750&lt;=G742,H750&lt;=H753,H750&lt;=H752,H750&lt;=H751),1,0)</x:f>
        <x:v>0</x:v>
      </x:c>
      <x:c r="Q750" s="42" t="n">
        <x:f>IF(AND(L750&lt;=L766,L750&lt;=L718,L750&lt;=L734,M750&lt;=M738,M750&lt;=M746,M750&lt;=M742,N750&lt;=N753,N750&lt;=N752,N750&lt;=N751),1,0)</x:f>
        <x:v>0</x:v>
      </x:c>
      <x:c r="R750" s="42" t="n">
        <x:v>0</x:v>
      </x:c>
      <x:c r="S750" s="42" t="n">
        <x:v>0</x:v>
      </x:c>
    </x:row>
    <x:row r="751">
      <x:c r="A751" t="n">
        <x:v>12</x:v>
      </x:c>
      <x:c r="B751" t="n">
        <x:v>3</x:v>
      </x:c>
      <x:c r="C751" t="n">
        <x:v>0</x:v>
      </x:c>
      <x:c r="D751" t="n">
        <x:v>4</x:v>
      </x:c>
      <x:c r="E751" t="str">
        <x:v>ovl</x:v>
      </x:c>
      <x:c r="F751" s="45" t="n">
        <x:f>0</x:f>
        <x:v>0</x:v>
      </x:c>
      <x:c r="G751" s="45" t="n">
        <x:f>2*$B751</x:f>
        <x:v>6</x:v>
      </x:c>
      <x:c r="H751" s="45" t="n">
        <x:f>1*$D751</x:f>
        <x:v>4</x:v>
      </x:c>
      <x:c r="I751" s="45" t="n">
        <x:f>0</x:f>
        <x:v>0</x:v>
      </x:c>
      <x:c r="J751" s="45" t="n">
        <x:f>0</x:f>
        <x:v>0</x:v>
      </x:c>
      <x:c r="K751" s="45" t="n">
        <x:f>0</x:f>
        <x:v>0</x:v>
      </x:c>
      <x:c r="L751" s="45" t="n">
        <x:f>F751+I751</x:f>
        <x:v>0</x:v>
      </x:c>
      <x:c r="M751" s="45" t="n">
        <x:f>G751+J751</x:f>
        <x:v>6</x:v>
      </x:c>
      <x:c r="N751" s="45" t="n">
        <x:f>H751+K751</x:f>
        <x:v>4</x:v>
      </x:c>
      <x:c r="O751" s="45" t="n">
        <x:f>SUM(F751:H751)</x:f>
        <x:v>10</x:v>
      </x:c>
      <x:c r="P751" s="42" t="n">
        <x:f>IF(AND(F751&lt;=F767,F751&lt;=F719,F751&lt;=F735,G751&lt;=G739,G751&lt;=G747,G751&lt;=G743,H751&lt;=H753,H751&lt;=H750,H751&lt;=H752),1,0)</x:f>
        <x:v>0</x:v>
      </x:c>
      <x:c r="Q751" s="42" t="n">
        <x:f>IF(AND(L751&lt;=L767,L751&lt;=L719,L751&lt;=L735,M751&lt;=M739,M751&lt;=M747,M751&lt;=M743,N751&lt;=N753,N751&lt;=N750,N751&lt;=N752),1,0)</x:f>
        <x:v>0</x:v>
      </x:c>
      <x:c r="R751" s="42" t="n">
        <x:v>0</x:v>
      </x:c>
      <x:c r="S751" s="42" t="n">
        <x:v>0</x:v>
      </x:c>
    </x:row>
    <x:row r="752">
      <x:c r="A752" t="n">
        <x:v>12</x:v>
      </x:c>
      <x:c r="B752" t="n">
        <x:v>3</x:v>
      </x:c>
      <x:c r="C752" t="n">
        <x:v>0</x:v>
      </x:c>
      <x:c r="D752" t="n">
        <x:v>4</x:v>
      </x:c>
      <x:c r="E752" t="str">
        <x:v>ovo</x:v>
      </x:c>
      <x:c r="F752" s="45" t="n">
        <x:f>(1/2)*$C752+(1/2)*$D752</x:f>
        <x:v>2</x:v>
      </x:c>
      <x:c r="G752" s="45" t="n">
        <x:f>2*$B752</x:f>
        <x:v>6</x:v>
      </x:c>
      <x:c r="H752" s="45" t="n">
        <x:f>(1/2)*$C752+(1/2)*$D752</x:f>
        <x:v>2</x:v>
      </x:c>
      <x:c r="I752" s="45" t="n">
        <x:f>(1/2)*($C752+$D752)</x:f>
        <x:v>2</x:v>
      </x:c>
      <x:c r="J752" s="45" t="n">
        <x:f>0</x:f>
        <x:v>0</x:v>
      </x:c>
      <x:c r="K752" s="45" t="n">
        <x:f>(1/2)*($C752+$D752)</x:f>
        <x:v>2</x:v>
      </x:c>
      <x:c r="L752" s="45" t="n">
        <x:f>F752+I752</x:f>
        <x:v>4</x:v>
      </x:c>
      <x:c r="M752" s="45" t="n">
        <x:f>G752+J752</x:f>
        <x:v>6</x:v>
      </x:c>
      <x:c r="N752" s="45" t="n">
        <x:f>H752+K752</x:f>
        <x:v>4</x:v>
      </x:c>
      <x:c r="O752" s="45" t="n">
        <x:f>SUM(F752:H752)</x:f>
        <x:v>10</x:v>
      </x:c>
      <x:c r="P752" s="42" t="n">
        <x:f>IF(AND(F752&lt;=F768,F752&lt;=F720,F752&lt;=F736,G752&lt;=G740,G752&lt;=G748,G752&lt;=G744,H752&lt;=H753,H752&lt;=H750,H752&lt;=H751),1,0)</x:f>
        <x:v>0</x:v>
      </x:c>
      <x:c r="Q752" s="42" t="n">
        <x:f>IF(AND(L752&lt;=L768,L752&lt;=L720,L752&lt;=L736,M752&lt;=M740,M752&lt;=M748,M752&lt;=M744,N752&lt;=N753,N752&lt;=N750,N752&lt;=N751),1,0)</x:f>
        <x:v>0</x:v>
      </x:c>
      <x:c r="R752" s="42" t="n">
        <x:v>0</x:v>
      </x:c>
      <x:c r="S752" s="42" t="n">
        <x:v>0</x:v>
      </x:c>
    </x:row>
    <x:row r="753">
      <x:c r="A753" t="n">
        <x:v>12</x:v>
      </x:c>
      <x:c r="B753" t="n">
        <x:v>3</x:v>
      </x:c>
      <x:c r="C753" t="n">
        <x:v>0</x:v>
      </x:c>
      <x:c r="D753" t="n">
        <x:v>4</x:v>
      </x:c>
      <x:c r="E753" t="str">
        <x:v>ovv</x:v>
      </x:c>
      <x:c r="F753" s="45" t="n">
        <x:f>0</x:f>
        <x:v>0</x:v>
      </x:c>
      <x:c r="G753" s="45" t="n">
        <x:f>(3/2)*$B753+(1/2)*$C753</x:f>
        <x:v>4.5</x:v>
      </x:c>
      <x:c r="H753" s="45" t="n">
        <x:f>(3/2)*$B753+(1/2)*$C753</x:f>
        <x:v>4.5</x:v>
      </x:c>
      <x:c r="I753" s="45" t="n">
        <x:f>0</x:f>
        <x:v>0</x:v>
      </x:c>
      <x:c r="J753" s="45" t="n">
        <x:f>MAX((1/2)*($C753-$B753),0)</x:f>
        <x:v>0</x:v>
      </x:c>
      <x:c r="K753" s="45" t="n">
        <x:f>MAX((1/2)*($C753-$B753),0)</x:f>
        <x:v>0</x:v>
      </x:c>
      <x:c r="L753" s="45" t="n">
        <x:f>F753+I753</x:f>
        <x:v>0</x:v>
      </x:c>
      <x:c r="M753" s="45" t="n">
        <x:f>G753+J753</x:f>
        <x:v>4.5</x:v>
      </x:c>
      <x:c r="N753" s="45" t="n">
        <x:f>H753+K753</x:f>
        <x:v>4.5</x:v>
      </x:c>
      <x:c r="O753" s="45" t="n">
        <x:f>SUM(F753:H753)</x:f>
        <x:v>9</x:v>
      </x:c>
      <x:c r="P753" s="42" t="n">
        <x:f>IF(AND(F753&lt;=F769,F753&lt;=F721,F753&lt;=F737,G753&lt;=G741,G753&lt;=G749,G753&lt;=G745,H753&lt;=H750,H753&lt;=H752,H753&lt;=H751),1,0)</x:f>
        <x:v>0</x:v>
      </x:c>
      <x:c r="Q753" s="42" t="n">
        <x:f>IF(AND(L753&lt;=L769,L753&lt;=L721,L753&lt;=L737,M753&lt;=M741,M753&lt;=M749,M753&lt;=M745,N753&lt;=N750,N753&lt;=N752,N753&lt;=N751),1,0)</x:f>
        <x:v>0</x:v>
      </x:c>
      <x:c r="R753" s="42" t="n">
        <x:v>0</x:v>
      </x:c>
      <x:c r="S753" s="42" t="n">
        <x:v>0</x:v>
      </x:c>
    </x:row>
    <x:row r="754">
      <x:c r="A754" t="n">
        <x:v>12</x:v>
      </x:c>
      <x:c r="B754" t="n">
        <x:v>3</x:v>
      </x:c>
      <x:c r="C754" t="n">
        <x:v>0</x:v>
      </x:c>
      <x:c r="D754" t="n">
        <x:v>4</x:v>
      </x:c>
      <x:c r="E754" t="str">
        <x:v>vee</x:v>
      </x:c>
      <x:c r="F754" s="45" t="n">
        <x:f>2*$B754</x:f>
        <x:v>6</x:v>
      </x:c>
      <x:c r="G754" s="45" t="n">
        <x:f>(1/2)*$B754+(1/2)*$C754</x:f>
        <x:v>1.5</x:v>
      </x:c>
      <x:c r="H754" s="45" t="n">
        <x:f>(1/2)*$B754+(1/2)*$C754</x:f>
        <x:v>1.5</x:v>
      </x:c>
      <x:c r="I754" s="45" t="n">
        <x:f>0</x:f>
        <x:v>0</x:v>
      </x:c>
      <x:c r="J754" s="45" t="n">
        <x:f>MAX((1/2)*($C754-$B754),0)</x:f>
        <x:v>0</x:v>
      </x:c>
      <x:c r="K754" s="45" t="n">
        <x:f>MAX((1/2)*($C754-$B754),0)</x:f>
        <x:v>0</x:v>
      </x:c>
      <x:c r="L754" s="45" t="n">
        <x:f>F754+I754</x:f>
        <x:v>6</x:v>
      </x:c>
      <x:c r="M754" s="45" t="n">
        <x:f>G754+J754</x:f>
        <x:v>1.5</x:v>
      </x:c>
      <x:c r="N754" s="45" t="n">
        <x:f>H754+K754</x:f>
        <x:v>1.5</x:v>
      </x:c>
      <x:c r="O754" s="45" t="n">
        <x:f>SUM(F754:H754)</x:f>
        <x:v>9</x:v>
      </x:c>
      <x:c r="P754" s="42" t="n">
        <x:f>IF(AND(F754&lt;=F706,F754&lt;=F738,F754&lt;=F722,G754&lt;=G766,G754&lt;=G762,G754&lt;=G758,H754&lt;=H757,H754&lt;=H756,H754&lt;=H755),1,0)</x:f>
        <x:v>0</x:v>
      </x:c>
      <x:c r="Q754" s="42" t="n">
        <x:f>IF(AND(L754&lt;=L706,L754&lt;=L738,L754&lt;=L722,M754&lt;=M766,M754&lt;=M762,M754&lt;=M758,N754&lt;=N757,N754&lt;=N756,N754&lt;=N755),1,0)</x:f>
        <x:v>0</x:v>
      </x:c>
      <x:c r="R754" s="42" t="n">
        <x:v>0</x:v>
      </x:c>
      <x:c r="S754" s="42" t="n">
        <x:v>0</x:v>
      </x:c>
    </x:row>
    <x:row r="755">
      <x:c r="A755" t="n">
        <x:v>12</x:v>
      </x:c>
      <x:c r="B755" t="n">
        <x:v>3</x:v>
      </x:c>
      <x:c r="C755" t="n">
        <x:v>0</x:v>
      </x:c>
      <x:c r="D755" t="n">
        <x:v>4</x:v>
      </x:c>
      <x:c r="E755" t="str">
        <x:v>vel</x:v>
      </x:c>
      <x:c r="F755" s="45" t="n">
        <x:f>2*$B755</x:f>
        <x:v>6</x:v>
      </x:c>
      <x:c r="G755" s="45" t="n">
        <x:f>1*$B755</x:f>
        <x:v>3</x:v>
      </x:c>
      <x:c r="H755" s="45" t="n">
        <x:f>1*$D755</x:f>
        <x:v>4</x:v>
      </x:c>
      <x:c r="I755" s="45" t="n">
        <x:f>0</x:f>
        <x:v>0</x:v>
      </x:c>
      <x:c r="J755" s="45" t="n">
        <x:f>0</x:f>
        <x:v>0</x:v>
      </x:c>
      <x:c r="K755" s="45" t="n">
        <x:f>0</x:f>
        <x:v>0</x:v>
      </x:c>
      <x:c r="L755" s="45" t="n">
        <x:f>F755+I755</x:f>
        <x:v>6</x:v>
      </x:c>
      <x:c r="M755" s="45" t="n">
        <x:f>G755+J755</x:f>
        <x:v>3</x:v>
      </x:c>
      <x:c r="N755" s="45" t="n">
        <x:f>H755+K755</x:f>
        <x:v>4</x:v>
      </x:c>
      <x:c r="O755" s="45" t="n">
        <x:f>SUM(F755:H755)</x:f>
        <x:v>13</x:v>
      </x:c>
      <x:c r="P755" s="42" t="n">
        <x:f>IF(AND(F755&lt;=F707,F755&lt;=F739,F755&lt;=F723,G755&lt;=G767,G755&lt;=G763,G755&lt;=G759,H755&lt;=H757,H755&lt;=H754,H755&lt;=H756),1,0)</x:f>
        <x:v>0</x:v>
      </x:c>
      <x:c r="Q755" s="42" t="n">
        <x:f>IF(AND(L755&lt;=L707,L755&lt;=L739,L755&lt;=L723,M755&lt;=M767,M755&lt;=M763,M755&lt;=M759,N755&lt;=N757,N755&lt;=N754,N755&lt;=N756),1,0)</x:f>
        <x:v>0</x:v>
      </x:c>
      <x:c r="R755" s="42" t="n">
        <x:v>0</x:v>
      </x:c>
      <x:c r="S755" s="42" t="n">
        <x:v>0</x:v>
      </x:c>
    </x:row>
    <x:row r="756">
      <x:c r="A756" t="n">
        <x:v>12</x:v>
      </x:c>
      <x:c r="B756" t="n">
        <x:v>3</x:v>
      </x:c>
      <x:c r="C756" t="n">
        <x:v>0</x:v>
      </x:c>
      <x:c r="D756" t="n">
        <x:v>4</x:v>
      </x:c>
      <x:c r="E756" t="str">
        <x:v>veo</x:v>
      </x:c>
      <x:c r="F756" s="45" t="n">
        <x:f>2*$B756</x:f>
        <x:v>6</x:v>
      </x:c>
      <x:c r="G756" s="45" t="n">
        <x:f>1*$B756</x:f>
        <x:v>3</x:v>
      </x:c>
      <x:c r="H756" s="45" t="n">
        <x:f>0</x:f>
        <x:v>0</x:v>
      </x:c>
      <x:c r="I756" s="45" t="n">
        <x:f>0</x:f>
        <x:v>0</x:v>
      </x:c>
      <x:c r="J756" s="45" t="n">
        <x:f>0</x:f>
        <x:v>0</x:v>
      </x:c>
      <x:c r="K756" s="45" t="n">
        <x:f>0</x:f>
        <x:v>0</x:v>
      </x:c>
      <x:c r="L756" s="45" t="n">
        <x:f>F756+I756</x:f>
        <x:v>6</x:v>
      </x:c>
      <x:c r="M756" s="45" t="n">
        <x:f>G756+J756</x:f>
        <x:v>3</x:v>
      </x:c>
      <x:c r="N756" s="45" t="n">
        <x:f>H756+K756</x:f>
        <x:v>0</x:v>
      </x:c>
      <x:c r="O756" s="45" t="n">
        <x:f>SUM(F756:H756)</x:f>
        <x:v>9</x:v>
      </x:c>
      <x:c r="P756" s="42" t="n">
        <x:f>IF(AND(F756&lt;=F708,F756&lt;=F740,F756&lt;=F724,G756&lt;=G768,G756&lt;=G764,G756&lt;=G760,H756&lt;=H757,H756&lt;=H754,H756&lt;=H755),1,0)</x:f>
        <x:v>0</x:v>
      </x:c>
      <x:c r="Q756" s="42" t="n">
        <x:f>IF(AND(L756&lt;=L708,L756&lt;=L740,L756&lt;=L724,M756&lt;=M768,M756&lt;=M764,M756&lt;=M760,N756&lt;=N757,N756&lt;=N754,N756&lt;=N755),1,0)</x:f>
        <x:v>0</x:v>
      </x:c>
      <x:c r="R756" s="42" t="n">
        <x:v>0</x:v>
      </x:c>
      <x:c r="S756" s="42" t="n">
        <x:v>0</x:v>
      </x:c>
    </x:row>
    <x:row r="757">
      <x:c r="A757" t="n">
        <x:v>12</x:v>
      </x:c>
      <x:c r="B757" t="n">
        <x:v>3</x:v>
      </x:c>
      <x:c r="C757" t="n">
        <x:v>0</x:v>
      </x:c>
      <x:c r="D757" t="n">
        <x:v>4</x:v>
      </x:c>
      <x:c r="E757" t="str">
        <x:v>vev</x:v>
      </x:c>
      <x:c r="F757" s="45" t="n">
        <x:f>(3/2)*$B757+(1/2)*$C757</x:f>
        <x:v>4.5</x:v>
      </x:c>
      <x:c r="G757" s="45" t="n">
        <x:f>1*$C757</x:f>
        <x:v>0</x:v>
      </x:c>
      <x:c r="H757" s="45" t="n">
        <x:f>(3/2)*$B757+(1/2)*$C757</x:f>
        <x:v>4.5</x:v>
      </x:c>
      <x:c r="I757" s="45" t="n">
        <x:f>MAX((3/2)*($C757-$B757),0)</x:f>
        <x:v>0</x:v>
      </x:c>
      <x:c r="J757" s="45" t="n">
        <x:f>0</x:f>
        <x:v>0</x:v>
      </x:c>
      <x:c r="K757" s="45" t="n">
        <x:f>MAX((3/2)*($C757-$B757),0)</x:f>
        <x:v>0</x:v>
      </x:c>
      <x:c r="L757" s="45" t="n">
        <x:f>F757+I757</x:f>
        <x:v>4.5</x:v>
      </x:c>
      <x:c r="M757" s="45" t="n">
        <x:f>G757+J757</x:f>
        <x:v>0</x:v>
      </x:c>
      <x:c r="N757" s="45" t="n">
        <x:f>H757+K757</x:f>
        <x:v>4.5</x:v>
      </x:c>
      <x:c r="O757" s="45" t="n">
        <x:f>SUM(F757:H757)</x:f>
        <x:v>9</x:v>
      </x:c>
      <x:c r="P757" s="42" t="n">
        <x:f>IF(AND(F757&lt;=F709,F757&lt;=F741,F757&lt;=F725,G757&lt;=G769,G757&lt;=G765,G757&lt;=G761,H757&lt;=H754,H757&lt;=H756,H757&lt;=H755),1,0)</x:f>
        <x:v>0</x:v>
      </x:c>
      <x:c r="Q757" s="42" t="n">
        <x:f>IF(AND(L757&lt;=L709,L757&lt;=L741,L757&lt;=L725,M757&lt;=M769,M757&lt;=M765,M757&lt;=M761,N757&lt;=N754,N757&lt;=N756,N757&lt;=N755),1,0)</x:f>
        <x:v>0</x:v>
      </x:c>
      <x:c r="R757" s="42" t="n">
        <x:v>0</x:v>
      </x:c>
      <x:c r="S757" s="42" t="n">
        <x:v>0</x:v>
      </x:c>
    </x:row>
    <x:row r="758">
      <x:c r="A758" t="n">
        <x:v>12</x:v>
      </x:c>
      <x:c r="B758" t="n">
        <x:v>3</x:v>
      </x:c>
      <x:c r="C758" t="n">
        <x:v>0</x:v>
      </x:c>
      <x:c r="D758" t="n">
        <x:v>4</x:v>
      </x:c>
      <x:c r="E758" t="str">
        <x:v>vle</x:v>
      </x:c>
      <x:c r="F758" s="45" t="n">
        <x:f>2*$B758</x:f>
        <x:v>6</x:v>
      </x:c>
      <x:c r="G758" s="45" t="n">
        <x:f>1*$D758</x:f>
        <x:v>4</x:v>
      </x:c>
      <x:c r="H758" s="45" t="n">
        <x:f>1*$B758</x:f>
        <x:v>3</x:v>
      </x:c>
      <x:c r="I758" s="45" t="n">
        <x:f>0</x:f>
        <x:v>0</x:v>
      </x:c>
      <x:c r="J758" s="45" t="n">
        <x:f>0</x:f>
        <x:v>0</x:v>
      </x:c>
      <x:c r="K758" s="45" t="n">
        <x:f>0</x:f>
        <x:v>0</x:v>
      </x:c>
      <x:c r="L758" s="45" t="n">
        <x:f>F758+I758</x:f>
        <x:v>6</x:v>
      </x:c>
      <x:c r="M758" s="45" t="n">
        <x:f>G758+J758</x:f>
        <x:v>4</x:v>
      </x:c>
      <x:c r="N758" s="45" t="n">
        <x:f>H758+K758</x:f>
        <x:v>3</x:v>
      </x:c>
      <x:c r="O758" s="45" t="n">
        <x:f>SUM(F758:H758)</x:f>
        <x:v>13</x:v>
      </x:c>
      <x:c r="P758" s="42" t="n">
        <x:f>IF(AND(F758&lt;=F710,F758&lt;=F742,F758&lt;=F726,G758&lt;=G766,G758&lt;=G754,G758&lt;=G762,H758&lt;=H761,H758&lt;=H760,H758&lt;=H759),1,0)</x:f>
        <x:v>0</x:v>
      </x:c>
      <x:c r="Q758" s="42" t="n">
        <x:f>IF(AND(L758&lt;=L710,L758&lt;=L742,L758&lt;=L726,M758&lt;=M766,M758&lt;=M754,M758&lt;=M762,N758&lt;=N761,N758&lt;=N760,N758&lt;=N759),1,0)</x:f>
        <x:v>0</x:v>
      </x:c>
      <x:c r="R758" s="42" t="n">
        <x:v>0</x:v>
      </x:c>
      <x:c r="S758" s="42" t="n">
        <x:v>0</x:v>
      </x:c>
    </x:row>
    <x:row r="759">
      <x:c r="A759" t="n">
        <x:v>12</x:v>
      </x:c>
      <x:c r="B759" t="n">
        <x:v>3</x:v>
      </x:c>
      <x:c r="C759" t="n">
        <x:v>0</x:v>
      </x:c>
      <x:c r="D759" t="n">
        <x:v>4</x:v>
      </x:c>
      <x:c r="E759" t="str">
        <x:v>vll</x:v>
      </x:c>
      <x:c r="F759" s="45" t="n">
        <x:f>2*$B759</x:f>
        <x:v>6</x:v>
      </x:c>
      <x:c r="G759" s="45" t="n">
        <x:f>(1/2)*$C759+(3/2)*$D759</x:f>
        <x:v>6</x:v>
      </x:c>
      <x:c r="H759" s="45" t="n">
        <x:f>(1/2)*$C759+(3/2)*$D759</x:f>
        <x:v>6</x:v>
      </x:c>
      <x:c r="I759" s="45" t="n">
        <x:f>0</x:f>
        <x:v>0</x:v>
      </x:c>
      <x:c r="J759" s="45" t="n">
        <x:f>(1/2)*($C759+$D759)</x:f>
        <x:v>2</x:v>
      </x:c>
      <x:c r="K759" s="45" t="n">
        <x:f>(1/2)*($C759+$D759)</x:f>
        <x:v>2</x:v>
      </x:c>
      <x:c r="L759" s="45" t="n">
        <x:f>F759+I759</x:f>
        <x:v>6</x:v>
      </x:c>
      <x:c r="M759" s="45" t="n">
        <x:f>G759+J759</x:f>
        <x:v>8</x:v>
      </x:c>
      <x:c r="N759" s="45" t="n">
        <x:f>H759+K759</x:f>
        <x:v>8</x:v>
      </x:c>
      <x:c r="O759" s="45" t="n">
        <x:f>SUM(F759:H759)</x:f>
        <x:v>18</x:v>
      </x:c>
      <x:c r="P759" s="42" t="n">
        <x:f>IF(AND(F759&lt;=F711,F759&lt;=F743,F759&lt;=F727,G759&lt;=G767,G759&lt;=G755,G759&lt;=G763,H759&lt;=H761,H759&lt;=H758,H759&lt;=H760),1,0)</x:f>
        <x:v>0</x:v>
      </x:c>
      <x:c r="Q759" s="42" t="n">
        <x:f>IF(AND(L759&lt;=L711,L759&lt;=L743,L759&lt;=L727,M759&lt;=M767,M759&lt;=M755,M759&lt;=M763,N759&lt;=N761,N759&lt;=N758,N759&lt;=N760),1,0)</x:f>
        <x:v>0</x:v>
      </x:c>
      <x:c r="R759" s="42" t="n">
        <x:v>0</x:v>
      </x:c>
      <x:c r="S759" s="42" t="n">
        <x:v>0</x:v>
      </x:c>
    </x:row>
    <x:row r="760">
      <x:c r="A760" t="n">
        <x:v>12</x:v>
      </x:c>
      <x:c r="B760" t="n">
        <x:v>3</x:v>
      </x:c>
      <x:c r="C760" t="n">
        <x:v>0</x:v>
      </x:c>
      <x:c r="D760" t="n">
        <x:v>4</x:v>
      </x:c>
      <x:c r="E760" t="str">
        <x:v>vlo</x:v>
      </x:c>
      <x:c r="F760" s="45" t="n">
        <x:f>2*$B760</x:f>
        <x:v>6</x:v>
      </x:c>
      <x:c r="G760" s="45" t="n">
        <x:f>1*$D760</x:f>
        <x:v>4</x:v>
      </x:c>
      <x:c r="H760" s="45" t="n">
        <x:f>0</x:f>
        <x:v>0</x:v>
      </x:c>
      <x:c r="I760" s="45" t="n">
        <x:f>0</x:f>
        <x:v>0</x:v>
      </x:c>
      <x:c r="J760" s="45" t="n">
        <x:f>0</x:f>
        <x:v>0</x:v>
      </x:c>
      <x:c r="K760" s="45" t="n">
        <x:f>0</x:f>
        <x:v>0</x:v>
      </x:c>
      <x:c r="L760" s="45" t="n">
        <x:f>F760+I760</x:f>
        <x:v>6</x:v>
      </x:c>
      <x:c r="M760" s="45" t="n">
        <x:f>G760+J760</x:f>
        <x:v>4</x:v>
      </x:c>
      <x:c r="N760" s="45" t="n">
        <x:f>H760+K760</x:f>
        <x:v>0</x:v>
      </x:c>
      <x:c r="O760" s="45" t="n">
        <x:f>SUM(F760:H760)</x:f>
        <x:v>10</x:v>
      </x:c>
      <x:c r="P760" s="42" t="n">
        <x:f>IF(AND(F760&lt;=F712,F760&lt;=F744,F760&lt;=F728,G760&lt;=G768,G760&lt;=G756,G760&lt;=G764,H760&lt;=H761,H760&lt;=H758,H760&lt;=H759),1,0)</x:f>
        <x:v>0</x:v>
      </x:c>
      <x:c r="Q760" s="42" t="n">
        <x:f>IF(AND(L760&lt;=L712,L760&lt;=L744,L760&lt;=L728,M760&lt;=M768,M760&lt;=M756,M760&lt;=M764,N760&lt;=N761,N760&lt;=N758,N760&lt;=N759),1,0)</x:f>
        <x:v>0</x:v>
      </x:c>
      <x:c r="R760" s="42" t="n">
        <x:v>0</x:v>
      </x:c>
      <x:c r="S760" s="42" t="n">
        <x:v>0</x:v>
      </x:c>
    </x:row>
    <x:row r="761">
      <x:c r="A761" t="n">
        <x:v>12</x:v>
      </x:c>
      <x:c r="B761" t="n">
        <x:v>3</x:v>
      </x:c>
      <x:c r="C761" t="n">
        <x:v>0</x:v>
      </x:c>
      <x:c r="D761" t="n">
        <x:v>4</x:v>
      </x:c>
      <x:c r="E761" t="str">
        <x:v>vlv</x:v>
      </x:c>
      <x:c r="F761" s="45" t="n">
        <x:f>(3/2)*$B761+(1/2)*$C761</x:f>
        <x:v>4.5</x:v>
      </x:c>
      <x:c r="G761" s="45" t="n">
        <x:f>1*$D761</x:f>
        <x:v>4</x:v>
      </x:c>
      <x:c r="H761" s="45" t="n">
        <x:f>(3/2)*$B761+(1/2)*$C761</x:f>
        <x:v>4.5</x:v>
      </x:c>
      <x:c r="I761" s="45" t="n">
        <x:f>MAX((1/2)*($C761-$B761),0)</x:f>
        <x:v>0</x:v>
      </x:c>
      <x:c r="J761" s="45" t="n">
        <x:f>0</x:f>
        <x:v>0</x:v>
      </x:c>
      <x:c r="K761" s="45" t="n">
        <x:f>MAX((1/2)*($C761-$B761),0)</x:f>
        <x:v>0</x:v>
      </x:c>
      <x:c r="L761" s="45" t="n">
        <x:f>F761+I761</x:f>
        <x:v>4.5</x:v>
      </x:c>
      <x:c r="M761" s="45" t="n">
        <x:f>G761+J761</x:f>
        <x:v>4</x:v>
      </x:c>
      <x:c r="N761" s="45" t="n">
        <x:f>H761+K761</x:f>
        <x:v>4.5</x:v>
      </x:c>
      <x:c r="O761" s="45" t="n">
        <x:f>SUM(F761:H761)</x:f>
        <x:v>13</x:v>
      </x:c>
      <x:c r="P761" s="42" t="n">
        <x:f>IF(AND(F761&lt;=F713,F761&lt;=F745,F761&lt;=F729,G761&lt;=G769,G761&lt;=G757,G761&lt;=G765,H761&lt;=H758,H761&lt;=H760,H761&lt;=H759),1,0)</x:f>
        <x:v>0</x:v>
      </x:c>
      <x:c r="Q761" s="42" t="n">
        <x:f>IF(AND(L761&lt;=L713,L761&lt;=L745,L761&lt;=L729,M761&lt;=M769,M761&lt;=M757,M761&lt;=M765,N761&lt;=N758,N761&lt;=N760,N761&lt;=N759),1,0)</x:f>
        <x:v>0</x:v>
      </x:c>
      <x:c r="R761" s="42" t="n">
        <x:v>0</x:v>
      </x:c>
      <x:c r="S761" s="42" t="n">
        <x:v>0</x:v>
      </x:c>
    </x:row>
    <x:row r="762">
      <x:c r="A762" t="n">
        <x:v>12</x:v>
      </x:c>
      <x:c r="B762" t="n">
        <x:v>3</x:v>
      </x:c>
      <x:c r="C762" t="n">
        <x:v>0</x:v>
      </x:c>
      <x:c r="D762" t="n">
        <x:v>4</x:v>
      </x:c>
      <x:c r="E762" t="str">
        <x:v>voe</x:v>
      </x:c>
      <x:c r="F762" s="45" t="n">
        <x:f>2*$B762</x:f>
        <x:v>6</x:v>
      </x:c>
      <x:c r="G762" s="45" t="n">
        <x:f>0</x:f>
        <x:v>0</x:v>
      </x:c>
      <x:c r="H762" s="45" t="n">
        <x:f>1*$B762</x:f>
        <x:v>3</x:v>
      </x:c>
      <x:c r="I762" s="45" t="n">
        <x:f>0</x:f>
        <x:v>0</x:v>
      </x:c>
      <x:c r="J762" s="45" t="n">
        <x:f>0</x:f>
        <x:v>0</x:v>
      </x:c>
      <x:c r="K762" s="45" t="n">
        <x:f>0</x:f>
        <x:v>0</x:v>
      </x:c>
      <x:c r="L762" s="45" t="n">
        <x:f>F762+I762</x:f>
        <x:v>6</x:v>
      </x:c>
      <x:c r="M762" s="45" t="n">
        <x:f>G762+J762</x:f>
        <x:v>0</x:v>
      </x:c>
      <x:c r="N762" s="45" t="n">
        <x:f>H762+K762</x:f>
        <x:v>3</x:v>
      </x:c>
      <x:c r="O762" s="45" t="n">
        <x:f>SUM(F762:H762)</x:f>
        <x:v>9</x:v>
      </x:c>
      <x:c r="P762" s="42" t="n">
        <x:f>IF(AND(F762&lt;=F714,F762&lt;=F746,F762&lt;=F730,G762&lt;=G766,G762&lt;=G754,G762&lt;=G758,H762&lt;=H765,H762&lt;=H764,H762&lt;=H763),1,0)</x:f>
        <x:v>0</x:v>
      </x:c>
      <x:c r="Q762" s="42" t="n">
        <x:f>IF(AND(L762&lt;=L714,L762&lt;=L746,L762&lt;=L730,M762&lt;=M766,M762&lt;=M754,M762&lt;=M758,N762&lt;=N765,N762&lt;=N764,N762&lt;=N763),1,0)</x:f>
        <x:v>0</x:v>
      </x:c>
      <x:c r="R762" s="42" t="n">
        <x:v>0</x:v>
      </x:c>
      <x:c r="S762" s="42" t="n">
        <x:v>0</x:v>
      </x:c>
    </x:row>
    <x:row r="763">
      <x:c r="A763" t="n">
        <x:v>12</x:v>
      </x:c>
      <x:c r="B763" t="n">
        <x:v>3</x:v>
      </x:c>
      <x:c r="C763" t="n">
        <x:v>0</x:v>
      </x:c>
      <x:c r="D763" t="n">
        <x:v>4</x:v>
      </x:c>
      <x:c r="E763" t="str">
        <x:v>vol</x:v>
      </x:c>
      <x:c r="F763" s="45" t="n">
        <x:f>2*$B763</x:f>
        <x:v>6</x:v>
      </x:c>
      <x:c r="G763" s="45" t="n">
        <x:f>0</x:f>
        <x:v>0</x:v>
      </x:c>
      <x:c r="H763" s="45" t="n">
        <x:f>1*$D763</x:f>
        <x:v>4</x:v>
      </x:c>
      <x:c r="I763" s="45" t="n">
        <x:f>0</x:f>
        <x:v>0</x:v>
      </x:c>
      <x:c r="J763" s="45" t="n">
        <x:f>0</x:f>
        <x:v>0</x:v>
      </x:c>
      <x:c r="K763" s="45" t="n">
        <x:f>0</x:f>
        <x:v>0</x:v>
      </x:c>
      <x:c r="L763" s="45" t="n">
        <x:f>F763+I763</x:f>
        <x:v>6</x:v>
      </x:c>
      <x:c r="M763" s="45" t="n">
        <x:f>G763+J763</x:f>
        <x:v>0</x:v>
      </x:c>
      <x:c r="N763" s="45" t="n">
        <x:f>H763+K763</x:f>
        <x:v>4</x:v>
      </x:c>
      <x:c r="O763" s="45" t="n">
        <x:f>SUM(F763:H763)</x:f>
        <x:v>10</x:v>
      </x:c>
      <x:c r="P763" s="42" t="n">
        <x:f>IF(AND(F763&lt;=F715,F763&lt;=F747,F763&lt;=F731,G763&lt;=G767,G763&lt;=G755,G763&lt;=G759,H763&lt;=H765,H763&lt;=H762,H763&lt;=H764),1,0)</x:f>
        <x:v>0</x:v>
      </x:c>
      <x:c r="Q763" s="42" t="n">
        <x:f>IF(AND(L763&lt;=L715,L763&lt;=L747,L763&lt;=L731,M763&lt;=M767,M763&lt;=M755,M763&lt;=M759,N763&lt;=N765,N763&lt;=N762,N763&lt;=N764),1,0)</x:f>
        <x:v>0</x:v>
      </x:c>
      <x:c r="R763" s="42" t="n">
        <x:v>0</x:v>
      </x:c>
      <x:c r="S763" s="42" t="n">
        <x:v>0</x:v>
      </x:c>
    </x:row>
    <x:row r="764">
      <x:c r="A764" t="n">
        <x:v>12</x:v>
      </x:c>
      <x:c r="B764" t="n">
        <x:v>3</x:v>
      </x:c>
      <x:c r="C764" t="n">
        <x:v>0</x:v>
      </x:c>
      <x:c r="D764" t="n">
        <x:v>4</x:v>
      </x:c>
      <x:c r="E764" t="str">
        <x:v>voo</x:v>
      </x:c>
      <x:c r="F764" s="45" t="n">
        <x:f>2*$B764</x:f>
        <x:v>6</x:v>
      </x:c>
      <x:c r="G764" s="45" t="n">
        <x:f>(1/2)*$C764+(1/2)*$D764</x:f>
        <x:v>2</x:v>
      </x:c>
      <x:c r="H764" s="45" t="n">
        <x:f>(1/2)*$C764+(1/2)*$D764</x:f>
        <x:v>2</x:v>
      </x:c>
      <x:c r="I764" s="45" t="n">
        <x:f>0</x:f>
        <x:v>0</x:v>
      </x:c>
      <x:c r="J764" s="45" t="n">
        <x:f>(1/2)*($C764+$D764)</x:f>
        <x:v>2</x:v>
      </x:c>
      <x:c r="K764" s="45" t="n">
        <x:f>(1/2)*($C764+$D764)</x:f>
        <x:v>2</x:v>
      </x:c>
      <x:c r="L764" s="45" t="n">
        <x:f>F764+I764</x:f>
        <x:v>6</x:v>
      </x:c>
      <x:c r="M764" s="45" t="n">
        <x:f>G764+J764</x:f>
        <x:v>4</x:v>
      </x:c>
      <x:c r="N764" s="45" t="n">
        <x:f>H764+K764</x:f>
        <x:v>4</x:v>
      </x:c>
      <x:c r="O764" s="45" t="n">
        <x:f>SUM(F764:H764)</x:f>
        <x:v>10</x:v>
      </x:c>
      <x:c r="P764" s="42" t="n">
        <x:f>IF(AND(F764&lt;=F716,F764&lt;=F748,F764&lt;=F732,G764&lt;=G768,G764&lt;=G756,G764&lt;=G760,H764&lt;=H765,H764&lt;=H762,H764&lt;=H763),1,0)</x:f>
        <x:v>0</x:v>
      </x:c>
      <x:c r="Q764" s="42" t="n">
        <x:f>IF(AND(L764&lt;=L716,L764&lt;=L748,L764&lt;=L732,M764&lt;=M768,M764&lt;=M756,M764&lt;=M760,N764&lt;=N765,N764&lt;=N762,N764&lt;=N763),1,0)</x:f>
        <x:v>0</x:v>
      </x:c>
      <x:c r="R764" s="42" t="n">
        <x:v>0</x:v>
      </x:c>
      <x:c r="S764" s="42" t="n">
        <x:v>0</x:v>
      </x:c>
    </x:row>
    <x:row r="765">
      <x:c r="A765" t="n">
        <x:v>12</x:v>
      </x:c>
      <x:c r="B765" t="n">
        <x:v>3</x:v>
      </x:c>
      <x:c r="C765" t="n">
        <x:v>0</x:v>
      </x:c>
      <x:c r="D765" t="n">
        <x:v>4</x:v>
      </x:c>
      <x:c r="E765" t="str">
        <x:v>vov</x:v>
      </x:c>
      <x:c r="F765" s="45" t="n">
        <x:f>(3/2)*$B765+(1/2)*$C765</x:f>
        <x:v>4.5</x:v>
      </x:c>
      <x:c r="G765" s="45" t="n">
        <x:f>0</x:f>
        <x:v>0</x:v>
      </x:c>
      <x:c r="H765" s="45" t="n">
        <x:f>(3/2)*$B765+(1/2)*$C765</x:f>
        <x:v>4.5</x:v>
      </x:c>
      <x:c r="I765" s="45" t="n">
        <x:f>MAX((1/2)*($C765-$B765),0)</x:f>
        <x:v>0</x:v>
      </x:c>
      <x:c r="J765" s="45" t="n">
        <x:f>0</x:f>
        <x:v>0</x:v>
      </x:c>
      <x:c r="K765" s="45" t="n">
        <x:f>MAX((1/2)*($C765-$B765),0)</x:f>
        <x:v>0</x:v>
      </x:c>
      <x:c r="L765" s="45" t="n">
        <x:f>F765+I765</x:f>
        <x:v>4.5</x:v>
      </x:c>
      <x:c r="M765" s="45" t="n">
        <x:f>G765+J765</x:f>
        <x:v>0</x:v>
      </x:c>
      <x:c r="N765" s="45" t="n">
        <x:f>H765+K765</x:f>
        <x:v>4.5</x:v>
      </x:c>
      <x:c r="O765" s="45" t="n">
        <x:f>SUM(F765:H765)</x:f>
        <x:v>9</x:v>
      </x:c>
      <x:c r="P765" s="42" t="n">
        <x:f>IF(AND(F765&lt;=F717,F765&lt;=F749,F765&lt;=F733,G765&lt;=G769,G765&lt;=G757,G765&lt;=G761,H765&lt;=H762,H765&lt;=H764,H765&lt;=H763),1,0)</x:f>
        <x:v>0</x:v>
      </x:c>
      <x:c r="Q765" s="42" t="n">
        <x:f>IF(AND(L765&lt;=L717,L765&lt;=L749,L765&lt;=L733,M765&lt;=M769,M765&lt;=M757,M765&lt;=M761,N765&lt;=N762,N765&lt;=N764,N765&lt;=N763),1,0)</x:f>
        <x:v>0</x:v>
      </x:c>
      <x:c r="R765" s="42" t="n">
        <x:v>0</x:v>
      </x:c>
      <x:c r="S765" s="42" t="n">
        <x:v>0</x:v>
      </x:c>
    </x:row>
    <x:row r="766">
      <x:c r="A766" t="n">
        <x:v>12</x:v>
      </x:c>
      <x:c r="B766" t="n">
        <x:v>3</x:v>
      </x:c>
      <x:c r="C766" t="n">
        <x:v>0</x:v>
      </x:c>
      <x:c r="D766" t="n">
        <x:v>4</x:v>
      </x:c>
      <x:c r="E766" t="str">
        <x:v>vve</x:v>
      </x:c>
      <x:c r="F766" s="45" t="n">
        <x:f>(3/2)*$B766+(1/2)*$C766</x:f>
        <x:v>4.5</x:v>
      </x:c>
      <x:c r="G766" s="45" t="n">
        <x:f>(3/2)*$B766+(1/2)*$C766</x:f>
        <x:v>4.5</x:v>
      </x:c>
      <x:c r="H766" s="45" t="n">
        <x:f>1*$C766</x:f>
        <x:v>0</x:v>
      </x:c>
      <x:c r="I766" s="45" t="n">
        <x:f>MAX((3/2)*($C766-$B766),0)</x:f>
        <x:v>0</x:v>
      </x:c>
      <x:c r="J766" s="45" t="n">
        <x:f>MAX((3/2)*($C766-$B766),0)</x:f>
        <x:v>0</x:v>
      </x:c>
      <x:c r="K766" s="45" t="n">
        <x:f>0</x:f>
        <x:v>0</x:v>
      </x:c>
      <x:c r="L766" s="45" t="n">
        <x:f>F766+I766</x:f>
        <x:v>4.5</x:v>
      </x:c>
      <x:c r="M766" s="45" t="n">
        <x:f>G766+J766</x:f>
        <x:v>4.5</x:v>
      </x:c>
      <x:c r="N766" s="45" t="n">
        <x:f>H766+K766</x:f>
        <x:v>0</x:v>
      </x:c>
      <x:c r="O766" s="45" t="n">
        <x:f>SUM(F766:H766)</x:f>
        <x:v>9</x:v>
      </x:c>
      <x:c r="P766" s="42" t="n">
        <x:f>IF(AND(F766&lt;=F718,F766&lt;=F750,F766&lt;=F734,G766&lt;=G754,G766&lt;=G762,G766&lt;=G758,H766&lt;=H769,H766&lt;=H768,H766&lt;=H767),1,0)</x:f>
        <x:v>0</x:v>
      </x:c>
      <x:c r="Q766" s="42" t="n">
        <x:f>IF(AND(L766&lt;=L718,L766&lt;=L750,L766&lt;=L734,M766&lt;=M754,M766&lt;=M762,M766&lt;=M758,N766&lt;=N769,N766&lt;=N768,N766&lt;=N767),1,0)</x:f>
        <x:v>0</x:v>
      </x:c>
      <x:c r="R766" s="42" t="n">
        <x:v>0</x:v>
      </x:c>
      <x:c r="S766" s="42" t="n">
        <x:v>0</x:v>
      </x:c>
    </x:row>
    <x:row r="767">
      <x:c r="A767" t="n">
        <x:v>12</x:v>
      </x:c>
      <x:c r="B767" t="n">
        <x:v>3</x:v>
      </x:c>
      <x:c r="C767" t="n">
        <x:v>0</x:v>
      </x:c>
      <x:c r="D767" t="n">
        <x:v>4</x:v>
      </x:c>
      <x:c r="E767" t="str">
        <x:v>vvl</x:v>
      </x:c>
      <x:c r="F767" s="45" t="n">
        <x:f>(3/2)*$B767+(1/2)*$C767</x:f>
        <x:v>4.5</x:v>
      </x:c>
      <x:c r="G767" s="45" t="n">
        <x:f>(3/2)*$B767+(1/2)*$C767</x:f>
        <x:v>4.5</x:v>
      </x:c>
      <x:c r="H767" s="45" t="n">
        <x:f>1*$D767</x:f>
        <x:v>4</x:v>
      </x:c>
      <x:c r="I767" s="45" t="n">
        <x:f>MAX((1/2)*($C767-$B767),0)</x:f>
        <x:v>0</x:v>
      </x:c>
      <x:c r="J767" s="45" t="n">
        <x:f>MAX((1/2)*($C767-$B767),0)</x:f>
        <x:v>0</x:v>
      </x:c>
      <x:c r="K767" s="45" t="n">
        <x:f>0</x:f>
        <x:v>0</x:v>
      </x:c>
      <x:c r="L767" s="45" t="n">
        <x:f>F767+I767</x:f>
        <x:v>4.5</x:v>
      </x:c>
      <x:c r="M767" s="45" t="n">
        <x:f>G767+J767</x:f>
        <x:v>4.5</x:v>
      </x:c>
      <x:c r="N767" s="45" t="n">
        <x:f>H767+K767</x:f>
        <x:v>4</x:v>
      </x:c>
      <x:c r="O767" s="45" t="n">
        <x:f>SUM(F767:H767)</x:f>
        <x:v>13</x:v>
      </x:c>
      <x:c r="P767" s="42" t="n">
        <x:f>IF(AND(F767&lt;=F719,F767&lt;=F751,F767&lt;=F735,G767&lt;=G755,G767&lt;=G763,G767&lt;=G759,H767&lt;=H769,H767&lt;=H766,H767&lt;=H768),1,0)</x:f>
        <x:v>0</x:v>
      </x:c>
      <x:c r="Q767" s="42" t="n">
        <x:f>IF(AND(L767&lt;=L719,L767&lt;=L751,L767&lt;=L735,M767&lt;=M755,M767&lt;=M763,M767&lt;=M759,N767&lt;=N769,N767&lt;=N766,N767&lt;=N768),1,0)</x:f>
        <x:v>0</x:v>
      </x:c>
      <x:c r="R767" s="42" t="n">
        <x:v>0</x:v>
      </x:c>
      <x:c r="S767" s="42" t="n">
        <x:v>0</x:v>
      </x:c>
    </x:row>
    <x:row r="768">
      <x:c r="A768" t="n">
        <x:v>12</x:v>
      </x:c>
      <x:c r="B768" t="n">
        <x:v>3</x:v>
      </x:c>
      <x:c r="C768" t="n">
        <x:v>0</x:v>
      </x:c>
      <x:c r="D768" t="n">
        <x:v>4</x:v>
      </x:c>
      <x:c r="E768" t="str">
        <x:v>vvo</x:v>
      </x:c>
      <x:c r="F768" s="45" t="n">
        <x:f>(3/2)*$B768+(1/2)*$C768</x:f>
        <x:v>4.5</x:v>
      </x:c>
      <x:c r="G768" s="45" t="n">
        <x:f>(3/2)*$B768+(1/2)*$C768</x:f>
        <x:v>4.5</x:v>
      </x:c>
      <x:c r="H768" s="45" t="n">
        <x:f>0</x:f>
        <x:v>0</x:v>
      </x:c>
      <x:c r="I768" s="45" t="n">
        <x:f>MAX((1/2)*($C768-$B768),0)</x:f>
        <x:v>0</x:v>
      </x:c>
      <x:c r="J768" s="45" t="n">
        <x:f>MAX((1/2)*($C768-$B768),0)</x:f>
        <x:v>0</x:v>
      </x:c>
      <x:c r="K768" s="45" t="n">
        <x:f>0</x:f>
        <x:v>0</x:v>
      </x:c>
      <x:c r="L768" s="45" t="n">
        <x:f>F768+I768</x:f>
        <x:v>4.5</x:v>
      </x:c>
      <x:c r="M768" s="45" t="n">
        <x:f>G768+J768</x:f>
        <x:v>4.5</x:v>
      </x:c>
      <x:c r="N768" s="45" t="n">
        <x:f>H768+K768</x:f>
        <x:v>0</x:v>
      </x:c>
      <x:c r="O768" s="45" t="n">
        <x:f>SUM(F768:H768)</x:f>
        <x:v>9</x:v>
      </x:c>
      <x:c r="P768" s="42" t="n">
        <x:f>IF(AND(F768&lt;=F720,F768&lt;=F752,F768&lt;=F736,G768&lt;=G756,G768&lt;=G764,G768&lt;=G760,H768&lt;=H769,H768&lt;=H766,H768&lt;=H767),1,0)</x:f>
        <x:v>0</x:v>
      </x:c>
      <x:c r="Q768" s="42" t="n">
        <x:f>IF(AND(L768&lt;=L720,L768&lt;=L752,L768&lt;=L736,M768&lt;=M756,M768&lt;=M764,M768&lt;=M760,N768&lt;=N769,N768&lt;=N766,N768&lt;=N767),1,0)</x:f>
        <x:v>0</x:v>
      </x:c>
      <x:c r="R768" s="42" t="n">
        <x:v>0</x:v>
      </x:c>
      <x:c r="S768" s="42" t="n">
        <x:v>0</x:v>
      </x:c>
    </x:row>
    <x:row r="769">
      <x:c r="A769" t="n">
        <x:v>12</x:v>
      </x:c>
      <x:c r="B769" t="n">
        <x:v>3</x:v>
      </x:c>
      <x:c r="C769" t="n">
        <x:v>0</x:v>
      </x:c>
      <x:c r="D769" t="n">
        <x:v>4</x:v>
      </x:c>
      <x:c r="E769" t="str">
        <x:v>vvv</x:v>
      </x:c>
      <x:c r="F769" s="45" t="n">
        <x:f>1*$B769+1*$C769</x:f>
        <x:v>3</x:v>
      </x:c>
      <x:c r="G769" s="45" t="n">
        <x:f>1*$B769+1*$C769</x:f>
        <x:v>3</x:v>
      </x:c>
      <x:c r="H769" s="45" t="n">
        <x:f>1*$B769+1*$C769</x:f>
        <x:v>3</x:v>
      </x:c>
      <x:c r="I769" s="45" t="n">
        <x:f>MAX($C769-$B769,0)</x:f>
        <x:v>0</x:v>
      </x:c>
      <x:c r="J769" s="45" t="n">
        <x:f>MAX($C769-$B769,0)</x:f>
        <x:v>0</x:v>
      </x:c>
      <x:c r="K769" s="45" t="n">
        <x:f>MAX($C769-$B769,0)</x:f>
        <x:v>0</x:v>
      </x:c>
      <x:c r="L769" s="45" t="n">
        <x:f>F769+I769</x:f>
        <x:v>3</x:v>
      </x:c>
      <x:c r="M769" s="45" t="n">
        <x:f>G769+J769</x:f>
        <x:v>3</x:v>
      </x:c>
      <x:c r="N769" s="45" t="n">
        <x:f>H769+K769</x:f>
        <x:v>3</x:v>
      </x:c>
      <x:c r="O769" s="45" t="n">
        <x:f>SUM(F769:H769)</x:f>
        <x:v>9</x:v>
      </x:c>
      <x:c r="P769" s="42" t="n">
        <x:f>IF(AND(F769&lt;=F721,F769&lt;=F753,F769&lt;=F737,G769&lt;=G757,G769&lt;=G765,G769&lt;=G761,H769&lt;=H766,H769&lt;=H768,H769&lt;=H767),1,0)</x:f>
        <x:v>0</x:v>
      </x:c>
      <x:c r="Q769" s="42" t="n">
        <x:f>IF(AND(L769&lt;=L721,L769&lt;=L753,L769&lt;=L737,M769&lt;=M757,M769&lt;=M765,M769&lt;=M761,N769&lt;=N766,N769&lt;=N768,N769&lt;=N767),1,0)</x:f>
        <x:v>0</x:v>
      </x:c>
      <x:c r="R769" s="42" t="n">
        <x:v>0</x:v>
      </x:c>
      <x:c r="S769" s="42" t="n">
        <x:v>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7" hidden="0" customWidth="1"/>
    <x:col min="11" max="11" width="17" hidden="0" customWidth="1"/>
    <x:col min="12" max="12" width="17" hidden="0" customWidth="1"/>
    <x:col min="13" max="13" width="17" hidden="0" customWidth="1"/>
    <x:col min="14" max="14" width="17" hidden="0" customWidth="1"/>
  </x:cols>
  <x:sheetData>
    <x:row r="1">
      <x:c r="A1" s="26" t="str">
        <x:v>Profile</x:v>
      </x:c>
      <x:c r="B1" s="39" t="str">
        <x:v>Player</x:v>
      </x:c>
      <x:c r="C1" s="39" t="str">
        <x:v>Departure</x:v>
      </x:c>
      <x:c r="D1" s="39" t="str">
        <x:v>P(v)</x:v>
      </x:c>
      <x:c r="E1" s="39" t="str">
        <x:v>P(e)</x:v>
      </x:c>
      <x:c r="F1" s="39" t="str">
        <x:v>P(o)</x:v>
      </x:c>
      <x:c r="G1" s="39" t="str">
        <x:v>P(l)</x:v>
      </x:c>
      <x:c r="H1" s="39" t="str">
        <x:v>P(r)</x:v>
      </x:c>
      <x:c r="I1" s="39" t="str">
        <x:v>P(s)</x:v>
      </x:c>
      <x:c r="J1" s="39" t="str">
        <x:v>Expected delay</x:v>
      </x:c>
      <x:c r="K1" s="39" t="str">
        <x:v>Early coefficient</x:v>
      </x:c>
      <x:c r="L1" s="39" t="str">
        <x:v>Late coefficient</x:v>
      </x:c>
      <x:c r="M1" s="39" t="str">
        <x:v>Probability sum</x:v>
      </x:c>
      <x:c r="N1" s="27" t="str">
        <x:v>Invalid sum flag</x:v>
      </x:c>
    </x:row>
    <x:row r="2">
      <x:c r="A2" t="str">
        <x:v>eee</x:v>
      </x:c>
      <x:c r="B2" t="str">
        <x:v>A</x:v>
      </x:c>
      <x:c r="C2" t="str">
        <x:v>e</x:v>
      </x:c>
      <x:c r="D2" s="45" t="n">
        <x:v>0</x:v>
      </x:c>
      <x:c r="E2" s="45" t="n">
        <x:v>0.3333333333333333</x:v>
      </x:c>
      <x:c r="F2" s="45" t="n">
        <x:v>0.3333333333333333</x:v>
      </x:c>
      <x:c r="G2" s="45" t="n">
        <x:v>0.3333333333333333</x:v>
      </x:c>
      <x:c r="H2" s="45" t="n">
        <x:v>0</x:v>
      </x:c>
      <x:c r="I2" s="45" t="n">
        <x:v>0</x:v>
      </x:c>
      <x:c r="J2" s="45" t="n">
        <x:v>1</x:v>
      </x:c>
      <x:c r="K2" s="45" t="n">
        <x:v>0.3333333333333333</x:v>
      </x:c>
      <x:c r="L2" s="45" t="n">
        <x:v>0.3333333333333333</x:v>
      </x:c>
      <x:c r="M2" s="45" t="n">
        <x:f>SUM(D2:I2)</x:f>
        <x:v>1</x:v>
      </x:c>
      <x:c r="N2" s="42" t="n">
        <x:f>IF(ABS(M2-1)&gt;0.000001,1,0)</x:f>
        <x:v>0</x:v>
      </x:c>
    </x:row>
    <x:row r="3">
      <x:c r="A3" t="str">
        <x:v>eee</x:v>
      </x:c>
      <x:c r="B3" t="str">
        <x:v>B</x:v>
      </x:c>
      <x:c r="C3" t="str">
        <x:v>e</x:v>
      </x:c>
      <x:c r="D3" s="45" t="n">
        <x:v>0</x:v>
      </x:c>
      <x:c r="E3" s="45" t="n">
        <x:v>0.3333333333333333</x:v>
      </x:c>
      <x:c r="F3" s="45" t="n">
        <x:v>0.3333333333333333</x:v>
      </x:c>
      <x:c r="G3" s="45" t="n">
        <x:v>0.3333333333333333</x:v>
      </x:c>
      <x:c r="H3" s="45" t="n">
        <x:v>0</x:v>
      </x:c>
      <x:c r="I3" s="45" t="n">
        <x:v>0</x:v>
      </x:c>
      <x:c r="J3" s="45" t="n">
        <x:v>1</x:v>
      </x:c>
      <x:c r="K3" s="45" t="n">
        <x:v>0.3333333333333333</x:v>
      </x:c>
      <x:c r="L3" s="45" t="n">
        <x:v>0.3333333333333333</x:v>
      </x:c>
      <x:c r="M3" s="45" t="n">
        <x:f>SUM(D3:I3)</x:f>
        <x:v>1</x:v>
      </x:c>
      <x:c r="N3" s="42" t="n">
        <x:f>IF(ABS(M3-1)&gt;0.000001,1,0)</x:f>
        <x:v>0</x:v>
      </x:c>
    </x:row>
    <x:row r="4">
      <x:c r="A4" t="str">
        <x:v>eee</x:v>
      </x:c>
      <x:c r="B4" t="str">
        <x:v>C</x:v>
      </x:c>
      <x:c r="C4" t="str">
        <x:v>e</x:v>
      </x:c>
      <x:c r="D4" s="45" t="n">
        <x:v>0</x:v>
      </x:c>
      <x:c r="E4" s="45" t="n">
        <x:v>0.3333333333333333</x:v>
      </x:c>
      <x:c r="F4" s="45" t="n">
        <x:v>0.3333333333333333</x:v>
      </x:c>
      <x:c r="G4" s="45" t="n">
        <x:v>0.3333333333333333</x:v>
      </x:c>
      <x:c r="H4" s="45" t="n">
        <x:v>0</x:v>
      </x:c>
      <x:c r="I4" s="45" t="n">
        <x:v>0</x:v>
      </x:c>
      <x:c r="J4" s="45" t="n">
        <x:v>1</x:v>
      </x:c>
      <x:c r="K4" s="45" t="n">
        <x:v>0.3333333333333333</x:v>
      </x:c>
      <x:c r="L4" s="45" t="n">
        <x:v>0.3333333333333333</x:v>
      </x:c>
      <x:c r="M4" s="45" t="n">
        <x:f>SUM(D4:I4)</x:f>
        <x:v>1</x:v>
      </x:c>
      <x:c r="N4" s="42" t="n">
        <x:f>IF(ABS(M4-1)&gt;0.000001,1,0)</x:f>
        <x:v>0</x:v>
      </x:c>
    </x:row>
    <x:row r="5">
      <x:c r="A5" t="str">
        <x:v>eel</x:v>
      </x:c>
      <x:c r="B5" t="str">
        <x:v>A</x:v>
      </x:c>
      <x:c r="C5" t="str">
        <x:v>e</x:v>
      </x:c>
      <x:c r="D5" s="45" t="n">
        <x:v>0</x:v>
      </x:c>
      <x:c r="E5" s="45" t="n">
        <x:v>0.5</x:v>
      </x:c>
      <x:c r="F5" s="45" t="n">
        <x:v>0.5</x:v>
      </x:c>
      <x:c r="G5" s="45" t="n">
        <x:v>0</x:v>
      </x:c>
      <x:c r="H5" s="45" t="n">
        <x:v>0</x:v>
      </x:c>
      <x:c r="I5" s="45" t="n">
        <x:v>0</x:v>
      </x:c>
      <x:c r="J5" s="45" t="n">
        <x:v>0.5</x:v>
      </x:c>
      <x:c r="K5" s="45" t="n">
        <x:v>0.5</x:v>
      </x:c>
      <x:c r="L5" s="45" t="n">
        <x:v>0</x:v>
      </x:c>
      <x:c r="M5" s="45" t="n">
        <x:f>SUM(D5:I5)</x:f>
        <x:v>1</x:v>
      </x:c>
      <x:c r="N5" s="42" t="n">
        <x:f>IF(ABS(M5-1)&gt;0.000001,1,0)</x:f>
        <x:v>0</x:v>
      </x:c>
    </x:row>
    <x:row r="6">
      <x:c r="A6" t="str">
        <x:v>eel</x:v>
      </x:c>
      <x:c r="B6" t="str">
        <x:v>B</x:v>
      </x:c>
      <x:c r="C6" t="str">
        <x:v>e</x:v>
      </x:c>
      <x:c r="D6" s="45" t="n">
        <x:v>0</x:v>
      </x:c>
      <x:c r="E6" s="45" t="n">
        <x:v>0.5</x:v>
      </x:c>
      <x:c r="F6" s="45" t="n">
        <x:v>0.5</x:v>
      </x:c>
      <x:c r="G6" s="45" t="n">
        <x:v>0</x:v>
      </x:c>
      <x:c r="H6" s="45" t="n">
        <x:v>0</x:v>
      </x:c>
      <x:c r="I6" s="45" t="n">
        <x:v>0</x:v>
      </x:c>
      <x:c r="J6" s="45" t="n">
        <x:v>0.5</x:v>
      </x:c>
      <x:c r="K6" s="45" t="n">
        <x:v>0.5</x:v>
      </x:c>
      <x:c r="L6" s="45" t="n">
        <x:v>0</x:v>
      </x:c>
      <x:c r="M6" s="45" t="n">
        <x:f>SUM(D6:I6)</x:f>
        <x:v>1</x:v>
      </x:c>
      <x:c r="N6" s="42" t="n">
        <x:f>IF(ABS(M6-1)&gt;0.000001,1,0)</x:f>
        <x:v>0</x:v>
      </x:c>
    </x:row>
    <x:row r="7">
      <x:c r="A7" t="str">
        <x:v>eel</x:v>
      </x:c>
      <x:c r="B7" t="str">
        <x:v>C</x:v>
      </x:c>
      <x:c r="C7" t="str">
        <x:v>l</x:v>
      </x:c>
      <x:c r="D7" s="45" t="n">
        <x:v>0</x:v>
      </x:c>
      <x:c r="E7" s="45" t="n">
        <x:v>0</x:v>
      </x:c>
      <x:c r="F7" s="45" t="n">
        <x:v>0</x:v>
      </x:c>
      <x:c r="G7" s="45" t="n">
        <x:v>1</x:v>
      </x:c>
      <x:c r="H7" s="45" t="n">
        <x:v>0</x:v>
      </x:c>
      <x:c r="I7" s="45" t="n">
        <x:v>0</x:v>
      </x:c>
      <x:c r="J7" s="45" t="n">
        <x:v>0</x:v>
      </x:c>
      <x:c r="K7" s="45" t="n">
        <x:v>0</x:v>
      </x:c>
      <x:c r="L7" s="45" t="n">
        <x:v>1</x:v>
      </x:c>
      <x:c r="M7" s="45" t="n">
        <x:f>SUM(D7:I7)</x:f>
        <x:v>1</x:v>
      </x:c>
      <x:c r="N7" s="42" t="n">
        <x:f>IF(ABS(M7-1)&gt;0.000001,1,0)</x:f>
        <x:v>0</x:v>
      </x:c>
    </x:row>
    <x:row r="8">
      <x:c r="A8" t="str">
        <x:v>eeo</x:v>
      </x:c>
      <x:c r="B8" t="str">
        <x:v>A</x:v>
      </x:c>
      <x:c r="C8" t="str">
        <x:v>e</x:v>
      </x:c>
      <x:c r="D8" s="45" t="n">
        <x:v>0</x:v>
      </x:c>
      <x:c r="E8" s="45" t="n">
        <x:v>0.5</x:v>
      </x:c>
      <x:c r="F8" s="45" t="n">
        <x:v>0.5</x:v>
      </x:c>
      <x:c r="G8" s="45" t="n">
        <x:v>0</x:v>
      </x:c>
      <x:c r="H8" s="45" t="n">
        <x:v>0</x:v>
      </x:c>
      <x:c r="I8" s="45" t="n">
        <x:v>0</x:v>
      </x:c>
      <x:c r="J8" s="45" t="n">
        <x:v>0.5</x:v>
      </x:c>
      <x:c r="K8" s="45" t="n">
        <x:v>0.5</x:v>
      </x:c>
      <x:c r="L8" s="45" t="n">
        <x:v>0</x:v>
      </x:c>
      <x:c r="M8" s="45" t="n">
        <x:f>SUM(D8:I8)</x:f>
        <x:v>1</x:v>
      </x:c>
      <x:c r="N8" s="42" t="n">
        <x:f>IF(ABS(M8-1)&gt;0.000001,1,0)</x:f>
        <x:v>0</x:v>
      </x:c>
    </x:row>
    <x:row r="9">
      <x:c r="A9" t="str">
        <x:v>eeo</x:v>
      </x:c>
      <x:c r="B9" t="str">
        <x:v>B</x:v>
      </x:c>
      <x:c r="C9" t="str">
        <x:v>e</x:v>
      </x:c>
      <x:c r="D9" s="45" t="n">
        <x:v>0</x:v>
      </x:c>
      <x:c r="E9" s="45" t="n">
        <x:v>0.5</x:v>
      </x:c>
      <x:c r="F9" s="45" t="n">
        <x:v>0.5</x:v>
      </x:c>
      <x:c r="G9" s="45" t="n">
        <x:v>0</x:v>
      </x:c>
      <x:c r="H9" s="45" t="n">
        <x:v>0</x:v>
      </x:c>
      <x:c r="I9" s="45" t="n">
        <x:v>0</x:v>
      </x:c>
      <x:c r="J9" s="45" t="n">
        <x:v>0.5</x:v>
      </x:c>
      <x:c r="K9" s="45" t="n">
        <x:v>0.5</x:v>
      </x:c>
      <x:c r="L9" s="45" t="n">
        <x:v>0</x:v>
      </x:c>
      <x:c r="M9" s="45" t="n">
        <x:f>SUM(D9:I9)</x:f>
        <x:v>1</x:v>
      </x:c>
      <x:c r="N9" s="42" t="n">
        <x:f>IF(ABS(M9-1)&gt;0.000001,1,0)</x:f>
        <x:v>0</x:v>
      </x:c>
    </x:row>
    <x:row r="10">
      <x:c r="A10" t="str">
        <x:v>eeo</x:v>
      </x:c>
      <x:c r="B10" t="str">
        <x:v>C</x:v>
      </x:c>
      <x:c r="C10" t="str">
        <x:v>o</x:v>
      </x:c>
      <x:c r="D10" s="45" t="n">
        <x:v>0</x:v>
      </x:c>
      <x:c r="E10" s="45" t="n">
        <x:v>0</x:v>
      </x:c>
      <x:c r="F10" s="45" t="n">
        <x:v>0</x:v>
      </x:c>
      <x:c r="G10" s="45" t="n">
        <x:v>1</x:v>
      </x:c>
      <x:c r="H10" s="45" t="n">
        <x:v>0</x:v>
      </x:c>
      <x:c r="I10" s="45" t="n">
        <x:v>0</x:v>
      </x:c>
      <x:c r="J10" s="45" t="n">
        <x:v>1</x:v>
      </x:c>
      <x:c r="K10" s="45" t="n">
        <x:v>0</x:v>
      </x:c>
      <x:c r="L10" s="45" t="n">
        <x:v>1</x:v>
      </x:c>
      <x:c r="M10" s="45" t="n">
        <x:f>SUM(D10:I10)</x:f>
        <x:v>1</x:v>
      </x:c>
      <x:c r="N10" s="42" t="n">
        <x:f>IF(ABS(M10-1)&gt;0.000001,1,0)</x:f>
        <x:v>0</x:v>
      </x:c>
    </x:row>
    <x:row r="11">
      <x:c r="A11" t="str">
        <x:v>eev</x:v>
      </x:c>
      <x:c r="B11" t="str">
        <x:v>A</x:v>
      </x:c>
      <x:c r="C11" t="str">
        <x:v>e</x:v>
      </x:c>
      <x:c r="D11" s="45" t="n">
        <x:v>0</x:v>
      </x:c>
      <x:c r="E11" s="45" t="n">
        <x:v>0.5</x:v>
      </x:c>
      <x:c r="F11" s="45" t="n">
        <x:v>0.5</x:v>
      </x:c>
      <x:c r="G11" s="45" t="n">
        <x:v>0</x:v>
      </x:c>
      <x:c r="H11" s="45" t="n">
        <x:v>0</x:v>
      </x:c>
      <x:c r="I11" s="45" t="n">
        <x:v>0</x:v>
      </x:c>
      <x:c r="J11" s="45" t="n">
        <x:v>0.5</x:v>
      </x:c>
      <x:c r="K11" s="45" t="n">
        <x:v>0.5</x:v>
      </x:c>
      <x:c r="L11" s="45" t="n">
        <x:v>0</x:v>
      </x:c>
      <x:c r="M11" s="45" t="n">
        <x:f>SUM(D11:I11)</x:f>
        <x:v>1</x:v>
      </x:c>
      <x:c r="N11" s="42" t="n">
        <x:f>IF(ABS(M11-1)&gt;0.000001,1,0)</x:f>
        <x:v>0</x:v>
      </x:c>
    </x:row>
    <x:row r="12">
      <x:c r="A12" t="str">
        <x:v>eev</x:v>
      </x:c>
      <x:c r="B12" t="str">
        <x:v>B</x:v>
      </x:c>
      <x:c r="C12" t="str">
        <x:v>e</x:v>
      </x:c>
      <x:c r="D12" s="45" t="n">
        <x:v>0</x:v>
      </x:c>
      <x:c r="E12" s="45" t="n">
        <x:v>0.5</x:v>
      </x:c>
      <x:c r="F12" s="45" t="n">
        <x:v>0.5</x:v>
      </x:c>
      <x:c r="G12" s="45" t="n">
        <x:v>0</x:v>
      </x:c>
      <x:c r="H12" s="45" t="n">
        <x:v>0</x:v>
      </x:c>
      <x:c r="I12" s="45" t="n">
        <x:v>0</x:v>
      </x:c>
      <x:c r="J12" s="45" t="n">
        <x:v>0.5</x:v>
      </x:c>
      <x:c r="K12" s="45" t="n">
        <x:v>0.5</x:v>
      </x:c>
      <x:c r="L12" s="45" t="n">
        <x:v>0</x:v>
      </x:c>
      <x:c r="M12" s="45" t="n">
        <x:f>SUM(D12:I12)</x:f>
        <x:v>1</x:v>
      </x:c>
      <x:c r="N12" s="42" t="n">
        <x:f>IF(ABS(M12-1)&gt;0.000001,1,0)</x:f>
        <x:v>0</x:v>
      </x:c>
    </x:row>
    <x:row r="13">
      <x:c r="A13" t="str">
        <x:v>eev</x:v>
      </x:c>
      <x:c r="B13" t="str">
        <x:v>C</x:v>
      </x:c>
      <x:c r="C13" t="str">
        <x:v>v</x:v>
      </x:c>
      <x:c r="D13" s="45" t="n">
        <x:v>1</x:v>
      </x:c>
      <x:c r="E13" s="45" t="n">
        <x:v>0</x:v>
      </x:c>
      <x:c r="F13" s="45" t="n">
        <x:v>0</x:v>
      </x:c>
      <x:c r="G13" s="45" t="n">
        <x:v>0</x:v>
      </x:c>
      <x:c r="H13" s="45" t="n">
        <x:v>0</x:v>
      </x:c>
      <x:c r="I13" s="45" t="n">
        <x:v>0</x:v>
      </x:c>
      <x:c r="J13" s="45" t="n">
        <x:v>0</x:v>
      </x:c>
      <x:c r="K13" s="45" t="n">
        <x:v>2</x:v>
      </x:c>
      <x:c r="L13" s="45" t="n">
        <x:v>0</x:v>
      </x:c>
      <x:c r="M13" s="45" t="n">
        <x:f>SUM(D13:I13)</x:f>
        <x:v>1</x:v>
      </x:c>
      <x:c r="N13" s="42" t="n">
        <x:f>IF(ABS(M13-1)&gt;0.000001,1,0)</x:f>
        <x:v>0</x:v>
      </x:c>
    </x:row>
    <x:row r="14">
      <x:c r="A14" t="str">
        <x:v>ele</x:v>
      </x:c>
      <x:c r="B14" t="str">
        <x:v>A</x:v>
      </x:c>
      <x:c r="C14" t="str">
        <x:v>e</x:v>
      </x:c>
      <x:c r="D14" s="45" t="n">
        <x:v>0</x:v>
      </x:c>
      <x:c r="E14" s="45" t="n">
        <x:v>0.5</x:v>
      </x:c>
      <x:c r="F14" s="45" t="n">
        <x:v>0.5</x:v>
      </x:c>
      <x:c r="G14" s="45" t="n">
        <x:v>0</x:v>
      </x:c>
      <x:c r="H14" s="45" t="n">
        <x:v>0</x:v>
      </x:c>
      <x:c r="I14" s="45" t="n">
        <x:v>0</x:v>
      </x:c>
      <x:c r="J14" s="45" t="n">
        <x:v>0.5</x:v>
      </x:c>
      <x:c r="K14" s="45" t="n">
        <x:v>0.5</x:v>
      </x:c>
      <x:c r="L14" s="45" t="n">
        <x:v>0</x:v>
      </x:c>
      <x:c r="M14" s="45" t="n">
        <x:f>SUM(D14:I14)</x:f>
        <x:v>1</x:v>
      </x:c>
      <x:c r="N14" s="42" t="n">
        <x:f>IF(ABS(M14-1)&gt;0.000001,1,0)</x:f>
        <x:v>0</x:v>
      </x:c>
    </x:row>
    <x:row r="15">
      <x:c r="A15" t="str">
        <x:v>ele</x:v>
      </x:c>
      <x:c r="B15" t="str">
        <x:v>B</x:v>
      </x:c>
      <x:c r="C15" t="str">
        <x:v>l</x:v>
      </x:c>
      <x:c r="D15" s="45" t="n">
        <x:v>0</x:v>
      </x:c>
      <x:c r="E15" s="45" t="n">
        <x:v>0</x:v>
      </x:c>
      <x:c r="F15" s="45" t="n">
        <x:v>0</x:v>
      </x:c>
      <x:c r="G15" s="45" t="n">
        <x:v>1</x:v>
      </x:c>
      <x:c r="H15" s="45" t="n">
        <x:v>0</x:v>
      </x:c>
      <x:c r="I15" s="45" t="n">
        <x:v>0</x:v>
      </x:c>
      <x:c r="J15" s="45" t="n">
        <x:v>0</x:v>
      </x:c>
      <x:c r="K15" s="45" t="n">
        <x:v>0</x:v>
      </x:c>
      <x:c r="L15" s="45" t="n">
        <x:v>1</x:v>
      </x:c>
      <x:c r="M15" s="45" t="n">
        <x:f>SUM(D15:I15)</x:f>
        <x:v>1</x:v>
      </x:c>
      <x:c r="N15" s="42" t="n">
        <x:f>IF(ABS(M15-1)&gt;0.000001,1,0)</x:f>
        <x:v>0</x:v>
      </x:c>
    </x:row>
    <x:row r="16">
      <x:c r="A16" t="str">
        <x:v>ele</x:v>
      </x:c>
      <x:c r="B16" t="str">
        <x:v>C</x:v>
      </x:c>
      <x:c r="C16" t="str">
        <x:v>e</x:v>
      </x:c>
      <x:c r="D16" s="45" t="n">
        <x:v>0</x:v>
      </x:c>
      <x:c r="E16" s="45" t="n">
        <x:v>0.5</x:v>
      </x:c>
      <x:c r="F16" s="45" t="n">
        <x:v>0.5</x:v>
      </x:c>
      <x:c r="G16" s="45" t="n">
        <x:v>0</x:v>
      </x:c>
      <x:c r="H16" s="45" t="n">
        <x:v>0</x:v>
      </x:c>
      <x:c r="I16" s="45" t="n">
        <x:v>0</x:v>
      </x:c>
      <x:c r="J16" s="45" t="n">
        <x:v>0.5</x:v>
      </x:c>
      <x:c r="K16" s="45" t="n">
        <x:v>0.5</x:v>
      </x:c>
      <x:c r="L16" s="45" t="n">
        <x:v>0</x:v>
      </x:c>
      <x:c r="M16" s="45" t="n">
        <x:f>SUM(D16:I16)</x:f>
        <x:v>1</x:v>
      </x:c>
      <x:c r="N16" s="42" t="n">
        <x:f>IF(ABS(M16-1)&gt;0.000001,1,0)</x:f>
        <x:v>0</x:v>
      </x:c>
    </x:row>
    <x:row r="17">
      <x:c r="A17" t="str">
        <x:v>ell</x:v>
      </x:c>
      <x:c r="B17" t="str">
        <x:v>A</x:v>
      </x:c>
      <x:c r="C17" t="str">
        <x:v>e</x:v>
      </x:c>
      <x:c r="D17" s="45" t="n">
        <x:v>0</x:v>
      </x:c>
      <x:c r="E17" s="45" t="n">
        <x:v>1</x:v>
      </x:c>
      <x:c r="F17" s="45" t="n">
        <x:v>0</x:v>
      </x:c>
      <x:c r="G17" s="45" t="n">
        <x:v>0</x:v>
      </x:c>
      <x:c r="H17" s="45" t="n">
        <x:v>0</x:v>
      </x:c>
      <x:c r="I17" s="45" t="n">
        <x:v>0</x:v>
      </x:c>
      <x:c r="J17" s="45" t="n">
        <x:v>0</x:v>
      </x:c>
      <x:c r="K17" s="45" t="n">
        <x:v>1</x:v>
      </x:c>
      <x:c r="L17" s="45" t="n">
        <x:v>0</x:v>
      </x:c>
      <x:c r="M17" s="45" t="n">
        <x:f>SUM(D17:I17)</x:f>
        <x:v>1</x:v>
      </x:c>
      <x:c r="N17" s="42" t="n">
        <x:f>IF(ABS(M17-1)&gt;0.000001,1,0)</x:f>
        <x:v>0</x:v>
      </x:c>
    </x:row>
    <x:row r="18">
      <x:c r="A18" t="str">
        <x:v>ell</x:v>
      </x:c>
      <x:c r="B18" t="str">
        <x:v>B</x:v>
      </x:c>
      <x:c r="C18" t="str">
        <x:v>l</x:v>
      </x:c>
      <x:c r="D18" s="45" t="n">
        <x:v>0</x:v>
      </x:c>
      <x:c r="E18" s="45" t="n">
        <x:v>0</x:v>
      </x:c>
      <x:c r="F18" s="45" t="n">
        <x:v>0</x:v>
      </x:c>
      <x:c r="G18" s="45" t="n">
        <x:v>0.5</x:v>
      </x:c>
      <x:c r="H18" s="45" t="n">
        <x:v>0.5</x:v>
      </x:c>
      <x:c r="I18" s="45" t="n">
        <x:v>0</x:v>
      </x:c>
      <x:c r="J18" s="45" t="n">
        <x:v>0.5</x:v>
      </x:c>
      <x:c r="K18" s="45" t="n">
        <x:v>0</x:v>
      </x:c>
      <x:c r="L18" s="45" t="n">
        <x:v>1.5</x:v>
      </x:c>
      <x:c r="M18" s="45" t="n">
        <x:f>SUM(D18:I18)</x:f>
        <x:v>1</x:v>
      </x:c>
      <x:c r="N18" s="42" t="n">
        <x:f>IF(ABS(M18-1)&gt;0.000001,1,0)</x:f>
        <x:v>0</x:v>
      </x:c>
    </x:row>
    <x:row r="19">
      <x:c r="A19" t="str">
        <x:v>ell</x:v>
      </x:c>
      <x:c r="B19" t="str">
        <x:v>C</x:v>
      </x:c>
      <x:c r="C19" t="str">
        <x:v>l</x:v>
      </x:c>
      <x:c r="D19" s="45" t="n">
        <x:v>0</x:v>
      </x:c>
      <x:c r="E19" s="45" t="n">
        <x:v>0</x:v>
      </x:c>
      <x:c r="F19" s="45" t="n">
        <x:v>0</x:v>
      </x:c>
      <x:c r="G19" s="45" t="n">
        <x:v>0.5</x:v>
      </x:c>
      <x:c r="H19" s="45" t="n">
        <x:v>0.5</x:v>
      </x:c>
      <x:c r="I19" s="45" t="n">
        <x:v>0</x:v>
      </x:c>
      <x:c r="J19" s="45" t="n">
        <x:v>0.5</x:v>
      </x:c>
      <x:c r="K19" s="45" t="n">
        <x:v>0</x:v>
      </x:c>
      <x:c r="L19" s="45" t="n">
        <x:v>1.5</x:v>
      </x:c>
      <x:c r="M19" s="45" t="n">
        <x:f>SUM(D19:I19)</x:f>
        <x:v>1</x:v>
      </x:c>
      <x:c r="N19" s="42" t="n">
        <x:f>IF(ABS(M19-1)&gt;0.000001,1,0)</x:f>
        <x:v>0</x:v>
      </x:c>
    </x:row>
    <x:row r="20">
      <x:c r="A20" t="str">
        <x:v>elo</x:v>
      </x:c>
      <x:c r="B20" t="str">
        <x:v>A</x:v>
      </x:c>
      <x:c r="C20" t="str">
        <x:v>e</x:v>
      </x:c>
      <x:c r="D20" s="45" t="n">
        <x:v>0</x:v>
      </x:c>
      <x:c r="E20" s="45" t="n">
        <x:v>1</x:v>
      </x:c>
      <x:c r="F20" s="45" t="n">
        <x:v>0</x:v>
      </x:c>
      <x:c r="G20" s="45" t="n">
        <x:v>0</x:v>
      </x:c>
      <x:c r="H20" s="45" t="n">
        <x:v>0</x:v>
      </x:c>
      <x:c r="I20" s="45" t="n">
        <x:v>0</x:v>
      </x:c>
      <x:c r="J20" s="45" t="n">
        <x:v>0</x:v>
      </x:c>
      <x:c r="K20" s="45" t="n">
        <x:v>1</x:v>
      </x:c>
      <x:c r="L20" s="45" t="n">
        <x:v>0</x:v>
      </x:c>
      <x:c r="M20" s="45" t="n">
        <x:f>SUM(D20:I20)</x:f>
        <x:v>1</x:v>
      </x:c>
      <x:c r="N20" s="42" t="n">
        <x:f>IF(ABS(M20-1)&gt;0.000001,1,0)</x:f>
        <x:v>0</x:v>
      </x:c>
    </x:row>
    <x:row r="21">
      <x:c r="A21" t="str">
        <x:v>elo</x:v>
      </x:c>
      <x:c r="B21" t="str">
        <x:v>B</x:v>
      </x:c>
      <x:c r="C21" t="str">
        <x:v>l</x:v>
      </x:c>
      <x:c r="D21" s="45" t="n">
        <x:v>0</x:v>
      </x:c>
      <x:c r="E21" s="45" t="n">
        <x:v>0</x:v>
      </x:c>
      <x:c r="F21" s="45" t="n">
        <x:v>0</x:v>
      </x:c>
      <x:c r="G21" s="45" t="n">
        <x:v>1</x:v>
      </x:c>
      <x:c r="H21" s="45" t="n">
        <x:v>0</x:v>
      </x:c>
      <x:c r="I21" s="45" t="n">
        <x:v>0</x:v>
      </x:c>
      <x:c r="J21" s="45" t="n">
        <x:v>0</x:v>
      </x:c>
      <x:c r="K21" s="45" t="n">
        <x:v>0</x:v>
      </x:c>
      <x:c r="L21" s="45" t="n">
        <x:v>1</x:v>
      </x:c>
      <x:c r="M21" s="45" t="n">
        <x:f>SUM(D21:I21)</x:f>
        <x:v>1</x:v>
      </x:c>
      <x:c r="N21" s="42" t="n">
        <x:f>IF(ABS(M21-1)&gt;0.000001,1,0)</x:f>
        <x:v>0</x:v>
      </x:c>
    </x:row>
    <x:row r="22">
      <x:c r="A22" t="str">
        <x:v>elo</x:v>
      </x:c>
      <x:c r="B22" t="str">
        <x:v>C</x:v>
      </x:c>
      <x:c r="C22" t="str">
        <x:v>o</x:v>
      </x:c>
      <x:c r="D22" s="45" t="n">
        <x:v>0</x:v>
      </x:c>
      <x:c r="E22" s="45" t="n">
        <x:v>0</x:v>
      </x:c>
      <x:c r="F22" s="45" t="n">
        <x:v>1</x:v>
      </x:c>
      <x:c r="G22" s="45" t="n">
        <x:v>0</x:v>
      </x:c>
      <x:c r="H22" s="45" t="n">
        <x:v>0</x:v>
      </x:c>
      <x:c r="I22" s="45" t="n">
        <x:v>0</x:v>
      </x:c>
      <x:c r="J22" s="45" t="n">
        <x:v>0</x:v>
      </x:c>
      <x:c r="K22" s="45" t="n">
        <x:v>0</x:v>
      </x:c>
      <x:c r="L22" s="45" t="n">
        <x:v>0</x:v>
      </x:c>
      <x:c r="M22" s="45" t="n">
        <x:f>SUM(D22:I22)</x:f>
        <x:v>1</x:v>
      </x:c>
      <x:c r="N22" s="42" t="n">
        <x:f>IF(ABS(M22-1)&gt;0.000001,1,0)</x:f>
        <x:v>0</x:v>
      </x:c>
    </x:row>
    <x:row r="23">
      <x:c r="A23" t="str">
        <x:v>elv</x:v>
      </x:c>
      <x:c r="B23" t="str">
        <x:v>A</x:v>
      </x:c>
      <x:c r="C23" t="str">
        <x:v>e</x:v>
      </x:c>
      <x:c r="D23" s="45" t="n">
        <x:v>0</x:v>
      </x:c>
      <x:c r="E23" s="45" t="n">
        <x:v>1</x:v>
      </x:c>
      <x:c r="F23" s="45" t="n">
        <x:v>0</x:v>
      </x:c>
      <x:c r="G23" s="45" t="n">
        <x:v>0</x:v>
      </x:c>
      <x:c r="H23" s="45" t="n">
        <x:v>0</x:v>
      </x:c>
      <x:c r="I23" s="45" t="n">
        <x:v>0</x:v>
      </x:c>
      <x:c r="J23" s="45" t="n">
        <x:v>0</x:v>
      </x:c>
      <x:c r="K23" s="45" t="n">
        <x:v>1</x:v>
      </x:c>
      <x:c r="L23" s="45" t="n">
        <x:v>0</x:v>
      </x:c>
      <x:c r="M23" s="45" t="n">
        <x:f>SUM(D23:I23)</x:f>
        <x:v>1</x:v>
      </x:c>
      <x:c r="N23" s="42" t="n">
        <x:f>IF(ABS(M23-1)&gt;0.000001,1,0)</x:f>
        <x:v>0</x:v>
      </x:c>
    </x:row>
    <x:row r="24">
      <x:c r="A24" t="str">
        <x:v>elv</x:v>
      </x:c>
      <x:c r="B24" t="str">
        <x:v>B</x:v>
      </x:c>
      <x:c r="C24" t="str">
        <x:v>l</x:v>
      </x:c>
      <x:c r="D24" s="45" t="n">
        <x:v>0</x:v>
      </x:c>
      <x:c r="E24" s="45" t="n">
        <x:v>0</x:v>
      </x:c>
      <x:c r="F24" s="45" t="n">
        <x:v>0</x:v>
      </x:c>
      <x:c r="G24" s="45" t="n">
        <x:v>1</x:v>
      </x:c>
      <x:c r="H24" s="45" t="n">
        <x:v>0</x:v>
      </x:c>
      <x:c r="I24" s="45" t="n">
        <x:v>0</x:v>
      </x:c>
      <x:c r="J24" s="45" t="n">
        <x:v>0</x:v>
      </x:c>
      <x:c r="K24" s="45" t="n">
        <x:v>0</x:v>
      </x:c>
      <x:c r="L24" s="45" t="n">
        <x:v>1</x:v>
      </x:c>
      <x:c r="M24" s="45" t="n">
        <x:f>SUM(D24:I24)</x:f>
        <x:v>1</x:v>
      </x:c>
      <x:c r="N24" s="42" t="n">
        <x:f>IF(ABS(M24-1)&gt;0.000001,1,0)</x:f>
        <x:v>0</x:v>
      </x:c>
    </x:row>
    <x:row r="25">
      <x:c r="A25" t="str">
        <x:v>elv</x:v>
      </x:c>
      <x:c r="B25" t="str">
        <x:v>C</x:v>
      </x:c>
      <x:c r="C25" t="str">
        <x:v>v</x:v>
      </x:c>
      <x:c r="D25" s="45" t="n">
        <x:v>1</x:v>
      </x:c>
      <x:c r="E25" s="45" t="n">
        <x:v>0</x:v>
      </x:c>
      <x:c r="F25" s="45" t="n">
        <x:v>0</x:v>
      </x:c>
      <x:c r="G25" s="45" t="n">
        <x:v>0</x:v>
      </x:c>
      <x:c r="H25" s="45" t="n">
        <x:v>0</x:v>
      </x:c>
      <x:c r="I25" s="45" t="n">
        <x:v>0</x:v>
      </x:c>
      <x:c r="J25" s="45" t="n">
        <x:v>0</x:v>
      </x:c>
      <x:c r="K25" s="45" t="n">
        <x:v>2</x:v>
      </x:c>
      <x:c r="L25" s="45" t="n">
        <x:v>0</x:v>
      </x:c>
      <x:c r="M25" s="45" t="n">
        <x:f>SUM(D25:I25)</x:f>
        <x:v>1</x:v>
      </x:c>
      <x:c r="N25" s="42" t="n">
        <x:f>IF(ABS(M25-1)&gt;0.000001,1,0)</x:f>
        <x:v>0</x:v>
      </x:c>
    </x:row>
    <x:row r="26">
      <x:c r="A26" t="str">
        <x:v>eoe</x:v>
      </x:c>
      <x:c r="B26" t="str">
        <x:v>A</x:v>
      </x:c>
      <x:c r="C26" t="str">
        <x:v>e</x:v>
      </x:c>
      <x:c r="D26" s="45" t="n">
        <x:v>0</x:v>
      </x:c>
      <x:c r="E26" s="45" t="n">
        <x:v>0.5</x:v>
      </x:c>
      <x:c r="F26" s="45" t="n">
        <x:v>0.5</x:v>
      </x:c>
      <x:c r="G26" s="45" t="n">
        <x:v>0</x:v>
      </x:c>
      <x:c r="H26" s="45" t="n">
        <x:v>0</x:v>
      </x:c>
      <x:c r="I26" s="45" t="n">
        <x:v>0</x:v>
      </x:c>
      <x:c r="J26" s="45" t="n">
        <x:v>0.5</x:v>
      </x:c>
      <x:c r="K26" s="45" t="n">
        <x:v>0.5</x:v>
      </x:c>
      <x:c r="L26" s="45" t="n">
        <x:v>0</x:v>
      </x:c>
      <x:c r="M26" s="45" t="n">
        <x:f>SUM(D26:I26)</x:f>
        <x:v>1</x:v>
      </x:c>
      <x:c r="N26" s="42" t="n">
        <x:f>IF(ABS(M26-1)&gt;0.000001,1,0)</x:f>
        <x:v>0</x:v>
      </x:c>
    </x:row>
    <x:row r="27">
      <x:c r="A27" t="str">
        <x:v>eoe</x:v>
      </x:c>
      <x:c r="B27" t="str">
        <x:v>B</x:v>
      </x:c>
      <x:c r="C27" t="str">
        <x:v>o</x:v>
      </x:c>
      <x:c r="D27" s="45" t="n">
        <x:v>0</x:v>
      </x:c>
      <x:c r="E27" s="45" t="n">
        <x:v>0</x:v>
      </x:c>
      <x:c r="F27" s="45" t="n">
        <x:v>0</x:v>
      </x:c>
      <x:c r="G27" s="45" t="n">
        <x:v>1</x:v>
      </x:c>
      <x:c r="H27" s="45" t="n">
        <x:v>0</x:v>
      </x:c>
      <x:c r="I27" s="45" t="n">
        <x:v>0</x:v>
      </x:c>
      <x:c r="J27" s="45" t="n">
        <x:v>1</x:v>
      </x:c>
      <x:c r="K27" s="45" t="n">
        <x:v>0</x:v>
      </x:c>
      <x:c r="L27" s="45" t="n">
        <x:v>1</x:v>
      </x:c>
      <x:c r="M27" s="45" t="n">
        <x:f>SUM(D27:I27)</x:f>
        <x:v>1</x:v>
      </x:c>
      <x:c r="N27" s="42" t="n">
        <x:f>IF(ABS(M27-1)&gt;0.000001,1,0)</x:f>
        <x:v>0</x:v>
      </x:c>
    </x:row>
    <x:row r="28">
      <x:c r="A28" t="str">
        <x:v>eoe</x:v>
      </x:c>
      <x:c r="B28" t="str">
        <x:v>C</x:v>
      </x:c>
      <x:c r="C28" t="str">
        <x:v>e</x:v>
      </x:c>
      <x:c r="D28" s="45" t="n">
        <x:v>0</x:v>
      </x:c>
      <x:c r="E28" s="45" t="n">
        <x:v>0.5</x:v>
      </x:c>
      <x:c r="F28" s="45" t="n">
        <x:v>0.5</x:v>
      </x:c>
      <x:c r="G28" s="45" t="n">
        <x:v>0</x:v>
      </x:c>
      <x:c r="H28" s="45" t="n">
        <x:v>0</x:v>
      </x:c>
      <x:c r="I28" s="45" t="n">
        <x:v>0</x:v>
      </x:c>
      <x:c r="J28" s="45" t="n">
        <x:v>0.5</x:v>
      </x:c>
      <x:c r="K28" s="45" t="n">
        <x:v>0.5</x:v>
      </x:c>
      <x:c r="L28" s="45" t="n">
        <x:v>0</x:v>
      </x:c>
      <x:c r="M28" s="45" t="n">
        <x:f>SUM(D28:I28)</x:f>
        <x:v>1</x:v>
      </x:c>
      <x:c r="N28" s="42" t="n">
        <x:f>IF(ABS(M28-1)&gt;0.000001,1,0)</x:f>
        <x:v>0</x:v>
      </x:c>
    </x:row>
    <x:row r="29">
      <x:c r="A29" t="str">
        <x:v>eol</x:v>
      </x:c>
      <x:c r="B29" t="str">
        <x:v>A</x:v>
      </x:c>
      <x:c r="C29" t="str">
        <x:v>e</x:v>
      </x:c>
      <x:c r="D29" s="45" t="n">
        <x:v>0</x:v>
      </x:c>
      <x:c r="E29" s="45" t="n">
        <x:v>1</x:v>
      </x:c>
      <x:c r="F29" s="45" t="n">
        <x:v>0</x:v>
      </x:c>
      <x:c r="G29" s="45" t="n">
        <x:v>0</x:v>
      </x:c>
      <x:c r="H29" s="45" t="n">
        <x:v>0</x:v>
      </x:c>
      <x:c r="I29" s="45" t="n">
        <x:v>0</x:v>
      </x:c>
      <x:c r="J29" s="45" t="n">
        <x:v>0</x:v>
      </x:c>
      <x:c r="K29" s="45" t="n">
        <x:v>1</x:v>
      </x:c>
      <x:c r="L29" s="45" t="n">
        <x:v>0</x:v>
      </x:c>
      <x:c r="M29" s="45" t="n">
        <x:f>SUM(D29:I29)</x:f>
        <x:v>1</x:v>
      </x:c>
      <x:c r="N29" s="42" t="n">
        <x:f>IF(ABS(M29-1)&gt;0.000001,1,0)</x:f>
        <x:v>0</x:v>
      </x:c>
    </x:row>
    <x:row r="30">
      <x:c r="A30" t="str">
        <x:v>eol</x:v>
      </x:c>
      <x:c r="B30" t="str">
        <x:v>B</x:v>
      </x:c>
      <x:c r="C30" t="str">
        <x:v>o</x:v>
      </x:c>
      <x:c r="D30" s="45" t="n">
        <x:v>0</x:v>
      </x:c>
      <x:c r="E30" s="45" t="n">
        <x:v>0</x:v>
      </x:c>
      <x:c r="F30" s="45" t="n">
        <x:v>1</x:v>
      </x:c>
      <x:c r="G30" s="45" t="n">
        <x:v>0</x:v>
      </x:c>
      <x:c r="H30" s="45" t="n">
        <x:v>0</x:v>
      </x:c>
      <x:c r="I30" s="45" t="n">
        <x:v>0</x:v>
      </x:c>
      <x:c r="J30" s="45" t="n">
        <x:v>0</x:v>
      </x:c>
      <x:c r="K30" s="45" t="n">
        <x:v>0</x:v>
      </x:c>
      <x:c r="L30" s="45" t="n">
        <x:v>0</x:v>
      </x:c>
      <x:c r="M30" s="45" t="n">
        <x:f>SUM(D30:I30)</x:f>
        <x:v>1</x:v>
      </x:c>
      <x:c r="N30" s="42" t="n">
        <x:f>IF(ABS(M30-1)&gt;0.000001,1,0)</x:f>
        <x:v>0</x:v>
      </x:c>
    </x:row>
    <x:row r="31">
      <x:c r="A31" t="str">
        <x:v>eol</x:v>
      </x:c>
      <x:c r="B31" t="str">
        <x:v>C</x:v>
      </x:c>
      <x:c r="C31" t="str">
        <x:v>l</x:v>
      </x:c>
      <x:c r="D31" s="45" t="n">
        <x:v>0</x:v>
      </x:c>
      <x:c r="E31" s="45" t="n">
        <x:v>0</x:v>
      </x:c>
      <x:c r="F31" s="45" t="n">
        <x:v>0</x:v>
      </x:c>
      <x:c r="G31" s="45" t="n">
        <x:v>1</x:v>
      </x:c>
      <x:c r="H31" s="45" t="n">
        <x:v>0</x:v>
      </x:c>
      <x:c r="I31" s="45" t="n">
        <x:v>0</x:v>
      </x:c>
      <x:c r="J31" s="45" t="n">
        <x:v>0</x:v>
      </x:c>
      <x:c r="K31" s="45" t="n">
        <x:v>0</x:v>
      </x:c>
      <x:c r="L31" s="45" t="n">
        <x:v>1</x:v>
      </x:c>
      <x:c r="M31" s="45" t="n">
        <x:f>SUM(D31:I31)</x:f>
        <x:v>1</x:v>
      </x:c>
      <x:c r="N31" s="42" t="n">
        <x:f>IF(ABS(M31-1)&gt;0.000001,1,0)</x:f>
        <x:v>0</x:v>
      </x:c>
    </x:row>
    <x:row r="32">
      <x:c r="A32" t="str">
        <x:v>eoo</x:v>
      </x:c>
      <x:c r="B32" t="str">
        <x:v>A</x:v>
      </x:c>
      <x:c r="C32" t="str">
        <x:v>e</x:v>
      </x:c>
      <x:c r="D32" s="45" t="n">
        <x:v>0</x:v>
      </x:c>
      <x:c r="E32" s="45" t="n">
        <x:v>1</x:v>
      </x:c>
      <x:c r="F32" s="45" t="n">
        <x:v>0</x:v>
      </x:c>
      <x:c r="G32" s="45" t="n">
        <x:v>0</x:v>
      </x:c>
      <x:c r="H32" s="45" t="n">
        <x:v>0</x:v>
      </x:c>
      <x:c r="I32" s="45" t="n">
        <x:v>0</x:v>
      </x:c>
      <x:c r="J32" s="45" t="n">
        <x:v>0</x:v>
      </x:c>
      <x:c r="K32" s="45" t="n">
        <x:v>1</x:v>
      </x:c>
      <x:c r="L32" s="45" t="n">
        <x:v>0</x:v>
      </x:c>
      <x:c r="M32" s="45" t="n">
        <x:f>SUM(D32:I32)</x:f>
        <x:v>1</x:v>
      </x:c>
      <x:c r="N32" s="42" t="n">
        <x:f>IF(ABS(M32-1)&gt;0.000001,1,0)</x:f>
        <x:v>0</x:v>
      </x:c>
    </x:row>
    <x:row r="33">
      <x:c r="A33" t="str">
        <x:v>eoo</x:v>
      </x:c>
      <x:c r="B33" t="str">
        <x:v>B</x:v>
      </x:c>
      <x:c r="C33" t="str">
        <x:v>o</x:v>
      </x:c>
      <x:c r="D33" s="45" t="n">
        <x:v>0</x:v>
      </x:c>
      <x:c r="E33" s="45" t="n">
        <x:v>0</x:v>
      </x:c>
      <x:c r="F33" s="45" t="n">
        <x:v>0.5</x:v>
      </x:c>
      <x:c r="G33" s="45" t="n">
        <x:v>0.5</x:v>
      </x:c>
      <x:c r="H33" s="45" t="n">
        <x:v>0</x:v>
      </x:c>
      <x:c r="I33" s="45" t="n">
        <x:v>0</x:v>
      </x:c>
      <x:c r="J33" s="45" t="n">
        <x:v>0.5</x:v>
      </x:c>
      <x:c r="K33" s="45" t="n">
        <x:v>0</x:v>
      </x:c>
      <x:c r="L33" s="45" t="n">
        <x:v>0.5</x:v>
      </x:c>
      <x:c r="M33" s="45" t="n">
        <x:f>SUM(D33:I33)</x:f>
        <x:v>1</x:v>
      </x:c>
      <x:c r="N33" s="42" t="n">
        <x:f>IF(ABS(M33-1)&gt;0.000001,1,0)</x:f>
        <x:v>0</x:v>
      </x:c>
    </x:row>
    <x:row r="34">
      <x:c r="A34" t="str">
        <x:v>eoo</x:v>
      </x:c>
      <x:c r="B34" t="str">
        <x:v>C</x:v>
      </x:c>
      <x:c r="C34" t="str">
        <x:v>o</x:v>
      </x:c>
      <x:c r="D34" s="45" t="n">
        <x:v>0</x:v>
      </x:c>
      <x:c r="E34" s="45" t="n">
        <x:v>0</x:v>
      </x:c>
      <x:c r="F34" s="45" t="n">
        <x:v>0.5</x:v>
      </x:c>
      <x:c r="G34" s="45" t="n">
        <x:v>0.5</x:v>
      </x:c>
      <x:c r="H34" s="45" t="n">
        <x:v>0</x:v>
      </x:c>
      <x:c r="I34" s="45" t="n">
        <x:v>0</x:v>
      </x:c>
      <x:c r="J34" s="45" t="n">
        <x:v>0.5</x:v>
      </x:c>
      <x:c r="K34" s="45" t="n">
        <x:v>0</x:v>
      </x:c>
      <x:c r="L34" s="45" t="n">
        <x:v>0.5</x:v>
      </x:c>
      <x:c r="M34" s="45" t="n">
        <x:f>SUM(D34:I34)</x:f>
        <x:v>1</x:v>
      </x:c>
      <x:c r="N34" s="42" t="n">
        <x:f>IF(ABS(M34-1)&gt;0.000001,1,0)</x:f>
        <x:v>0</x:v>
      </x:c>
    </x:row>
    <x:row r="35">
      <x:c r="A35" t="str">
        <x:v>eov</x:v>
      </x:c>
      <x:c r="B35" t="str">
        <x:v>A</x:v>
      </x:c>
      <x:c r="C35" t="str">
        <x:v>e</x:v>
      </x:c>
      <x:c r="D35" s="45" t="n">
        <x:v>0</x:v>
      </x:c>
      <x:c r="E35" s="45" t="n">
        <x:v>1</x:v>
      </x:c>
      <x:c r="F35" s="45" t="n">
        <x:v>0</x:v>
      </x:c>
      <x:c r="G35" s="45" t="n">
        <x:v>0</x:v>
      </x:c>
      <x:c r="H35" s="45" t="n">
        <x:v>0</x:v>
      </x:c>
      <x:c r="I35" s="45" t="n">
        <x:v>0</x:v>
      </x:c>
      <x:c r="J35" s="45" t="n">
        <x:v>0</x:v>
      </x:c>
      <x:c r="K35" s="45" t="n">
        <x:v>1</x:v>
      </x:c>
      <x:c r="L35" s="45" t="n">
        <x:v>0</x:v>
      </x:c>
      <x:c r="M35" s="45" t="n">
        <x:f>SUM(D35:I35)</x:f>
        <x:v>1</x:v>
      </x:c>
      <x:c r="N35" s="42" t="n">
        <x:f>IF(ABS(M35-1)&gt;0.000001,1,0)</x:f>
        <x:v>0</x:v>
      </x:c>
    </x:row>
    <x:row r="36">
      <x:c r="A36" t="str">
        <x:v>eov</x:v>
      </x:c>
      <x:c r="B36" t="str">
        <x:v>B</x:v>
      </x:c>
      <x:c r="C36" t="str">
        <x:v>o</x:v>
      </x:c>
      <x:c r="D36" s="45" t="n">
        <x:v>0</x:v>
      </x:c>
      <x:c r="E36" s="45" t="n">
        <x:v>0</x:v>
      </x:c>
      <x:c r="F36" s="45" t="n">
        <x:v>1</x:v>
      </x:c>
      <x:c r="G36" s="45" t="n">
        <x:v>0</x:v>
      </x:c>
      <x:c r="H36" s="45" t="n">
        <x:v>0</x:v>
      </x:c>
      <x:c r="I36" s="45" t="n">
        <x:v>0</x:v>
      </x:c>
      <x:c r="J36" s="45" t="n">
        <x:v>0</x:v>
      </x:c>
      <x:c r="K36" s="45" t="n">
        <x:v>0</x:v>
      </x:c>
      <x:c r="L36" s="45" t="n">
        <x:v>0</x:v>
      </x:c>
      <x:c r="M36" s="45" t="n">
        <x:f>SUM(D36:I36)</x:f>
        <x:v>1</x:v>
      </x:c>
      <x:c r="N36" s="42" t="n">
        <x:f>IF(ABS(M36-1)&gt;0.000001,1,0)</x:f>
        <x:v>0</x:v>
      </x:c>
    </x:row>
    <x:row r="37">
      <x:c r="A37" t="str">
        <x:v>eov</x:v>
      </x:c>
      <x:c r="B37" t="str">
        <x:v>C</x:v>
      </x:c>
      <x:c r="C37" t="str">
        <x:v>v</x:v>
      </x:c>
      <x:c r="D37" s="45" t="n">
        <x:v>1</x:v>
      </x:c>
      <x:c r="E37" s="45" t="n">
        <x:v>0</x:v>
      </x:c>
      <x:c r="F37" s="45" t="n">
        <x:v>0</x:v>
      </x:c>
      <x:c r="G37" s="45" t="n">
        <x:v>0</x:v>
      </x:c>
      <x:c r="H37" s="45" t="n">
        <x:v>0</x:v>
      </x:c>
      <x:c r="I37" s="45" t="n">
        <x:v>0</x:v>
      </x:c>
      <x:c r="J37" s="45" t="n">
        <x:v>0</x:v>
      </x:c>
      <x:c r="K37" s="45" t="n">
        <x:v>2</x:v>
      </x:c>
      <x:c r="L37" s="45" t="n">
        <x:v>0</x:v>
      </x:c>
      <x:c r="M37" s="45" t="n">
        <x:f>SUM(D37:I37)</x:f>
        <x:v>1</x:v>
      </x:c>
      <x:c r="N37" s="42" t="n">
        <x:f>IF(ABS(M37-1)&gt;0.000001,1,0)</x:f>
        <x:v>0</x:v>
      </x:c>
    </x:row>
    <x:row r="38">
      <x:c r="A38" t="str">
        <x:v>eve</x:v>
      </x:c>
      <x:c r="B38" t="str">
        <x:v>A</x:v>
      </x:c>
      <x:c r="C38" t="str">
        <x:v>e</x:v>
      </x:c>
      <x:c r="D38" s="45" t="n">
        <x:v>0</x:v>
      </x:c>
      <x:c r="E38" s="45" t="n">
        <x:v>0.5</x:v>
      </x:c>
      <x:c r="F38" s="45" t="n">
        <x:v>0.5</x:v>
      </x:c>
      <x:c r="G38" s="45" t="n">
        <x:v>0</x:v>
      </x:c>
      <x:c r="H38" s="45" t="n">
        <x:v>0</x:v>
      </x:c>
      <x:c r="I38" s="45" t="n">
        <x:v>0</x:v>
      </x:c>
      <x:c r="J38" s="45" t="n">
        <x:v>0.5</x:v>
      </x:c>
      <x:c r="K38" s="45" t="n">
        <x:v>0.5</x:v>
      </x:c>
      <x:c r="L38" s="45" t="n">
        <x:v>0</x:v>
      </x:c>
      <x:c r="M38" s="45" t="n">
        <x:f>SUM(D38:I38)</x:f>
        <x:v>1</x:v>
      </x:c>
      <x:c r="N38" s="42" t="n">
        <x:f>IF(ABS(M38-1)&gt;0.000001,1,0)</x:f>
        <x:v>0</x:v>
      </x:c>
    </x:row>
    <x:row r="39">
      <x:c r="A39" t="str">
        <x:v>eve</x:v>
      </x:c>
      <x:c r="B39" t="str">
        <x:v>B</x:v>
      </x:c>
      <x:c r="C39" t="str">
        <x:v>v</x:v>
      </x:c>
      <x:c r="D39" s="45" t="n">
        <x:v>1</x:v>
      </x:c>
      <x:c r="E39" s="45" t="n">
        <x:v>0</x:v>
      </x:c>
      <x:c r="F39" s="45" t="n">
        <x:v>0</x:v>
      </x:c>
      <x:c r="G39" s="45" t="n">
        <x:v>0</x:v>
      </x:c>
      <x:c r="H39" s="45" t="n">
        <x:v>0</x:v>
      </x:c>
      <x:c r="I39" s="45" t="n">
        <x:v>0</x:v>
      </x:c>
      <x:c r="J39" s="45" t="n">
        <x:v>0</x:v>
      </x:c>
      <x:c r="K39" s="45" t="n">
        <x:v>2</x:v>
      </x:c>
      <x:c r="L39" s="45" t="n">
        <x:v>0</x:v>
      </x:c>
      <x:c r="M39" s="45" t="n">
        <x:f>SUM(D39:I39)</x:f>
        <x:v>1</x:v>
      </x:c>
      <x:c r="N39" s="42" t="n">
        <x:f>IF(ABS(M39-1)&gt;0.000001,1,0)</x:f>
        <x:v>0</x:v>
      </x:c>
    </x:row>
    <x:row r="40">
      <x:c r="A40" t="str">
        <x:v>eve</x:v>
      </x:c>
      <x:c r="B40" t="str">
        <x:v>C</x:v>
      </x:c>
      <x:c r="C40" t="str">
        <x:v>e</x:v>
      </x:c>
      <x:c r="D40" s="45" t="n">
        <x:v>0</x:v>
      </x:c>
      <x:c r="E40" s="45" t="n">
        <x:v>0.5</x:v>
      </x:c>
      <x:c r="F40" s="45" t="n">
        <x:v>0.5</x:v>
      </x:c>
      <x:c r="G40" s="45" t="n">
        <x:v>0</x:v>
      </x:c>
      <x:c r="H40" s="45" t="n">
        <x:v>0</x:v>
      </x:c>
      <x:c r="I40" s="45" t="n">
        <x:v>0</x:v>
      </x:c>
      <x:c r="J40" s="45" t="n">
        <x:v>0.5</x:v>
      </x:c>
      <x:c r="K40" s="45" t="n">
        <x:v>0.5</x:v>
      </x:c>
      <x:c r="L40" s="45" t="n">
        <x:v>0</x:v>
      </x:c>
      <x:c r="M40" s="45" t="n">
        <x:f>SUM(D40:I40)</x:f>
        <x:v>1</x:v>
      </x:c>
      <x:c r="N40" s="42" t="n">
        <x:f>IF(ABS(M40-1)&gt;0.000001,1,0)</x:f>
        <x:v>0</x:v>
      </x:c>
    </x:row>
    <x:row r="41">
      <x:c r="A41" t="str">
        <x:v>evl</x:v>
      </x:c>
      <x:c r="B41" t="str">
        <x:v>A</x:v>
      </x:c>
      <x:c r="C41" t="str">
        <x:v>e</x:v>
      </x:c>
      <x:c r="D41" s="45" t="n">
        <x:v>0</x:v>
      </x:c>
      <x:c r="E41" s="45" t="n">
        <x:v>1</x:v>
      </x:c>
      <x:c r="F41" s="45" t="n">
        <x:v>0</x:v>
      </x:c>
      <x:c r="G41" s="45" t="n">
        <x:v>0</x:v>
      </x:c>
      <x:c r="H41" s="45" t="n">
        <x:v>0</x:v>
      </x:c>
      <x:c r="I41" s="45" t="n">
        <x:v>0</x:v>
      </x:c>
      <x:c r="J41" s="45" t="n">
        <x:v>0</x:v>
      </x:c>
      <x:c r="K41" s="45" t="n">
        <x:v>1</x:v>
      </x:c>
      <x:c r="L41" s="45" t="n">
        <x:v>0</x:v>
      </x:c>
      <x:c r="M41" s="45" t="n">
        <x:f>SUM(D41:I41)</x:f>
        <x:v>1</x:v>
      </x:c>
      <x:c r="N41" s="42" t="n">
        <x:f>IF(ABS(M41-1)&gt;0.000001,1,0)</x:f>
        <x:v>0</x:v>
      </x:c>
    </x:row>
    <x:row r="42">
      <x:c r="A42" t="str">
        <x:v>evl</x:v>
      </x:c>
      <x:c r="B42" t="str">
        <x:v>B</x:v>
      </x:c>
      <x:c r="C42" t="str">
        <x:v>v</x:v>
      </x:c>
      <x:c r="D42" s="45" t="n">
        <x:v>1</x:v>
      </x:c>
      <x:c r="E42" s="45" t="n">
        <x:v>0</x:v>
      </x:c>
      <x:c r="F42" s="45" t="n">
        <x:v>0</x:v>
      </x:c>
      <x:c r="G42" s="45" t="n">
        <x:v>0</x:v>
      </x:c>
      <x:c r="H42" s="45" t="n">
        <x:v>0</x:v>
      </x:c>
      <x:c r="I42" s="45" t="n">
        <x:v>0</x:v>
      </x:c>
      <x:c r="J42" s="45" t="n">
        <x:v>0</x:v>
      </x:c>
      <x:c r="K42" s="45" t="n">
        <x:v>2</x:v>
      </x:c>
      <x:c r="L42" s="45" t="n">
        <x:v>0</x:v>
      </x:c>
      <x:c r="M42" s="45" t="n">
        <x:f>SUM(D42:I42)</x:f>
        <x:v>1</x:v>
      </x:c>
      <x:c r="N42" s="42" t="n">
        <x:f>IF(ABS(M42-1)&gt;0.000001,1,0)</x:f>
        <x:v>0</x:v>
      </x:c>
    </x:row>
    <x:row r="43">
      <x:c r="A43" t="str">
        <x:v>evl</x:v>
      </x:c>
      <x:c r="B43" t="str">
        <x:v>C</x:v>
      </x:c>
      <x:c r="C43" t="str">
        <x:v>l</x:v>
      </x:c>
      <x:c r="D43" s="45" t="n">
        <x:v>0</x:v>
      </x:c>
      <x:c r="E43" s="45" t="n">
        <x:v>0</x:v>
      </x:c>
      <x:c r="F43" s="45" t="n">
        <x:v>0</x:v>
      </x:c>
      <x:c r="G43" s="45" t="n">
        <x:v>1</x:v>
      </x:c>
      <x:c r="H43" s="45" t="n">
        <x:v>0</x:v>
      </x:c>
      <x:c r="I43" s="45" t="n">
        <x:v>0</x:v>
      </x:c>
      <x:c r="J43" s="45" t="n">
        <x:v>0</x:v>
      </x:c>
      <x:c r="K43" s="45" t="n">
        <x:v>0</x:v>
      </x:c>
      <x:c r="L43" s="45" t="n">
        <x:v>1</x:v>
      </x:c>
      <x:c r="M43" s="45" t="n">
        <x:f>SUM(D43:I43)</x:f>
        <x:v>1</x:v>
      </x:c>
      <x:c r="N43" s="42" t="n">
        <x:f>IF(ABS(M43-1)&gt;0.000001,1,0)</x:f>
        <x:v>0</x:v>
      </x:c>
    </x:row>
    <x:row r="44">
      <x:c r="A44" t="str">
        <x:v>evo</x:v>
      </x:c>
      <x:c r="B44" t="str">
        <x:v>A</x:v>
      </x:c>
      <x:c r="C44" t="str">
        <x:v>e</x:v>
      </x:c>
      <x:c r="D44" s="45" t="n">
        <x:v>0</x:v>
      </x:c>
      <x:c r="E44" s="45" t="n">
        <x:v>1</x:v>
      </x:c>
      <x:c r="F44" s="45" t="n">
        <x:v>0</x:v>
      </x:c>
      <x:c r="G44" s="45" t="n">
        <x:v>0</x:v>
      </x:c>
      <x:c r="H44" s="45" t="n">
        <x:v>0</x:v>
      </x:c>
      <x:c r="I44" s="45" t="n">
        <x:v>0</x:v>
      </x:c>
      <x:c r="J44" s="45" t="n">
        <x:v>0</x:v>
      </x:c>
      <x:c r="K44" s="45" t="n">
        <x:v>1</x:v>
      </x:c>
      <x:c r="L44" s="45" t="n">
        <x:v>0</x:v>
      </x:c>
      <x:c r="M44" s="45" t="n">
        <x:f>SUM(D44:I44)</x:f>
        <x:v>1</x:v>
      </x:c>
      <x:c r="N44" s="42" t="n">
        <x:f>IF(ABS(M44-1)&gt;0.000001,1,0)</x:f>
        <x:v>0</x:v>
      </x:c>
    </x:row>
    <x:row r="45">
      <x:c r="A45" t="str">
        <x:v>evo</x:v>
      </x:c>
      <x:c r="B45" t="str">
        <x:v>B</x:v>
      </x:c>
      <x:c r="C45" t="str">
        <x:v>v</x:v>
      </x:c>
      <x:c r="D45" s="45" t="n">
        <x:v>1</x:v>
      </x:c>
      <x:c r="E45" s="45" t="n">
        <x:v>0</x:v>
      </x:c>
      <x:c r="F45" s="45" t="n">
        <x:v>0</x:v>
      </x:c>
      <x:c r="G45" s="45" t="n">
        <x:v>0</x:v>
      </x:c>
      <x:c r="H45" s="45" t="n">
        <x:v>0</x:v>
      </x:c>
      <x:c r="I45" s="45" t="n">
        <x:v>0</x:v>
      </x:c>
      <x:c r="J45" s="45" t="n">
        <x:v>0</x:v>
      </x:c>
      <x:c r="K45" s="45" t="n">
        <x:v>2</x:v>
      </x:c>
      <x:c r="L45" s="45" t="n">
        <x:v>0</x:v>
      </x:c>
      <x:c r="M45" s="45" t="n">
        <x:f>SUM(D45:I45)</x:f>
        <x:v>1</x:v>
      </x:c>
      <x:c r="N45" s="42" t="n">
        <x:f>IF(ABS(M45-1)&gt;0.000001,1,0)</x:f>
        <x:v>0</x:v>
      </x:c>
    </x:row>
    <x:row r="46">
      <x:c r="A46" t="str">
        <x:v>evo</x:v>
      </x:c>
      <x:c r="B46" t="str">
        <x:v>C</x:v>
      </x:c>
      <x:c r="C46" t="str">
        <x:v>o</x:v>
      </x:c>
      <x:c r="D46" s="45" t="n">
        <x:v>0</x:v>
      </x:c>
      <x:c r="E46" s="45" t="n">
        <x:v>0</x:v>
      </x:c>
      <x:c r="F46" s="45" t="n">
        <x:v>1</x:v>
      </x:c>
      <x:c r="G46" s="45" t="n">
        <x:v>0</x:v>
      </x:c>
      <x:c r="H46" s="45" t="n">
        <x:v>0</x:v>
      </x:c>
      <x:c r="I46" s="45" t="n">
        <x:v>0</x:v>
      </x:c>
      <x:c r="J46" s="45" t="n">
        <x:v>0</x:v>
      </x:c>
      <x:c r="K46" s="45" t="n">
        <x:v>0</x:v>
      </x:c>
      <x:c r="L46" s="45" t="n">
        <x:v>0</x:v>
      </x:c>
      <x:c r="M46" s="45" t="n">
        <x:f>SUM(D46:I46)</x:f>
        <x:v>1</x:v>
      </x:c>
      <x:c r="N46" s="42" t="n">
        <x:f>IF(ABS(M46-1)&gt;0.000001,1,0)</x:f>
        <x:v>0</x:v>
      </x:c>
    </x:row>
    <x:row r="47">
      <x:c r="A47" t="str">
        <x:v>evv</x:v>
      </x:c>
      <x:c r="B47" t="str">
        <x:v>A</x:v>
      </x:c>
      <x:c r="C47" t="str">
        <x:v>e</x:v>
      </x:c>
      <x:c r="D47" s="45" t="n">
        <x:v>0</x:v>
      </x:c>
      <x:c r="E47" s="45" t="n">
        <x:v>0</x:v>
      </x:c>
      <x:c r="F47" s="45" t="n">
        <x:v>1</x:v>
      </x:c>
      <x:c r="G47" s="45" t="n">
        <x:v>0</x:v>
      </x:c>
      <x:c r="H47" s="45" t="n">
        <x:v>0</x:v>
      </x:c>
      <x:c r="I47" s="45" t="n">
        <x:v>0</x:v>
      </x:c>
      <x:c r="J47" s="45" t="n">
        <x:v>1</x:v>
      </x:c>
      <x:c r="K47" s="45" t="n">
        <x:v>0</x:v>
      </x:c>
      <x:c r="L47" s="45" t="n">
        <x:v>0</x:v>
      </x:c>
      <x:c r="M47" s="45" t="n">
        <x:f>SUM(D47:I47)</x:f>
        <x:v>1</x:v>
      </x:c>
      <x:c r="N47" s="42" t="n">
        <x:f>IF(ABS(M47-1)&gt;0.000001,1,0)</x:f>
        <x:v>0</x:v>
      </x:c>
    </x:row>
    <x:row r="48">
      <x:c r="A48" t="str">
        <x:v>evv</x:v>
      </x:c>
      <x:c r="B48" t="str">
        <x:v>B</x:v>
      </x:c>
      <x:c r="C48" t="str">
        <x:v>v</x:v>
      </x:c>
      <x:c r="D48" s="45" t="n">
        <x:v>0.5</x:v>
      </x:c>
      <x:c r="E48" s="45" t="n">
        <x:v>0.5</x:v>
      </x:c>
      <x:c r="F48" s="45" t="n">
        <x:v>0</x:v>
      </x:c>
      <x:c r="G48" s="45" t="n">
        <x:v>0</x:v>
      </x:c>
      <x:c r="H48" s="45" t="n">
        <x:v>0</x:v>
      </x:c>
      <x:c r="I48" s="45" t="n">
        <x:v>0</x:v>
      </x:c>
      <x:c r="J48" s="45" t="n">
        <x:v>0.5</x:v>
      </x:c>
      <x:c r="K48" s="45" t="n">
        <x:v>1.5</x:v>
      </x:c>
      <x:c r="L48" s="45" t="n">
        <x:v>0</x:v>
      </x:c>
      <x:c r="M48" s="45" t="n">
        <x:f>SUM(D48:I48)</x:f>
        <x:v>1</x:v>
      </x:c>
      <x:c r="N48" s="42" t="n">
        <x:f>IF(ABS(M48-1)&gt;0.000001,1,0)</x:f>
        <x:v>0</x:v>
      </x:c>
    </x:row>
    <x:row r="49">
      <x:c r="A49" t="str">
        <x:v>evv</x:v>
      </x:c>
      <x:c r="B49" t="str">
        <x:v>C</x:v>
      </x:c>
      <x:c r="C49" t="str">
        <x:v>v</x:v>
      </x:c>
      <x:c r="D49" s="45" t="n">
        <x:v>0.5</x:v>
      </x:c>
      <x:c r="E49" s="45" t="n">
        <x:v>0.5</x:v>
      </x:c>
      <x:c r="F49" s="45" t="n">
        <x:v>0</x:v>
      </x:c>
      <x:c r="G49" s="45" t="n">
        <x:v>0</x:v>
      </x:c>
      <x:c r="H49" s="45" t="n">
        <x:v>0</x:v>
      </x:c>
      <x:c r="I49" s="45" t="n">
        <x:v>0</x:v>
      </x:c>
      <x:c r="J49" s="45" t="n">
        <x:v>0.5</x:v>
      </x:c>
      <x:c r="K49" s="45" t="n">
        <x:v>1.5</x:v>
      </x:c>
      <x:c r="L49" s="45" t="n">
        <x:v>0</x:v>
      </x:c>
      <x:c r="M49" s="45" t="n">
        <x:f>SUM(D49:I49)</x:f>
        <x:v>1</x:v>
      </x:c>
      <x:c r="N49" s="42" t="n">
        <x:f>IF(ABS(M49-1)&gt;0.000001,1,0)</x:f>
        <x:v>0</x:v>
      </x:c>
    </x:row>
    <x:row r="50">
      <x:c r="A50" t="str">
        <x:v>lee</x:v>
      </x:c>
      <x:c r="B50" t="str">
        <x:v>A</x:v>
      </x:c>
      <x:c r="C50" t="str">
        <x:v>l</x:v>
      </x:c>
      <x:c r="D50" s="45" t="n">
        <x:v>0</x:v>
      </x:c>
      <x:c r="E50" s="45" t="n">
        <x:v>0</x:v>
      </x:c>
      <x:c r="F50" s="45" t="n">
        <x:v>0</x:v>
      </x:c>
      <x:c r="G50" s="45" t="n">
        <x:v>1</x:v>
      </x:c>
      <x:c r="H50" s="45" t="n">
        <x:v>0</x:v>
      </x:c>
      <x:c r="I50" s="45" t="n">
        <x:v>0</x:v>
      </x:c>
      <x:c r="J50" s="45" t="n">
        <x:v>0</x:v>
      </x:c>
      <x:c r="K50" s="45" t="n">
        <x:v>0</x:v>
      </x:c>
      <x:c r="L50" s="45" t="n">
        <x:v>1</x:v>
      </x:c>
      <x:c r="M50" s="45" t="n">
        <x:f>SUM(D50:I50)</x:f>
        <x:v>1</x:v>
      </x:c>
      <x:c r="N50" s="42" t="n">
        <x:f>IF(ABS(M50-1)&gt;0.000001,1,0)</x:f>
        <x:v>0</x:v>
      </x:c>
    </x:row>
    <x:row r="51">
      <x:c r="A51" t="str">
        <x:v>lee</x:v>
      </x:c>
      <x:c r="B51" t="str">
        <x:v>B</x:v>
      </x:c>
      <x:c r="C51" t="str">
        <x:v>e</x:v>
      </x:c>
      <x:c r="D51" s="45" t="n">
        <x:v>0</x:v>
      </x:c>
      <x:c r="E51" s="45" t="n">
        <x:v>0.5</x:v>
      </x:c>
      <x:c r="F51" s="45" t="n">
        <x:v>0.5</x:v>
      </x:c>
      <x:c r="G51" s="45" t="n">
        <x:v>0</x:v>
      </x:c>
      <x:c r="H51" s="45" t="n">
        <x:v>0</x:v>
      </x:c>
      <x:c r="I51" s="45" t="n">
        <x:v>0</x:v>
      </x:c>
      <x:c r="J51" s="45" t="n">
        <x:v>0.5</x:v>
      </x:c>
      <x:c r="K51" s="45" t="n">
        <x:v>0.5</x:v>
      </x:c>
      <x:c r="L51" s="45" t="n">
        <x:v>0</x:v>
      </x:c>
      <x:c r="M51" s="45" t="n">
        <x:f>SUM(D51:I51)</x:f>
        <x:v>1</x:v>
      </x:c>
      <x:c r="N51" s="42" t="n">
        <x:f>IF(ABS(M51-1)&gt;0.000001,1,0)</x:f>
        <x:v>0</x:v>
      </x:c>
    </x:row>
    <x:row r="52">
      <x:c r="A52" t="str">
        <x:v>lee</x:v>
      </x:c>
      <x:c r="B52" t="str">
        <x:v>C</x:v>
      </x:c>
      <x:c r="C52" t="str">
        <x:v>e</x:v>
      </x:c>
      <x:c r="D52" s="45" t="n">
        <x:v>0</x:v>
      </x:c>
      <x:c r="E52" s="45" t="n">
        <x:v>0.5</x:v>
      </x:c>
      <x:c r="F52" s="45" t="n">
        <x:v>0.5</x:v>
      </x:c>
      <x:c r="G52" s="45" t="n">
        <x:v>0</x:v>
      </x:c>
      <x:c r="H52" s="45" t="n">
        <x:v>0</x:v>
      </x:c>
      <x:c r="I52" s="45" t="n">
        <x:v>0</x:v>
      </x:c>
      <x:c r="J52" s="45" t="n">
        <x:v>0.5</x:v>
      </x:c>
      <x:c r="K52" s="45" t="n">
        <x:v>0.5</x:v>
      </x:c>
      <x:c r="L52" s="45" t="n">
        <x:v>0</x:v>
      </x:c>
      <x:c r="M52" s="45" t="n">
        <x:f>SUM(D52:I52)</x:f>
        <x:v>1</x:v>
      </x:c>
      <x:c r="N52" s="42" t="n">
        <x:f>IF(ABS(M52-1)&gt;0.000001,1,0)</x:f>
        <x:v>0</x:v>
      </x:c>
    </x:row>
    <x:row r="53">
      <x:c r="A53" s="30" t="str">
        <x:v>lel</x:v>
      </x:c>
      <x:c r="B53" s="30" t="str">
        <x:v>A</x:v>
      </x:c>
      <x:c r="C53" s="30" t="str">
        <x:v>l</x:v>
      </x:c>
      <x:c r="D53" s="48" t="n">
        <x:v>0</x:v>
      </x:c>
      <x:c r="E53" s="48" t="n">
        <x:v>0</x:v>
      </x:c>
      <x:c r="F53" s="48" t="n">
        <x:v>0</x:v>
      </x:c>
      <x:c r="G53" s="48" t="n">
        <x:v>0.5</x:v>
      </x:c>
      <x:c r="H53" s="48" t="n">
        <x:v>0.5</x:v>
      </x:c>
      <x:c r="I53" s="48" t="n">
        <x:v>0</x:v>
      </x:c>
      <x:c r="J53" s="48" t="n">
        <x:v>0.5</x:v>
      </x:c>
      <x:c r="K53" s="48" t="n">
        <x:v>0</x:v>
      </x:c>
      <x:c r="L53" s="48" t="n">
        <x:v>1.5</x:v>
      </x:c>
      <x:c r="M53" s="48" t="n">
        <x:f>SUM(D53:I53)</x:f>
        <x:v>1</x:v>
      </x:c>
      <x:c r="N53" s="49" t="n">
        <x:f>IF(ABS(M53-1)&gt;0.000001,1,0)</x:f>
        <x:v>0</x:v>
      </x:c>
    </x:row>
    <x:row r="54">
      <x:c r="A54" t="str">
        <x:v>lel</x:v>
      </x:c>
      <x:c r="B54" t="str">
        <x:v>B</x:v>
      </x:c>
      <x:c r="C54" t="str">
        <x:v>e</x:v>
      </x:c>
      <x:c r="D54" s="45" t="n">
        <x:v>0</x:v>
      </x:c>
      <x:c r="E54" s="45" t="n">
        <x:v>1</x:v>
      </x:c>
      <x:c r="F54" s="45" t="n">
        <x:v>0</x:v>
      </x:c>
      <x:c r="G54" s="45" t="n">
        <x:v>0</x:v>
      </x:c>
      <x:c r="H54" s="45" t="n">
        <x:v>0</x:v>
      </x:c>
      <x:c r="I54" s="45" t="n">
        <x:v>0</x:v>
      </x:c>
      <x:c r="J54" s="45" t="n">
        <x:v>0</x:v>
      </x:c>
      <x:c r="K54" s="45" t="n">
        <x:v>1</x:v>
      </x:c>
      <x:c r="L54" s="45" t="n">
        <x:v>0</x:v>
      </x:c>
      <x:c r="M54" s="45" t="n">
        <x:f>SUM(D54:I54)</x:f>
        <x:v>1</x:v>
      </x:c>
      <x:c r="N54" s="42" t="n">
        <x:f>IF(ABS(M54-1)&gt;0.000001,1,0)</x:f>
        <x:v>0</x:v>
      </x:c>
    </x:row>
    <x:row r="55">
      <x:c r="A55" t="str">
        <x:v>lel</x:v>
      </x:c>
      <x:c r="B55" t="str">
        <x:v>C</x:v>
      </x:c>
      <x:c r="C55" t="str">
        <x:v>l</x:v>
      </x:c>
      <x:c r="D55" s="45" t="n">
        <x:v>0</x:v>
      </x:c>
      <x:c r="E55" s="45" t="n">
        <x:v>0</x:v>
      </x:c>
      <x:c r="F55" s="45" t="n">
        <x:v>0</x:v>
      </x:c>
      <x:c r="G55" s="45" t="n">
        <x:v>0.5</x:v>
      </x:c>
      <x:c r="H55" s="45" t="n">
        <x:v>0.5</x:v>
      </x:c>
      <x:c r="I55" s="45" t="n">
        <x:v>0</x:v>
      </x:c>
      <x:c r="J55" s="45" t="n">
        <x:v>0.5</x:v>
      </x:c>
      <x:c r="K55" s="45" t="n">
        <x:v>0</x:v>
      </x:c>
      <x:c r="L55" s="45" t="n">
        <x:v>1.5</x:v>
      </x:c>
      <x:c r="M55" s="45" t="n">
        <x:f>SUM(D55:I55)</x:f>
        <x:v>1</x:v>
      </x:c>
      <x:c r="N55" s="42" t="n">
        <x:f>IF(ABS(M55-1)&gt;0.000001,1,0)</x:f>
        <x:v>0</x:v>
      </x:c>
    </x:row>
    <x:row r="56">
      <x:c r="A56" t="str">
        <x:v>leo</x:v>
      </x:c>
      <x:c r="B56" t="str">
        <x:v>A</x:v>
      </x:c>
      <x:c r="C56" t="str">
        <x:v>l</x:v>
      </x:c>
      <x:c r="D56" s="45" t="n">
        <x:v>0</x:v>
      </x:c>
      <x:c r="E56" s="45" t="n">
        <x:v>0</x:v>
      </x:c>
      <x:c r="F56" s="45" t="n">
        <x:v>0</x:v>
      </x:c>
      <x:c r="G56" s="45" t="n">
        <x:v>1</x:v>
      </x:c>
      <x:c r="H56" s="45" t="n">
        <x:v>0</x:v>
      </x:c>
      <x:c r="I56" s="45" t="n">
        <x:v>0</x:v>
      </x:c>
      <x:c r="J56" s="45" t="n">
        <x:v>0</x:v>
      </x:c>
      <x:c r="K56" s="45" t="n">
        <x:v>0</x:v>
      </x:c>
      <x:c r="L56" s="45" t="n">
        <x:v>1</x:v>
      </x:c>
      <x:c r="M56" s="45" t="n">
        <x:f>SUM(D56:I56)</x:f>
        <x:v>1</x:v>
      </x:c>
      <x:c r="N56" s="42" t="n">
        <x:f>IF(ABS(M56-1)&gt;0.000001,1,0)</x:f>
        <x:v>0</x:v>
      </x:c>
    </x:row>
    <x:row r="57">
      <x:c r="A57" t="str">
        <x:v>leo</x:v>
      </x:c>
      <x:c r="B57" t="str">
        <x:v>B</x:v>
      </x:c>
      <x:c r="C57" t="str">
        <x:v>e</x:v>
      </x:c>
      <x:c r="D57" s="45" t="n">
        <x:v>0</x:v>
      </x:c>
      <x:c r="E57" s="45" t="n">
        <x:v>1</x:v>
      </x:c>
      <x:c r="F57" s="45" t="n">
        <x:v>0</x:v>
      </x:c>
      <x:c r="G57" s="45" t="n">
        <x:v>0</x:v>
      </x:c>
      <x:c r="H57" s="45" t="n">
        <x:v>0</x:v>
      </x:c>
      <x:c r="I57" s="45" t="n">
        <x:v>0</x:v>
      </x:c>
      <x:c r="J57" s="45" t="n">
        <x:v>0</x:v>
      </x:c>
      <x:c r="K57" s="45" t="n">
        <x:v>1</x:v>
      </x:c>
      <x:c r="L57" s="45" t="n">
        <x:v>0</x:v>
      </x:c>
      <x:c r="M57" s="45" t="n">
        <x:f>SUM(D57:I57)</x:f>
        <x:v>1</x:v>
      </x:c>
      <x:c r="N57" s="42" t="n">
        <x:f>IF(ABS(M57-1)&gt;0.000001,1,0)</x:f>
        <x:v>0</x:v>
      </x:c>
    </x:row>
    <x:row r="58">
      <x:c r="A58" t="str">
        <x:v>leo</x:v>
      </x:c>
      <x:c r="B58" t="str">
        <x:v>C</x:v>
      </x:c>
      <x:c r="C58" t="str">
        <x:v>o</x:v>
      </x:c>
      <x:c r="D58" s="45" t="n">
        <x:v>0</x:v>
      </x:c>
      <x:c r="E58" s="45" t="n">
        <x:v>0</x:v>
      </x:c>
      <x:c r="F58" s="45" t="n">
        <x:v>1</x:v>
      </x:c>
      <x:c r="G58" s="45" t="n">
        <x:v>0</x:v>
      </x:c>
      <x:c r="H58" s="45" t="n">
        <x:v>0</x:v>
      </x:c>
      <x:c r="I58" s="45" t="n">
        <x:v>0</x:v>
      </x:c>
      <x:c r="J58" s="45" t="n">
        <x:v>0</x:v>
      </x:c>
      <x:c r="K58" s="45" t="n">
        <x:v>0</x:v>
      </x:c>
      <x:c r="L58" s="45" t="n">
        <x:v>0</x:v>
      </x:c>
      <x:c r="M58" s="45" t="n">
        <x:f>SUM(D58:I58)</x:f>
        <x:v>1</x:v>
      </x:c>
      <x:c r="N58" s="42" t="n">
        <x:f>IF(ABS(M58-1)&gt;0.000001,1,0)</x:f>
        <x:v>0</x:v>
      </x:c>
    </x:row>
    <x:row r="59">
      <x:c r="A59" t="str">
        <x:v>lev</x:v>
      </x:c>
      <x:c r="B59" t="str">
        <x:v>A</x:v>
      </x:c>
      <x:c r="C59" t="str">
        <x:v>l</x:v>
      </x:c>
      <x:c r="D59" s="45" t="n">
        <x:v>0</x:v>
      </x:c>
      <x:c r="E59" s="45" t="n">
        <x:v>0</x:v>
      </x:c>
      <x:c r="F59" s="45" t="n">
        <x:v>0</x:v>
      </x:c>
      <x:c r="G59" s="45" t="n">
        <x:v>1</x:v>
      </x:c>
      <x:c r="H59" s="45" t="n">
        <x:v>0</x:v>
      </x:c>
      <x:c r="I59" s="45" t="n">
        <x:v>0</x:v>
      </x:c>
      <x:c r="J59" s="45" t="n">
        <x:v>0</x:v>
      </x:c>
      <x:c r="K59" s="45" t="n">
        <x:v>0</x:v>
      </x:c>
      <x:c r="L59" s="45" t="n">
        <x:v>1</x:v>
      </x:c>
      <x:c r="M59" s="45" t="n">
        <x:f>SUM(D59:I59)</x:f>
        <x:v>1</x:v>
      </x:c>
      <x:c r="N59" s="42" t="n">
        <x:f>IF(ABS(M59-1)&gt;0.000001,1,0)</x:f>
        <x:v>0</x:v>
      </x:c>
    </x:row>
    <x:row r="60">
      <x:c r="A60" t="str">
        <x:v>lev</x:v>
      </x:c>
      <x:c r="B60" t="str">
        <x:v>B</x:v>
      </x:c>
      <x:c r="C60" t="str">
        <x:v>e</x:v>
      </x:c>
      <x:c r="D60" s="45" t="n">
        <x:v>0</x:v>
      </x:c>
      <x:c r="E60" s="45" t="n">
        <x:v>1</x:v>
      </x:c>
      <x:c r="F60" s="45" t="n">
        <x:v>0</x:v>
      </x:c>
      <x:c r="G60" s="45" t="n">
        <x:v>0</x:v>
      </x:c>
      <x:c r="H60" s="45" t="n">
        <x:v>0</x:v>
      </x:c>
      <x:c r="I60" s="45" t="n">
        <x:v>0</x:v>
      </x:c>
      <x:c r="J60" s="45" t="n">
        <x:v>0</x:v>
      </x:c>
      <x:c r="K60" s="45" t="n">
        <x:v>1</x:v>
      </x:c>
      <x:c r="L60" s="45" t="n">
        <x:v>0</x:v>
      </x:c>
      <x:c r="M60" s="45" t="n">
        <x:f>SUM(D60:I60)</x:f>
        <x:v>1</x:v>
      </x:c>
      <x:c r="N60" s="42" t="n">
        <x:f>IF(ABS(M60-1)&gt;0.000001,1,0)</x:f>
        <x:v>0</x:v>
      </x:c>
    </x:row>
    <x:row r="61">
      <x:c r="A61" t="str">
        <x:v>lev</x:v>
      </x:c>
      <x:c r="B61" t="str">
        <x:v>C</x:v>
      </x:c>
      <x:c r="C61" t="str">
        <x:v>v</x:v>
      </x:c>
      <x:c r="D61" s="45" t="n">
        <x:v>1</x:v>
      </x:c>
      <x:c r="E61" s="45" t="n">
        <x:v>0</x:v>
      </x:c>
      <x:c r="F61" s="45" t="n">
        <x:v>0</x:v>
      </x:c>
      <x:c r="G61" s="45" t="n">
        <x:v>0</x:v>
      </x:c>
      <x:c r="H61" s="45" t="n">
        <x:v>0</x:v>
      </x:c>
      <x:c r="I61" s="45" t="n">
        <x:v>0</x:v>
      </x:c>
      <x:c r="J61" s="45" t="n">
        <x:v>0</x:v>
      </x:c>
      <x:c r="K61" s="45" t="n">
        <x:v>2</x:v>
      </x:c>
      <x:c r="L61" s="45" t="n">
        <x:v>0</x:v>
      </x:c>
      <x:c r="M61" s="45" t="n">
        <x:f>SUM(D61:I61)</x:f>
        <x:v>1</x:v>
      </x:c>
      <x:c r="N61" s="42" t="n">
        <x:f>IF(ABS(M61-1)&gt;0.000001,1,0)</x:f>
        <x:v>0</x:v>
      </x:c>
    </x:row>
    <x:row r="62">
      <x:c r="A62" t="str">
        <x:v>lle</x:v>
      </x:c>
      <x:c r="B62" t="str">
        <x:v>A</x:v>
      </x:c>
      <x:c r="C62" t="str">
        <x:v>l</x:v>
      </x:c>
      <x:c r="D62" s="45" t="n">
        <x:v>0</x:v>
      </x:c>
      <x:c r="E62" s="45" t="n">
        <x:v>0</x:v>
      </x:c>
      <x:c r="F62" s="45" t="n">
        <x:v>0</x:v>
      </x:c>
      <x:c r="G62" s="45" t="n">
        <x:v>0.5</x:v>
      </x:c>
      <x:c r="H62" s="45" t="n">
        <x:v>0.5</x:v>
      </x:c>
      <x:c r="I62" s="45" t="n">
        <x:v>0</x:v>
      </x:c>
      <x:c r="J62" s="45" t="n">
        <x:v>0.5</x:v>
      </x:c>
      <x:c r="K62" s="45" t="n">
        <x:v>0</x:v>
      </x:c>
      <x:c r="L62" s="45" t="n">
        <x:v>1.5</x:v>
      </x:c>
      <x:c r="M62" s="45" t="n">
        <x:f>SUM(D62:I62)</x:f>
        <x:v>1</x:v>
      </x:c>
      <x:c r="N62" s="42" t="n">
        <x:f>IF(ABS(M62-1)&gt;0.000001,1,0)</x:f>
        <x:v>0</x:v>
      </x:c>
    </x:row>
    <x:row r="63">
      <x:c r="A63" t="str">
        <x:v>lle</x:v>
      </x:c>
      <x:c r="B63" t="str">
        <x:v>B</x:v>
      </x:c>
      <x:c r="C63" t="str">
        <x:v>l</x:v>
      </x:c>
      <x:c r="D63" s="45" t="n">
        <x:v>0</x:v>
      </x:c>
      <x:c r="E63" s="45" t="n">
        <x:v>0</x:v>
      </x:c>
      <x:c r="F63" s="45" t="n">
        <x:v>0</x:v>
      </x:c>
      <x:c r="G63" s="45" t="n">
        <x:v>0.5</x:v>
      </x:c>
      <x:c r="H63" s="45" t="n">
        <x:v>0.5</x:v>
      </x:c>
      <x:c r="I63" s="45" t="n">
        <x:v>0</x:v>
      </x:c>
      <x:c r="J63" s="45" t="n">
        <x:v>0.5</x:v>
      </x:c>
      <x:c r="K63" s="45" t="n">
        <x:v>0</x:v>
      </x:c>
      <x:c r="L63" s="45" t="n">
        <x:v>1.5</x:v>
      </x:c>
      <x:c r="M63" s="45" t="n">
        <x:f>SUM(D63:I63)</x:f>
        <x:v>1</x:v>
      </x:c>
      <x:c r="N63" s="42" t="n">
        <x:f>IF(ABS(M63-1)&gt;0.000001,1,0)</x:f>
        <x:v>0</x:v>
      </x:c>
    </x:row>
    <x:row r="64">
      <x:c r="A64" t="str">
        <x:v>lle</x:v>
      </x:c>
      <x:c r="B64" t="str">
        <x:v>C</x:v>
      </x:c>
      <x:c r="C64" t="str">
        <x:v>e</x:v>
      </x:c>
      <x:c r="D64" s="45" t="n">
        <x:v>0</x:v>
      </x:c>
      <x:c r="E64" s="45" t="n">
        <x:v>1</x:v>
      </x:c>
      <x:c r="F64" s="45" t="n">
        <x:v>0</x:v>
      </x:c>
      <x:c r="G64" s="45" t="n">
        <x:v>0</x:v>
      </x:c>
      <x:c r="H64" s="45" t="n">
        <x:v>0</x:v>
      </x:c>
      <x:c r="I64" s="45" t="n">
        <x:v>0</x:v>
      </x:c>
      <x:c r="J64" s="45" t="n">
        <x:v>0</x:v>
      </x:c>
      <x:c r="K64" s="45" t="n">
        <x:v>1</x:v>
      </x:c>
      <x:c r="L64" s="45" t="n">
        <x:v>0</x:v>
      </x:c>
      <x:c r="M64" s="45" t="n">
        <x:f>SUM(D64:I64)</x:f>
        <x:v>1</x:v>
      </x:c>
      <x:c r="N64" s="42" t="n">
        <x:f>IF(ABS(M64-1)&gt;0.000001,1,0)</x:f>
        <x:v>0</x:v>
      </x:c>
    </x:row>
    <x:row r="65">
      <x:c r="A65" t="str">
        <x:v>lll</x:v>
      </x:c>
      <x:c r="B65" t="str">
        <x:v>A</x:v>
      </x:c>
      <x:c r="C65" t="str">
        <x:v>l</x:v>
      </x:c>
      <x:c r="D65" s="45" t="n">
        <x:v>0</x:v>
      </x:c>
      <x:c r="E65" s="45" t="n">
        <x:v>0</x:v>
      </x:c>
      <x:c r="F65" s="45" t="n">
        <x:v>0</x:v>
      </x:c>
      <x:c r="G65" s="45" t="n">
        <x:v>0.3333333333333333</x:v>
      </x:c>
      <x:c r="H65" s="45" t="n">
        <x:v>0.3333333333333333</x:v>
      </x:c>
      <x:c r="I65" s="45" t="n">
        <x:v>0.3333333333333333</x:v>
      </x:c>
      <x:c r="J65" s="45" t="n">
        <x:v>1</x:v>
      </x:c>
      <x:c r="K65" s="45" t="n">
        <x:v>0</x:v>
      </x:c>
      <x:c r="L65" s="45" t="n">
        <x:v>2</x:v>
      </x:c>
      <x:c r="M65" s="45" t="n">
        <x:f>SUM(D65:I65)</x:f>
        <x:v>1</x:v>
      </x:c>
      <x:c r="N65" s="42" t="n">
        <x:f>IF(ABS(M65-1)&gt;0.000001,1,0)</x:f>
        <x:v>0</x:v>
      </x:c>
    </x:row>
    <x:row r="66">
      <x:c r="A66" t="str">
        <x:v>lll</x:v>
      </x:c>
      <x:c r="B66" t="str">
        <x:v>B</x:v>
      </x:c>
      <x:c r="C66" t="str">
        <x:v>l</x:v>
      </x:c>
      <x:c r="D66" s="45" t="n">
        <x:v>0</x:v>
      </x:c>
      <x:c r="E66" s="45" t="n">
        <x:v>0</x:v>
      </x:c>
      <x:c r="F66" s="45" t="n">
        <x:v>0</x:v>
      </x:c>
      <x:c r="G66" s="45" t="n">
        <x:v>0.3333333333333333</x:v>
      </x:c>
      <x:c r="H66" s="45" t="n">
        <x:v>0.3333333333333333</x:v>
      </x:c>
      <x:c r="I66" s="45" t="n">
        <x:v>0.3333333333333333</x:v>
      </x:c>
      <x:c r="J66" s="45" t="n">
        <x:v>1</x:v>
      </x:c>
      <x:c r="K66" s="45" t="n">
        <x:v>0</x:v>
      </x:c>
      <x:c r="L66" s="45" t="n">
        <x:v>2</x:v>
      </x:c>
      <x:c r="M66" s="45" t="n">
        <x:f>SUM(D66:I66)</x:f>
        <x:v>1</x:v>
      </x:c>
      <x:c r="N66" s="42" t="n">
        <x:f>IF(ABS(M66-1)&gt;0.000001,1,0)</x:f>
        <x:v>0</x:v>
      </x:c>
    </x:row>
    <x:row r="67">
      <x:c r="A67" t="str">
        <x:v>lll</x:v>
      </x:c>
      <x:c r="B67" t="str">
        <x:v>C</x:v>
      </x:c>
      <x:c r="C67" t="str">
        <x:v>l</x:v>
      </x:c>
      <x:c r="D67" s="45" t="n">
        <x:v>0</x:v>
      </x:c>
      <x:c r="E67" s="45" t="n">
        <x:v>0</x:v>
      </x:c>
      <x:c r="F67" s="45" t="n">
        <x:v>0</x:v>
      </x:c>
      <x:c r="G67" s="45" t="n">
        <x:v>0.3333333333333333</x:v>
      </x:c>
      <x:c r="H67" s="45" t="n">
        <x:v>0.3333333333333333</x:v>
      </x:c>
      <x:c r="I67" s="45" t="n">
        <x:v>0.3333333333333333</x:v>
      </x:c>
      <x:c r="J67" s="45" t="n">
        <x:v>1</x:v>
      </x:c>
      <x:c r="K67" s="45" t="n">
        <x:v>0</x:v>
      </x:c>
      <x:c r="L67" s="45" t="n">
        <x:v>2</x:v>
      </x:c>
      <x:c r="M67" s="45" t="n">
        <x:f>SUM(D67:I67)</x:f>
        <x:v>1</x:v>
      </x:c>
      <x:c r="N67" s="42" t="n">
        <x:f>IF(ABS(M67-1)&gt;0.000001,1,0)</x:f>
        <x:v>0</x:v>
      </x:c>
    </x:row>
    <x:row r="68">
      <x:c r="A68" t="str">
        <x:v>llo</x:v>
      </x:c>
      <x:c r="B68" t="str">
        <x:v>A</x:v>
      </x:c>
      <x:c r="C68" t="str">
        <x:v>l</x:v>
      </x:c>
      <x:c r="D68" s="45" t="n">
        <x:v>0</x:v>
      </x:c>
      <x:c r="E68" s="45" t="n">
        <x:v>0</x:v>
      </x:c>
      <x:c r="F68" s="45" t="n">
        <x:v>0</x:v>
      </x:c>
      <x:c r="G68" s="45" t="n">
        <x:v>0.5</x:v>
      </x:c>
      <x:c r="H68" s="45" t="n">
        <x:v>0.5</x:v>
      </x:c>
      <x:c r="I68" s="45" t="n">
        <x:v>0</x:v>
      </x:c>
      <x:c r="J68" s="45" t="n">
        <x:v>0.5</x:v>
      </x:c>
      <x:c r="K68" s="45" t="n">
        <x:v>0</x:v>
      </x:c>
      <x:c r="L68" s="45" t="n">
        <x:v>1.5</x:v>
      </x:c>
      <x:c r="M68" s="45" t="n">
        <x:f>SUM(D68:I68)</x:f>
        <x:v>1</x:v>
      </x:c>
      <x:c r="N68" s="42" t="n">
        <x:f>IF(ABS(M68-1)&gt;0.000001,1,0)</x:f>
        <x:v>0</x:v>
      </x:c>
    </x:row>
    <x:row r="69">
      <x:c r="A69" t="str">
        <x:v>llo</x:v>
      </x:c>
      <x:c r="B69" t="str">
        <x:v>B</x:v>
      </x:c>
      <x:c r="C69" t="str">
        <x:v>l</x:v>
      </x:c>
      <x:c r="D69" s="45" t="n">
        <x:v>0</x:v>
      </x:c>
      <x:c r="E69" s="45" t="n">
        <x:v>0</x:v>
      </x:c>
      <x:c r="F69" s="45" t="n">
        <x:v>0</x:v>
      </x:c>
      <x:c r="G69" s="45" t="n">
        <x:v>0.5</x:v>
      </x:c>
      <x:c r="H69" s="45" t="n">
        <x:v>0.5</x:v>
      </x:c>
      <x:c r="I69" s="45" t="n">
        <x:v>0</x:v>
      </x:c>
      <x:c r="J69" s="45" t="n">
        <x:v>0.5</x:v>
      </x:c>
      <x:c r="K69" s="45" t="n">
        <x:v>0</x:v>
      </x:c>
      <x:c r="L69" s="45" t="n">
        <x:v>1.5</x:v>
      </x:c>
      <x:c r="M69" s="45" t="n">
        <x:f>SUM(D69:I69)</x:f>
        <x:v>1</x:v>
      </x:c>
      <x:c r="N69" s="42" t="n">
        <x:f>IF(ABS(M69-1)&gt;0.000001,1,0)</x:f>
        <x:v>0</x:v>
      </x:c>
    </x:row>
    <x:row r="70">
      <x:c r="A70" t="str">
        <x:v>llo</x:v>
      </x:c>
      <x:c r="B70" t="str">
        <x:v>C</x:v>
      </x:c>
      <x:c r="C70" t="str">
        <x:v>o</x:v>
      </x:c>
      <x:c r="D70" s="45" t="n">
        <x:v>0</x:v>
      </x:c>
      <x:c r="E70" s="45" t="n">
        <x:v>0</x:v>
      </x:c>
      <x:c r="F70" s="45" t="n">
        <x:v>1</x:v>
      </x:c>
      <x:c r="G70" s="45" t="n">
        <x:v>0</x:v>
      </x:c>
      <x:c r="H70" s="45" t="n">
        <x:v>0</x:v>
      </x:c>
      <x:c r="I70" s="45" t="n">
        <x:v>0</x:v>
      </x:c>
      <x:c r="J70" s="45" t="n">
        <x:v>0</x:v>
      </x:c>
      <x:c r="K70" s="45" t="n">
        <x:v>0</x:v>
      </x:c>
      <x:c r="L70" s="45" t="n">
        <x:v>0</x:v>
      </x:c>
      <x:c r="M70" s="45" t="n">
        <x:f>SUM(D70:I70)</x:f>
        <x:v>1</x:v>
      </x:c>
      <x:c r="N70" s="42" t="n">
        <x:f>IF(ABS(M70-1)&gt;0.000001,1,0)</x:f>
        <x:v>0</x:v>
      </x:c>
    </x:row>
    <x:row r="71">
      <x:c r="A71" t="str">
        <x:v>llv</x:v>
      </x:c>
      <x:c r="B71" t="str">
        <x:v>A</x:v>
      </x:c>
      <x:c r="C71" t="str">
        <x:v>l</x:v>
      </x:c>
      <x:c r="D71" s="45" t="n">
        <x:v>0</x:v>
      </x:c>
      <x:c r="E71" s="45" t="n">
        <x:v>0</x:v>
      </x:c>
      <x:c r="F71" s="45" t="n">
        <x:v>0</x:v>
      </x:c>
      <x:c r="G71" s="45" t="n">
        <x:v>0.5</x:v>
      </x:c>
      <x:c r="H71" s="45" t="n">
        <x:v>0.5</x:v>
      </x:c>
      <x:c r="I71" s="45" t="n">
        <x:v>0</x:v>
      </x:c>
      <x:c r="J71" s="45" t="n">
        <x:v>0.5</x:v>
      </x:c>
      <x:c r="K71" s="45" t="n">
        <x:v>0</x:v>
      </x:c>
      <x:c r="L71" s="45" t="n">
        <x:v>1.5</x:v>
      </x:c>
      <x:c r="M71" s="45" t="n">
        <x:f>SUM(D71:I71)</x:f>
        <x:v>1</x:v>
      </x:c>
      <x:c r="N71" s="42" t="n">
        <x:f>IF(ABS(M71-1)&gt;0.000001,1,0)</x:f>
        <x:v>0</x:v>
      </x:c>
    </x:row>
    <x:row r="72">
      <x:c r="A72" t="str">
        <x:v>llv</x:v>
      </x:c>
      <x:c r="B72" t="str">
        <x:v>B</x:v>
      </x:c>
      <x:c r="C72" t="str">
        <x:v>l</x:v>
      </x:c>
      <x:c r="D72" s="45" t="n">
        <x:v>0</x:v>
      </x:c>
      <x:c r="E72" s="45" t="n">
        <x:v>0</x:v>
      </x:c>
      <x:c r="F72" s="45" t="n">
        <x:v>0</x:v>
      </x:c>
      <x:c r="G72" s="45" t="n">
        <x:v>0.5</x:v>
      </x:c>
      <x:c r="H72" s="45" t="n">
        <x:v>0.5</x:v>
      </x:c>
      <x:c r="I72" s="45" t="n">
        <x:v>0</x:v>
      </x:c>
      <x:c r="J72" s="45" t="n">
        <x:v>0.5</x:v>
      </x:c>
      <x:c r="K72" s="45" t="n">
        <x:v>0</x:v>
      </x:c>
      <x:c r="L72" s="45" t="n">
        <x:v>1.5</x:v>
      </x:c>
      <x:c r="M72" s="45" t="n">
        <x:f>SUM(D72:I72)</x:f>
        <x:v>1</x:v>
      </x:c>
      <x:c r="N72" s="42" t="n">
        <x:f>IF(ABS(M72-1)&gt;0.000001,1,0)</x:f>
        <x:v>0</x:v>
      </x:c>
    </x:row>
    <x:row r="73">
      <x:c r="A73" t="str">
        <x:v>llv</x:v>
      </x:c>
      <x:c r="B73" t="str">
        <x:v>C</x:v>
      </x:c>
      <x:c r="C73" t="str">
        <x:v>v</x:v>
      </x:c>
      <x:c r="D73" s="45" t="n">
        <x:v>1</x:v>
      </x:c>
      <x:c r="E73" s="45" t="n">
        <x:v>0</x:v>
      </x:c>
      <x:c r="F73" s="45" t="n">
        <x:v>0</x:v>
      </x:c>
      <x:c r="G73" s="45" t="n">
        <x:v>0</x:v>
      </x:c>
      <x:c r="H73" s="45" t="n">
        <x:v>0</x:v>
      </x:c>
      <x:c r="I73" s="45" t="n">
        <x:v>0</x:v>
      </x:c>
      <x:c r="J73" s="45" t="n">
        <x:v>0</x:v>
      </x:c>
      <x:c r="K73" s="45" t="n">
        <x:v>2</x:v>
      </x:c>
      <x:c r="L73" s="45" t="n">
        <x:v>0</x:v>
      </x:c>
      <x:c r="M73" s="45" t="n">
        <x:f>SUM(D73:I73)</x:f>
        <x:v>1</x:v>
      </x:c>
      <x:c r="N73" s="42" t="n">
        <x:f>IF(ABS(M73-1)&gt;0.000001,1,0)</x:f>
        <x:v>0</x:v>
      </x:c>
    </x:row>
    <x:row r="74">
      <x:c r="A74" t="str">
        <x:v>loe</x:v>
      </x:c>
      <x:c r="B74" t="str">
        <x:v>A</x:v>
      </x:c>
      <x:c r="C74" t="str">
        <x:v>l</x:v>
      </x:c>
      <x:c r="D74" s="45" t="n">
        <x:v>0</x:v>
      </x:c>
      <x:c r="E74" s="45" t="n">
        <x:v>0</x:v>
      </x:c>
      <x:c r="F74" s="45" t="n">
        <x:v>0</x:v>
      </x:c>
      <x:c r="G74" s="45" t="n">
        <x:v>1</x:v>
      </x:c>
      <x:c r="H74" s="45" t="n">
        <x:v>0</x:v>
      </x:c>
      <x:c r="I74" s="45" t="n">
        <x:v>0</x:v>
      </x:c>
      <x:c r="J74" s="45" t="n">
        <x:v>0</x:v>
      </x:c>
      <x:c r="K74" s="45" t="n">
        <x:v>0</x:v>
      </x:c>
      <x:c r="L74" s="45" t="n">
        <x:v>1</x:v>
      </x:c>
      <x:c r="M74" s="45" t="n">
        <x:f>SUM(D74:I74)</x:f>
        <x:v>1</x:v>
      </x:c>
      <x:c r="N74" s="42" t="n">
        <x:f>IF(ABS(M74-1)&gt;0.000001,1,0)</x:f>
        <x:v>0</x:v>
      </x:c>
    </x:row>
    <x:row r="75">
      <x:c r="A75" t="str">
        <x:v>loe</x:v>
      </x:c>
      <x:c r="B75" t="str">
        <x:v>B</x:v>
      </x:c>
      <x:c r="C75" t="str">
        <x:v>o</x:v>
      </x:c>
      <x:c r="D75" s="45" t="n">
        <x:v>0</x:v>
      </x:c>
      <x:c r="E75" s="45" t="n">
        <x:v>0</x:v>
      </x:c>
      <x:c r="F75" s="45" t="n">
        <x:v>1</x:v>
      </x:c>
      <x:c r="G75" s="45" t="n">
        <x:v>0</x:v>
      </x:c>
      <x:c r="H75" s="45" t="n">
        <x:v>0</x:v>
      </x:c>
      <x:c r="I75" s="45" t="n">
        <x:v>0</x:v>
      </x:c>
      <x:c r="J75" s="45" t="n">
        <x:v>0</x:v>
      </x:c>
      <x:c r="K75" s="45" t="n">
        <x:v>0</x:v>
      </x:c>
      <x:c r="L75" s="45" t="n">
        <x:v>0</x:v>
      </x:c>
      <x:c r="M75" s="45" t="n">
        <x:f>SUM(D75:I75)</x:f>
        <x:v>1</x:v>
      </x:c>
      <x:c r="N75" s="42" t="n">
        <x:f>IF(ABS(M75-1)&gt;0.000001,1,0)</x:f>
        <x:v>0</x:v>
      </x:c>
    </x:row>
    <x:row r="76">
      <x:c r="A76" t="str">
        <x:v>loe</x:v>
      </x:c>
      <x:c r="B76" t="str">
        <x:v>C</x:v>
      </x:c>
      <x:c r="C76" t="str">
        <x:v>e</x:v>
      </x:c>
      <x:c r="D76" s="45" t="n">
        <x:v>0</x:v>
      </x:c>
      <x:c r="E76" s="45" t="n">
        <x:v>1</x:v>
      </x:c>
      <x:c r="F76" s="45" t="n">
        <x:v>0</x:v>
      </x:c>
      <x:c r="G76" s="45" t="n">
        <x:v>0</x:v>
      </x:c>
      <x:c r="H76" s="45" t="n">
        <x:v>0</x:v>
      </x:c>
      <x:c r="I76" s="45" t="n">
        <x:v>0</x:v>
      </x:c>
      <x:c r="J76" s="45" t="n">
        <x:v>0</x:v>
      </x:c>
      <x:c r="K76" s="45" t="n">
        <x:v>1</x:v>
      </x:c>
      <x:c r="L76" s="45" t="n">
        <x:v>0</x:v>
      </x:c>
      <x:c r="M76" s="45" t="n">
        <x:f>SUM(D76:I76)</x:f>
        <x:v>1</x:v>
      </x:c>
      <x:c r="N76" s="42" t="n">
        <x:f>IF(ABS(M76-1)&gt;0.000001,1,0)</x:f>
        <x:v>0</x:v>
      </x:c>
    </x:row>
    <x:row r="77">
      <x:c r="A77" t="str">
        <x:v>lol</x:v>
      </x:c>
      <x:c r="B77" t="str">
        <x:v>A</x:v>
      </x:c>
      <x:c r="C77" t="str">
        <x:v>l</x:v>
      </x:c>
      <x:c r="D77" s="45" t="n">
        <x:v>0</x:v>
      </x:c>
      <x:c r="E77" s="45" t="n">
        <x:v>0</x:v>
      </x:c>
      <x:c r="F77" s="45" t="n">
        <x:v>0</x:v>
      </x:c>
      <x:c r="G77" s="45" t="n">
        <x:v>0.5</x:v>
      </x:c>
      <x:c r="H77" s="45" t="n">
        <x:v>0.5</x:v>
      </x:c>
      <x:c r="I77" s="45" t="n">
        <x:v>0</x:v>
      </x:c>
      <x:c r="J77" s="45" t="n">
        <x:v>0.5</x:v>
      </x:c>
      <x:c r="K77" s="45" t="n">
        <x:v>0</x:v>
      </x:c>
      <x:c r="L77" s="45" t="n">
        <x:v>1.5</x:v>
      </x:c>
      <x:c r="M77" s="45" t="n">
        <x:f>SUM(D77:I77)</x:f>
        <x:v>1</x:v>
      </x:c>
      <x:c r="N77" s="42" t="n">
        <x:f>IF(ABS(M77-1)&gt;0.000001,1,0)</x:f>
        <x:v>0</x:v>
      </x:c>
    </x:row>
    <x:row r="78">
      <x:c r="A78" t="str">
        <x:v>lol</x:v>
      </x:c>
      <x:c r="B78" t="str">
        <x:v>B</x:v>
      </x:c>
      <x:c r="C78" t="str">
        <x:v>o</x:v>
      </x:c>
      <x:c r="D78" s="45" t="n">
        <x:v>0</x:v>
      </x:c>
      <x:c r="E78" s="45" t="n">
        <x:v>0</x:v>
      </x:c>
      <x:c r="F78" s="45" t="n">
        <x:v>1</x:v>
      </x:c>
      <x:c r="G78" s="45" t="n">
        <x:v>0</x:v>
      </x:c>
      <x:c r="H78" s="45" t="n">
        <x:v>0</x:v>
      </x:c>
      <x:c r="I78" s="45" t="n">
        <x:v>0</x:v>
      </x:c>
      <x:c r="J78" s="45" t="n">
        <x:v>0</x:v>
      </x:c>
      <x:c r="K78" s="45" t="n">
        <x:v>0</x:v>
      </x:c>
      <x:c r="L78" s="45" t="n">
        <x:v>0</x:v>
      </x:c>
      <x:c r="M78" s="45" t="n">
        <x:f>SUM(D78:I78)</x:f>
        <x:v>1</x:v>
      </x:c>
      <x:c r="N78" s="42" t="n">
        <x:f>IF(ABS(M78-1)&gt;0.000001,1,0)</x:f>
        <x:v>0</x:v>
      </x:c>
    </x:row>
    <x:row r="79">
      <x:c r="A79" t="str">
        <x:v>lol</x:v>
      </x:c>
      <x:c r="B79" t="str">
        <x:v>C</x:v>
      </x:c>
      <x:c r="C79" t="str">
        <x:v>l</x:v>
      </x:c>
      <x:c r="D79" s="45" t="n">
        <x:v>0</x:v>
      </x:c>
      <x:c r="E79" s="45" t="n">
        <x:v>0</x:v>
      </x:c>
      <x:c r="F79" s="45" t="n">
        <x:v>0</x:v>
      </x:c>
      <x:c r="G79" s="45" t="n">
        <x:v>0.5</x:v>
      </x:c>
      <x:c r="H79" s="45" t="n">
        <x:v>0.5</x:v>
      </x:c>
      <x:c r="I79" s="45" t="n">
        <x:v>0</x:v>
      </x:c>
      <x:c r="J79" s="45" t="n">
        <x:v>0.5</x:v>
      </x:c>
      <x:c r="K79" s="45" t="n">
        <x:v>0</x:v>
      </x:c>
      <x:c r="L79" s="45" t="n">
        <x:v>1.5</x:v>
      </x:c>
      <x:c r="M79" s="45" t="n">
        <x:f>SUM(D79:I79)</x:f>
        <x:v>1</x:v>
      </x:c>
      <x:c r="N79" s="42" t="n">
        <x:f>IF(ABS(M79-1)&gt;0.000001,1,0)</x:f>
        <x:v>0</x:v>
      </x:c>
    </x:row>
    <x:row r="80">
      <x:c r="A80" t="str">
        <x:v>loo</x:v>
      </x:c>
      <x:c r="B80" t="str">
        <x:v>A</x:v>
      </x:c>
      <x:c r="C80" t="str">
        <x:v>l</x:v>
      </x:c>
      <x:c r="D80" s="45" t="n">
        <x:v>0</x:v>
      </x:c>
      <x:c r="E80" s="45" t="n">
        <x:v>0</x:v>
      </x:c>
      <x:c r="F80" s="45" t="n">
        <x:v>0</x:v>
      </x:c>
      <x:c r="G80" s="45" t="n">
        <x:v>0</x:v>
      </x:c>
      <x:c r="H80" s="45" t="n">
        <x:v>1</x:v>
      </x:c>
      <x:c r="I80" s="45" t="n">
        <x:v>0</x:v>
      </x:c>
      <x:c r="J80" s="45" t="n">
        <x:v>1</x:v>
      </x:c>
      <x:c r="K80" s="45" t="n">
        <x:v>0</x:v>
      </x:c>
      <x:c r="L80" s="45" t="n">
        <x:v>2</x:v>
      </x:c>
      <x:c r="M80" s="45" t="n">
        <x:f>SUM(D80:I80)</x:f>
        <x:v>1</x:v>
      </x:c>
      <x:c r="N80" s="42" t="n">
        <x:f>IF(ABS(M80-1)&gt;0.000001,1,0)</x:f>
        <x:v>0</x:v>
      </x:c>
    </x:row>
    <x:row r="81">
      <x:c r="A81" t="str">
        <x:v>loo</x:v>
      </x:c>
      <x:c r="B81" t="str">
        <x:v>B</x:v>
      </x:c>
      <x:c r="C81" t="str">
        <x:v>o</x:v>
      </x:c>
      <x:c r="D81" s="45" t="n">
        <x:v>0</x:v>
      </x:c>
      <x:c r="E81" s="45" t="n">
        <x:v>0</x:v>
      </x:c>
      <x:c r="F81" s="45" t="n">
        <x:v>0.5</x:v>
      </x:c>
      <x:c r="G81" s="45" t="n">
        <x:v>0.5</x:v>
      </x:c>
      <x:c r="H81" s="45" t="n">
        <x:v>0</x:v>
      </x:c>
      <x:c r="I81" s="45" t="n">
        <x:v>0</x:v>
      </x:c>
      <x:c r="J81" s="45" t="n">
        <x:v>0.5</x:v>
      </x:c>
      <x:c r="K81" s="45" t="n">
        <x:v>0</x:v>
      </x:c>
      <x:c r="L81" s="45" t="n">
        <x:v>0.5</x:v>
      </x:c>
      <x:c r="M81" s="45" t="n">
        <x:f>SUM(D81:I81)</x:f>
        <x:v>1</x:v>
      </x:c>
      <x:c r="N81" s="42" t="n">
        <x:f>IF(ABS(M81-1)&gt;0.000001,1,0)</x:f>
        <x:v>0</x:v>
      </x:c>
    </x:row>
    <x:row r="82">
      <x:c r="A82" t="str">
        <x:v>loo</x:v>
      </x:c>
      <x:c r="B82" t="str">
        <x:v>C</x:v>
      </x:c>
      <x:c r="C82" t="str">
        <x:v>o</x:v>
      </x:c>
      <x:c r="D82" s="45" t="n">
        <x:v>0</x:v>
      </x:c>
      <x:c r="E82" s="45" t="n">
        <x:v>0</x:v>
      </x:c>
      <x:c r="F82" s="45" t="n">
        <x:v>0.5</x:v>
      </x:c>
      <x:c r="G82" s="45" t="n">
        <x:v>0.5</x:v>
      </x:c>
      <x:c r="H82" s="45" t="n">
        <x:v>0</x:v>
      </x:c>
      <x:c r="I82" s="45" t="n">
        <x:v>0</x:v>
      </x:c>
      <x:c r="J82" s="45" t="n">
        <x:v>0.5</x:v>
      </x:c>
      <x:c r="K82" s="45" t="n">
        <x:v>0</x:v>
      </x:c>
      <x:c r="L82" s="45" t="n">
        <x:v>0.5</x:v>
      </x:c>
      <x:c r="M82" s="45" t="n">
        <x:f>SUM(D82:I82)</x:f>
        <x:v>1</x:v>
      </x:c>
      <x:c r="N82" s="42" t="n">
        <x:f>IF(ABS(M82-1)&gt;0.000001,1,0)</x:f>
        <x:v>0</x:v>
      </x:c>
    </x:row>
    <x:row r="83">
      <x:c r="A83" t="str">
        <x:v>lov</x:v>
      </x:c>
      <x:c r="B83" t="str">
        <x:v>A</x:v>
      </x:c>
      <x:c r="C83" t="str">
        <x:v>l</x:v>
      </x:c>
      <x:c r="D83" s="45" t="n">
        <x:v>0</x:v>
      </x:c>
      <x:c r="E83" s="45" t="n">
        <x:v>0</x:v>
      </x:c>
      <x:c r="F83" s="45" t="n">
        <x:v>0</x:v>
      </x:c>
      <x:c r="G83" s="45" t="n">
        <x:v>1</x:v>
      </x:c>
      <x:c r="H83" s="45" t="n">
        <x:v>0</x:v>
      </x:c>
      <x:c r="I83" s="45" t="n">
        <x:v>0</x:v>
      </x:c>
      <x:c r="J83" s="45" t="n">
        <x:v>0</x:v>
      </x:c>
      <x:c r="K83" s="45" t="n">
        <x:v>0</x:v>
      </x:c>
      <x:c r="L83" s="45" t="n">
        <x:v>1</x:v>
      </x:c>
      <x:c r="M83" s="45" t="n">
        <x:f>SUM(D83:I83)</x:f>
        <x:v>1</x:v>
      </x:c>
      <x:c r="N83" s="42" t="n">
        <x:f>IF(ABS(M83-1)&gt;0.000001,1,0)</x:f>
        <x:v>0</x:v>
      </x:c>
    </x:row>
    <x:row r="84">
      <x:c r="A84" t="str">
        <x:v>lov</x:v>
      </x:c>
      <x:c r="B84" t="str">
        <x:v>B</x:v>
      </x:c>
      <x:c r="C84" t="str">
        <x:v>o</x:v>
      </x:c>
      <x:c r="D84" s="45" t="n">
        <x:v>0</x:v>
      </x:c>
      <x:c r="E84" s="45" t="n">
        <x:v>0</x:v>
      </x:c>
      <x:c r="F84" s="45" t="n">
        <x:v>1</x:v>
      </x:c>
      <x:c r="G84" s="45" t="n">
        <x:v>0</x:v>
      </x:c>
      <x:c r="H84" s="45" t="n">
        <x:v>0</x:v>
      </x:c>
      <x:c r="I84" s="45" t="n">
        <x:v>0</x:v>
      </x:c>
      <x:c r="J84" s="45" t="n">
        <x:v>0</x:v>
      </x:c>
      <x:c r="K84" s="45" t="n">
        <x:v>0</x:v>
      </x:c>
      <x:c r="L84" s="45" t="n">
        <x:v>0</x:v>
      </x:c>
      <x:c r="M84" s="45" t="n">
        <x:f>SUM(D84:I84)</x:f>
        <x:v>1</x:v>
      </x:c>
      <x:c r="N84" s="42" t="n">
        <x:f>IF(ABS(M84-1)&gt;0.000001,1,0)</x:f>
        <x:v>0</x:v>
      </x:c>
    </x:row>
    <x:row r="85">
      <x:c r="A85" t="str">
        <x:v>lov</x:v>
      </x:c>
      <x:c r="B85" t="str">
        <x:v>C</x:v>
      </x:c>
      <x:c r="C85" t="str">
        <x:v>v</x:v>
      </x:c>
      <x:c r="D85" s="45" t="n">
        <x:v>1</x:v>
      </x:c>
      <x:c r="E85" s="45" t="n">
        <x:v>0</x:v>
      </x:c>
      <x:c r="F85" s="45" t="n">
        <x:v>0</x:v>
      </x:c>
      <x:c r="G85" s="45" t="n">
        <x:v>0</x:v>
      </x:c>
      <x:c r="H85" s="45" t="n">
        <x:v>0</x:v>
      </x:c>
      <x:c r="I85" s="45" t="n">
        <x:v>0</x:v>
      </x:c>
      <x:c r="J85" s="45" t="n">
        <x:v>0</x:v>
      </x:c>
      <x:c r="K85" s="45" t="n">
        <x:v>2</x:v>
      </x:c>
      <x:c r="L85" s="45" t="n">
        <x:v>0</x:v>
      </x:c>
      <x:c r="M85" s="45" t="n">
        <x:f>SUM(D85:I85)</x:f>
        <x:v>1</x:v>
      </x:c>
      <x:c r="N85" s="42" t="n">
        <x:f>IF(ABS(M85-1)&gt;0.000001,1,0)</x:f>
        <x:v>0</x:v>
      </x:c>
    </x:row>
    <x:row r="86">
      <x:c r="A86" t="str">
        <x:v>lve</x:v>
      </x:c>
      <x:c r="B86" t="str">
        <x:v>A</x:v>
      </x:c>
      <x:c r="C86" t="str">
        <x:v>l</x:v>
      </x:c>
      <x:c r="D86" s="45" t="n">
        <x:v>0</x:v>
      </x:c>
      <x:c r="E86" s="45" t="n">
        <x:v>0</x:v>
      </x:c>
      <x:c r="F86" s="45" t="n">
        <x:v>0</x:v>
      </x:c>
      <x:c r="G86" s="45" t="n">
        <x:v>1</x:v>
      </x:c>
      <x:c r="H86" s="45" t="n">
        <x:v>0</x:v>
      </x:c>
      <x:c r="I86" s="45" t="n">
        <x:v>0</x:v>
      </x:c>
      <x:c r="J86" s="45" t="n">
        <x:v>0</x:v>
      </x:c>
      <x:c r="K86" s="45" t="n">
        <x:v>0</x:v>
      </x:c>
      <x:c r="L86" s="45" t="n">
        <x:v>1</x:v>
      </x:c>
      <x:c r="M86" s="45" t="n">
        <x:f>SUM(D86:I86)</x:f>
        <x:v>1</x:v>
      </x:c>
      <x:c r="N86" s="42" t="n">
        <x:f>IF(ABS(M86-1)&gt;0.000001,1,0)</x:f>
        <x:v>0</x:v>
      </x:c>
    </x:row>
    <x:row r="87">
      <x:c r="A87" t="str">
        <x:v>lve</x:v>
      </x:c>
      <x:c r="B87" t="str">
        <x:v>B</x:v>
      </x:c>
      <x:c r="C87" t="str">
        <x:v>v</x:v>
      </x:c>
      <x:c r="D87" s="45" t="n">
        <x:v>1</x:v>
      </x:c>
      <x:c r="E87" s="45" t="n">
        <x:v>0</x:v>
      </x:c>
      <x:c r="F87" s="45" t="n">
        <x:v>0</x:v>
      </x:c>
      <x:c r="G87" s="45" t="n">
        <x:v>0</x:v>
      </x:c>
      <x:c r="H87" s="45" t="n">
        <x:v>0</x:v>
      </x:c>
      <x:c r="I87" s="45" t="n">
        <x:v>0</x:v>
      </x:c>
      <x:c r="J87" s="45" t="n">
        <x:v>0</x:v>
      </x:c>
      <x:c r="K87" s="45" t="n">
        <x:v>2</x:v>
      </x:c>
      <x:c r="L87" s="45" t="n">
        <x:v>0</x:v>
      </x:c>
      <x:c r="M87" s="45" t="n">
        <x:f>SUM(D87:I87)</x:f>
        <x:v>1</x:v>
      </x:c>
      <x:c r="N87" s="42" t="n">
        <x:f>IF(ABS(M87-1)&gt;0.000001,1,0)</x:f>
        <x:v>0</x:v>
      </x:c>
    </x:row>
    <x:row r="88">
      <x:c r="A88" t="str">
        <x:v>lve</x:v>
      </x:c>
      <x:c r="B88" t="str">
        <x:v>C</x:v>
      </x:c>
      <x:c r="C88" t="str">
        <x:v>e</x:v>
      </x:c>
      <x:c r="D88" s="45" t="n">
        <x:v>0</x:v>
      </x:c>
      <x:c r="E88" s="45" t="n">
        <x:v>1</x:v>
      </x:c>
      <x:c r="F88" s="45" t="n">
        <x:v>0</x:v>
      </x:c>
      <x:c r="G88" s="45" t="n">
        <x:v>0</x:v>
      </x:c>
      <x:c r="H88" s="45" t="n">
        <x:v>0</x:v>
      </x:c>
      <x:c r="I88" s="45" t="n">
        <x:v>0</x:v>
      </x:c>
      <x:c r="J88" s="45" t="n">
        <x:v>0</x:v>
      </x:c>
      <x:c r="K88" s="45" t="n">
        <x:v>1</x:v>
      </x:c>
      <x:c r="L88" s="45" t="n">
        <x:v>0</x:v>
      </x:c>
      <x:c r="M88" s="45" t="n">
        <x:f>SUM(D88:I88)</x:f>
        <x:v>1</x:v>
      </x:c>
      <x:c r="N88" s="42" t="n">
        <x:f>IF(ABS(M88-1)&gt;0.000001,1,0)</x:f>
        <x:v>0</x:v>
      </x:c>
    </x:row>
    <x:row r="89">
      <x:c r="A89" t="str">
        <x:v>lvl</x:v>
      </x:c>
      <x:c r="B89" t="str">
        <x:v>A</x:v>
      </x:c>
      <x:c r="C89" t="str">
        <x:v>l</x:v>
      </x:c>
      <x:c r="D89" s="45" t="n">
        <x:v>0</x:v>
      </x:c>
      <x:c r="E89" s="45" t="n">
        <x:v>0</x:v>
      </x:c>
      <x:c r="F89" s="45" t="n">
        <x:v>0</x:v>
      </x:c>
      <x:c r="G89" s="45" t="n">
        <x:v>0.5</x:v>
      </x:c>
      <x:c r="H89" s="45" t="n">
        <x:v>0.5</x:v>
      </x:c>
      <x:c r="I89" s="45" t="n">
        <x:v>0</x:v>
      </x:c>
      <x:c r="J89" s="45" t="n">
        <x:v>0.5</x:v>
      </x:c>
      <x:c r="K89" s="45" t="n">
        <x:v>0</x:v>
      </x:c>
      <x:c r="L89" s="45" t="n">
        <x:v>1.5</x:v>
      </x:c>
      <x:c r="M89" s="45" t="n">
        <x:f>SUM(D89:I89)</x:f>
        <x:v>1</x:v>
      </x:c>
      <x:c r="N89" s="42" t="n">
        <x:f>IF(ABS(M89-1)&gt;0.000001,1,0)</x:f>
        <x:v>0</x:v>
      </x:c>
    </x:row>
    <x:row r="90">
      <x:c r="A90" t="str">
        <x:v>lvl</x:v>
      </x:c>
      <x:c r="B90" t="str">
        <x:v>B</x:v>
      </x:c>
      <x:c r="C90" t="str">
        <x:v>v</x:v>
      </x:c>
      <x:c r="D90" s="45" t="n">
        <x:v>1</x:v>
      </x:c>
      <x:c r="E90" s="45" t="n">
        <x:v>0</x:v>
      </x:c>
      <x:c r="F90" s="45" t="n">
        <x:v>0</x:v>
      </x:c>
      <x:c r="G90" s="45" t="n">
        <x:v>0</x:v>
      </x:c>
      <x:c r="H90" s="45" t="n">
        <x:v>0</x:v>
      </x:c>
      <x:c r="I90" s="45" t="n">
        <x:v>0</x:v>
      </x:c>
      <x:c r="J90" s="45" t="n">
        <x:v>0</x:v>
      </x:c>
      <x:c r="K90" s="45" t="n">
        <x:v>2</x:v>
      </x:c>
      <x:c r="L90" s="45" t="n">
        <x:v>0</x:v>
      </x:c>
      <x:c r="M90" s="45" t="n">
        <x:f>SUM(D90:I90)</x:f>
        <x:v>1</x:v>
      </x:c>
      <x:c r="N90" s="42" t="n">
        <x:f>IF(ABS(M90-1)&gt;0.000001,1,0)</x:f>
        <x:v>0</x:v>
      </x:c>
    </x:row>
    <x:row r="91">
      <x:c r="A91" t="str">
        <x:v>lvl</x:v>
      </x:c>
      <x:c r="B91" t="str">
        <x:v>C</x:v>
      </x:c>
      <x:c r="C91" t="str">
        <x:v>l</x:v>
      </x:c>
      <x:c r="D91" s="45" t="n">
        <x:v>0</x:v>
      </x:c>
      <x:c r="E91" s="45" t="n">
        <x:v>0</x:v>
      </x:c>
      <x:c r="F91" s="45" t="n">
        <x:v>0</x:v>
      </x:c>
      <x:c r="G91" s="45" t="n">
        <x:v>0.5</x:v>
      </x:c>
      <x:c r="H91" s="45" t="n">
        <x:v>0.5</x:v>
      </x:c>
      <x:c r="I91" s="45" t="n">
        <x:v>0</x:v>
      </x:c>
      <x:c r="J91" s="45" t="n">
        <x:v>0.5</x:v>
      </x:c>
      <x:c r="K91" s="45" t="n">
        <x:v>0</x:v>
      </x:c>
      <x:c r="L91" s="45" t="n">
        <x:v>1.5</x:v>
      </x:c>
      <x:c r="M91" s="45" t="n">
        <x:f>SUM(D91:I91)</x:f>
        <x:v>1</x:v>
      </x:c>
      <x:c r="N91" s="42" t="n">
        <x:f>IF(ABS(M91-1)&gt;0.000001,1,0)</x:f>
        <x:v>0</x:v>
      </x:c>
    </x:row>
    <x:row r="92">
      <x:c r="A92" t="str">
        <x:v>lvo</x:v>
      </x:c>
      <x:c r="B92" t="str">
        <x:v>A</x:v>
      </x:c>
      <x:c r="C92" t="str">
        <x:v>l</x:v>
      </x:c>
      <x:c r="D92" s="45" t="n">
        <x:v>0</x:v>
      </x:c>
      <x:c r="E92" s="45" t="n">
        <x:v>0</x:v>
      </x:c>
      <x:c r="F92" s="45" t="n">
        <x:v>0</x:v>
      </x:c>
      <x:c r="G92" s="45" t="n">
        <x:v>1</x:v>
      </x:c>
      <x:c r="H92" s="45" t="n">
        <x:v>0</x:v>
      </x:c>
      <x:c r="I92" s="45" t="n">
        <x:v>0</x:v>
      </x:c>
      <x:c r="J92" s="45" t="n">
        <x:v>0</x:v>
      </x:c>
      <x:c r="K92" s="45" t="n">
        <x:v>0</x:v>
      </x:c>
      <x:c r="L92" s="45" t="n">
        <x:v>1</x:v>
      </x:c>
      <x:c r="M92" s="45" t="n">
        <x:f>SUM(D92:I92)</x:f>
        <x:v>1</x:v>
      </x:c>
      <x:c r="N92" s="42" t="n">
        <x:f>IF(ABS(M92-1)&gt;0.000001,1,0)</x:f>
        <x:v>0</x:v>
      </x:c>
    </x:row>
    <x:row r="93">
      <x:c r="A93" t="str">
        <x:v>lvo</x:v>
      </x:c>
      <x:c r="B93" t="str">
        <x:v>B</x:v>
      </x:c>
      <x:c r="C93" t="str">
        <x:v>v</x:v>
      </x:c>
      <x:c r="D93" s="45" t="n">
        <x:v>1</x:v>
      </x:c>
      <x:c r="E93" s="45" t="n">
        <x:v>0</x:v>
      </x:c>
      <x:c r="F93" s="45" t="n">
        <x:v>0</x:v>
      </x:c>
      <x:c r="G93" s="45" t="n">
        <x:v>0</x:v>
      </x:c>
      <x:c r="H93" s="45" t="n">
        <x:v>0</x:v>
      </x:c>
      <x:c r="I93" s="45" t="n">
        <x:v>0</x:v>
      </x:c>
      <x:c r="J93" s="45" t="n">
        <x:v>0</x:v>
      </x:c>
      <x:c r="K93" s="45" t="n">
        <x:v>2</x:v>
      </x:c>
      <x:c r="L93" s="45" t="n">
        <x:v>0</x:v>
      </x:c>
      <x:c r="M93" s="45" t="n">
        <x:f>SUM(D93:I93)</x:f>
        <x:v>1</x:v>
      </x:c>
      <x:c r="N93" s="42" t="n">
        <x:f>IF(ABS(M93-1)&gt;0.000001,1,0)</x:f>
        <x:v>0</x:v>
      </x:c>
    </x:row>
    <x:row r="94">
      <x:c r="A94" t="str">
        <x:v>lvo</x:v>
      </x:c>
      <x:c r="B94" t="str">
        <x:v>C</x:v>
      </x:c>
      <x:c r="C94" t="str">
        <x:v>o</x:v>
      </x:c>
      <x:c r="D94" s="45" t="n">
        <x:v>0</x:v>
      </x:c>
      <x:c r="E94" s="45" t="n">
        <x:v>0</x:v>
      </x:c>
      <x:c r="F94" s="45" t="n">
        <x:v>1</x:v>
      </x:c>
      <x:c r="G94" s="45" t="n">
        <x:v>0</x:v>
      </x:c>
      <x:c r="H94" s="45" t="n">
        <x:v>0</x:v>
      </x:c>
      <x:c r="I94" s="45" t="n">
        <x:v>0</x:v>
      </x:c>
      <x:c r="J94" s="45" t="n">
        <x:v>0</x:v>
      </x:c>
      <x:c r="K94" s="45" t="n">
        <x:v>0</x:v>
      </x:c>
      <x:c r="L94" s="45" t="n">
        <x:v>0</x:v>
      </x:c>
      <x:c r="M94" s="45" t="n">
        <x:f>SUM(D94:I94)</x:f>
        <x:v>1</x:v>
      </x:c>
      <x:c r="N94" s="42" t="n">
        <x:f>IF(ABS(M94-1)&gt;0.000001,1,0)</x:f>
        <x:v>0</x:v>
      </x:c>
    </x:row>
    <x:row r="95">
      <x:c r="A95" t="str">
        <x:v>lvv</x:v>
      </x:c>
      <x:c r="B95" t="str">
        <x:v>A</x:v>
      </x:c>
      <x:c r="C95" t="str">
        <x:v>l</x:v>
      </x:c>
      <x:c r="D95" s="45" t="n">
        <x:v>0</x:v>
      </x:c>
      <x:c r="E95" s="45" t="n">
        <x:v>0</x:v>
      </x:c>
      <x:c r="F95" s="45" t="n">
        <x:v>0</x:v>
      </x:c>
      <x:c r="G95" s="45" t="n">
        <x:v>1</x:v>
      </x:c>
      <x:c r="H95" s="45" t="n">
        <x:v>0</x:v>
      </x:c>
      <x:c r="I95" s="45" t="n">
        <x:v>0</x:v>
      </x:c>
      <x:c r="J95" s="45" t="n">
        <x:v>0</x:v>
      </x:c>
      <x:c r="K95" s="45" t="n">
        <x:v>0</x:v>
      </x:c>
      <x:c r="L95" s="45" t="n">
        <x:v>1</x:v>
      </x:c>
      <x:c r="M95" s="45" t="n">
        <x:f>SUM(D95:I95)</x:f>
        <x:v>1</x:v>
      </x:c>
      <x:c r="N95" s="42" t="n">
        <x:f>IF(ABS(M95-1)&gt;0.000001,1,0)</x:f>
        <x:v>0</x:v>
      </x:c>
    </x:row>
    <x:row r="96">
      <x:c r="A96" t="str">
        <x:v>lvv</x:v>
      </x:c>
      <x:c r="B96" t="str">
        <x:v>B</x:v>
      </x:c>
      <x:c r="C96" t="str">
        <x:v>v</x:v>
      </x:c>
      <x:c r="D96" s="45" t="n">
        <x:v>0.5</x:v>
      </x:c>
      <x:c r="E96" s="45" t="n">
        <x:v>0.5</x:v>
      </x:c>
      <x:c r="F96" s="45" t="n">
        <x:v>0</x:v>
      </x:c>
      <x:c r="G96" s="45" t="n">
        <x:v>0</x:v>
      </x:c>
      <x:c r="H96" s="45" t="n">
        <x:v>0</x:v>
      </x:c>
      <x:c r="I96" s="45" t="n">
        <x:v>0</x:v>
      </x:c>
      <x:c r="J96" s="45" t="n">
        <x:v>0.5</x:v>
      </x:c>
      <x:c r="K96" s="45" t="n">
        <x:v>1.5</x:v>
      </x:c>
      <x:c r="L96" s="45" t="n">
        <x:v>0</x:v>
      </x:c>
      <x:c r="M96" s="45" t="n">
        <x:f>SUM(D96:I96)</x:f>
        <x:v>1</x:v>
      </x:c>
      <x:c r="N96" s="42" t="n">
        <x:f>IF(ABS(M96-1)&gt;0.000001,1,0)</x:f>
        <x:v>0</x:v>
      </x:c>
    </x:row>
    <x:row r="97">
      <x:c r="A97" t="str">
        <x:v>lvv</x:v>
      </x:c>
      <x:c r="B97" t="str">
        <x:v>C</x:v>
      </x:c>
      <x:c r="C97" t="str">
        <x:v>v</x:v>
      </x:c>
      <x:c r="D97" s="45" t="n">
        <x:v>0.5</x:v>
      </x:c>
      <x:c r="E97" s="45" t="n">
        <x:v>0.5</x:v>
      </x:c>
      <x:c r="F97" s="45" t="n">
        <x:v>0</x:v>
      </x:c>
      <x:c r="G97" s="45" t="n">
        <x:v>0</x:v>
      </x:c>
      <x:c r="H97" s="45" t="n">
        <x:v>0</x:v>
      </x:c>
      <x:c r="I97" s="45" t="n">
        <x:v>0</x:v>
      </x:c>
      <x:c r="J97" s="45" t="n">
        <x:v>0.5</x:v>
      </x:c>
      <x:c r="K97" s="45" t="n">
        <x:v>1.5</x:v>
      </x:c>
      <x:c r="L97" s="45" t="n">
        <x:v>0</x:v>
      </x:c>
      <x:c r="M97" s="45" t="n">
        <x:f>SUM(D97:I97)</x:f>
        <x:v>1</x:v>
      </x:c>
      <x:c r="N97" s="42" t="n">
        <x:f>IF(ABS(M97-1)&gt;0.000001,1,0)</x:f>
        <x:v>0</x:v>
      </x:c>
    </x:row>
    <x:row r="98">
      <x:c r="A98" t="str">
        <x:v>oee</x:v>
      </x:c>
      <x:c r="B98" t="str">
        <x:v>A</x:v>
      </x:c>
      <x:c r="C98" t="str">
        <x:v>o</x:v>
      </x:c>
      <x:c r="D98" s="45" t="n">
        <x:v>0</x:v>
      </x:c>
      <x:c r="E98" s="45" t="n">
        <x:v>0</x:v>
      </x:c>
      <x:c r="F98" s="45" t="n">
        <x:v>0</x:v>
      </x:c>
      <x:c r="G98" s="45" t="n">
        <x:v>1</x:v>
      </x:c>
      <x:c r="H98" s="45" t="n">
        <x:v>0</x:v>
      </x:c>
      <x:c r="I98" s="45" t="n">
        <x:v>0</x:v>
      </x:c>
      <x:c r="J98" s="45" t="n">
        <x:v>1</x:v>
      </x:c>
      <x:c r="K98" s="45" t="n">
        <x:v>0</x:v>
      </x:c>
      <x:c r="L98" s="45" t="n">
        <x:v>1</x:v>
      </x:c>
      <x:c r="M98" s="45" t="n">
        <x:f>SUM(D98:I98)</x:f>
        <x:v>1</x:v>
      </x:c>
      <x:c r="N98" s="42" t="n">
        <x:f>IF(ABS(M98-1)&gt;0.000001,1,0)</x:f>
        <x:v>0</x:v>
      </x:c>
    </x:row>
    <x:row r="99">
      <x:c r="A99" t="str">
        <x:v>oee</x:v>
      </x:c>
      <x:c r="B99" t="str">
        <x:v>B</x:v>
      </x:c>
      <x:c r="C99" t="str">
        <x:v>e</x:v>
      </x:c>
      <x:c r="D99" s="45" t="n">
        <x:v>0</x:v>
      </x:c>
      <x:c r="E99" s="45" t="n">
        <x:v>0.5</x:v>
      </x:c>
      <x:c r="F99" s="45" t="n">
        <x:v>0.5</x:v>
      </x:c>
      <x:c r="G99" s="45" t="n">
        <x:v>0</x:v>
      </x:c>
      <x:c r="H99" s="45" t="n">
        <x:v>0</x:v>
      </x:c>
      <x:c r="I99" s="45" t="n">
        <x:v>0</x:v>
      </x:c>
      <x:c r="J99" s="45" t="n">
        <x:v>0.5</x:v>
      </x:c>
      <x:c r="K99" s="45" t="n">
        <x:v>0.5</x:v>
      </x:c>
      <x:c r="L99" s="45" t="n">
        <x:v>0</x:v>
      </x:c>
      <x:c r="M99" s="45" t="n">
        <x:f>SUM(D99:I99)</x:f>
        <x:v>1</x:v>
      </x:c>
      <x:c r="N99" s="42" t="n">
        <x:f>IF(ABS(M99-1)&gt;0.000001,1,0)</x:f>
        <x:v>0</x:v>
      </x:c>
    </x:row>
    <x:row r="100">
      <x:c r="A100" t="str">
        <x:v>oee</x:v>
      </x:c>
      <x:c r="B100" t="str">
        <x:v>C</x:v>
      </x:c>
      <x:c r="C100" t="str">
        <x:v>e</x:v>
      </x:c>
      <x:c r="D100" s="45" t="n">
        <x:v>0</x:v>
      </x:c>
      <x:c r="E100" s="45" t="n">
        <x:v>0.5</x:v>
      </x:c>
      <x:c r="F100" s="45" t="n">
        <x:v>0.5</x:v>
      </x:c>
      <x:c r="G100" s="45" t="n">
        <x:v>0</x:v>
      </x:c>
      <x:c r="H100" s="45" t="n">
        <x:v>0</x:v>
      </x:c>
      <x:c r="I100" s="45" t="n">
        <x:v>0</x:v>
      </x:c>
      <x:c r="J100" s="45" t="n">
        <x:v>0.5</x:v>
      </x:c>
      <x:c r="K100" s="45" t="n">
        <x:v>0.5</x:v>
      </x:c>
      <x:c r="L100" s="45" t="n">
        <x:v>0</x:v>
      </x:c>
      <x:c r="M100" s="45" t="n">
        <x:f>SUM(D100:I100)</x:f>
        <x:v>1</x:v>
      </x:c>
      <x:c r="N100" s="42" t="n">
        <x:f>IF(ABS(M100-1)&gt;0.000001,1,0)</x:f>
        <x:v>0</x:v>
      </x:c>
    </x:row>
    <x:row r="101">
      <x:c r="A101" t="str">
        <x:v>oel</x:v>
      </x:c>
      <x:c r="B101" t="str">
        <x:v>A</x:v>
      </x:c>
      <x:c r="C101" t="str">
        <x:v>o</x:v>
      </x:c>
      <x:c r="D101" s="45" t="n">
        <x:v>0</x:v>
      </x:c>
      <x:c r="E101" s="45" t="n">
        <x:v>0</x:v>
      </x:c>
      <x:c r="F101" s="45" t="n">
        <x:v>1</x:v>
      </x:c>
      <x:c r="G101" s="45" t="n">
        <x:v>0</x:v>
      </x:c>
      <x:c r="H101" s="45" t="n">
        <x:v>0</x:v>
      </x:c>
      <x:c r="I101" s="45" t="n">
        <x:v>0</x:v>
      </x:c>
      <x:c r="J101" s="45" t="n">
        <x:v>0</x:v>
      </x:c>
      <x:c r="K101" s="45" t="n">
        <x:v>0</x:v>
      </x:c>
      <x:c r="L101" s="45" t="n">
        <x:v>0</x:v>
      </x:c>
      <x:c r="M101" s="45" t="n">
        <x:f>SUM(D101:I101)</x:f>
        <x:v>1</x:v>
      </x:c>
      <x:c r="N101" s="42" t="n">
        <x:f>IF(ABS(M101-1)&gt;0.000001,1,0)</x:f>
        <x:v>0</x:v>
      </x:c>
    </x:row>
    <x:row r="102">
      <x:c r="A102" t="str">
        <x:v>oel</x:v>
      </x:c>
      <x:c r="B102" t="str">
        <x:v>B</x:v>
      </x:c>
      <x:c r="C102" t="str">
        <x:v>e</x:v>
      </x:c>
      <x:c r="D102" s="45" t="n">
        <x:v>0</x:v>
      </x:c>
      <x:c r="E102" s="45" t="n">
        <x:v>1</x:v>
      </x:c>
      <x:c r="F102" s="45" t="n">
        <x:v>0</x:v>
      </x:c>
      <x:c r="G102" s="45" t="n">
        <x:v>0</x:v>
      </x:c>
      <x:c r="H102" s="45" t="n">
        <x:v>0</x:v>
      </x:c>
      <x:c r="I102" s="45" t="n">
        <x:v>0</x:v>
      </x:c>
      <x:c r="J102" s="45" t="n">
        <x:v>0</x:v>
      </x:c>
      <x:c r="K102" s="45" t="n">
        <x:v>1</x:v>
      </x:c>
      <x:c r="L102" s="45" t="n">
        <x:v>0</x:v>
      </x:c>
      <x:c r="M102" s="45" t="n">
        <x:f>SUM(D102:I102)</x:f>
        <x:v>1</x:v>
      </x:c>
      <x:c r="N102" s="42" t="n">
        <x:f>IF(ABS(M102-1)&gt;0.000001,1,0)</x:f>
        <x:v>0</x:v>
      </x:c>
    </x:row>
    <x:row r="103">
      <x:c r="A103" t="str">
        <x:v>oel</x:v>
      </x:c>
      <x:c r="B103" t="str">
        <x:v>C</x:v>
      </x:c>
      <x:c r="C103" t="str">
        <x:v>l</x:v>
      </x:c>
      <x:c r="D103" s="45" t="n">
        <x:v>0</x:v>
      </x:c>
      <x:c r="E103" s="45" t="n">
        <x:v>0</x:v>
      </x:c>
      <x:c r="F103" s="45" t="n">
        <x:v>0</x:v>
      </x:c>
      <x:c r="G103" s="45" t="n">
        <x:v>1</x:v>
      </x:c>
      <x:c r="H103" s="45" t="n">
        <x:v>0</x:v>
      </x:c>
      <x:c r="I103" s="45" t="n">
        <x:v>0</x:v>
      </x:c>
      <x:c r="J103" s="45" t="n">
        <x:v>0</x:v>
      </x:c>
      <x:c r="K103" s="45" t="n">
        <x:v>0</x:v>
      </x:c>
      <x:c r="L103" s="45" t="n">
        <x:v>1</x:v>
      </x:c>
      <x:c r="M103" s="45" t="n">
        <x:f>SUM(D103:I103)</x:f>
        <x:v>1</x:v>
      </x:c>
      <x:c r="N103" s="42" t="n">
        <x:f>IF(ABS(M103-1)&gt;0.000001,1,0)</x:f>
        <x:v>0</x:v>
      </x:c>
    </x:row>
    <x:row r="104">
      <x:c r="A104" t="str">
        <x:v>oeo</x:v>
      </x:c>
      <x:c r="B104" t="str">
        <x:v>A</x:v>
      </x:c>
      <x:c r="C104" t="str">
        <x:v>o</x:v>
      </x:c>
      <x:c r="D104" s="45" t="n">
        <x:v>0</x:v>
      </x:c>
      <x:c r="E104" s="45" t="n">
        <x:v>0</x:v>
      </x:c>
      <x:c r="F104" s="45" t="n">
        <x:v>0.5</x:v>
      </x:c>
      <x:c r="G104" s="45" t="n">
        <x:v>0.5</x:v>
      </x:c>
      <x:c r="H104" s="45" t="n">
        <x:v>0</x:v>
      </x:c>
      <x:c r="I104" s="45" t="n">
        <x:v>0</x:v>
      </x:c>
      <x:c r="J104" s="45" t="n">
        <x:v>0.5</x:v>
      </x:c>
      <x:c r="K104" s="45" t="n">
        <x:v>0</x:v>
      </x:c>
      <x:c r="L104" s="45" t="n">
        <x:v>0.5</x:v>
      </x:c>
      <x:c r="M104" s="45" t="n">
        <x:f>SUM(D104:I104)</x:f>
        <x:v>1</x:v>
      </x:c>
      <x:c r="N104" s="42" t="n">
        <x:f>IF(ABS(M104-1)&gt;0.000001,1,0)</x:f>
        <x:v>0</x:v>
      </x:c>
    </x:row>
    <x:row r="105">
      <x:c r="A105" t="str">
        <x:v>oeo</x:v>
      </x:c>
      <x:c r="B105" t="str">
        <x:v>B</x:v>
      </x:c>
      <x:c r="C105" t="str">
        <x:v>e</x:v>
      </x:c>
      <x:c r="D105" s="45" t="n">
        <x:v>0</x:v>
      </x:c>
      <x:c r="E105" s="45" t="n">
        <x:v>1</x:v>
      </x:c>
      <x:c r="F105" s="45" t="n">
        <x:v>0</x:v>
      </x:c>
      <x:c r="G105" s="45" t="n">
        <x:v>0</x:v>
      </x:c>
      <x:c r="H105" s="45" t="n">
        <x:v>0</x:v>
      </x:c>
      <x:c r="I105" s="45" t="n">
        <x:v>0</x:v>
      </x:c>
      <x:c r="J105" s="45" t="n">
        <x:v>0</x:v>
      </x:c>
      <x:c r="K105" s="45" t="n">
        <x:v>1</x:v>
      </x:c>
      <x:c r="L105" s="45" t="n">
        <x:v>0</x:v>
      </x:c>
      <x:c r="M105" s="45" t="n">
        <x:f>SUM(D105:I105)</x:f>
        <x:v>1</x:v>
      </x:c>
      <x:c r="N105" s="42" t="n">
        <x:f>IF(ABS(M105-1)&gt;0.000001,1,0)</x:f>
        <x:v>0</x:v>
      </x:c>
    </x:row>
    <x:row r="106">
      <x:c r="A106" t="str">
        <x:v>oeo</x:v>
      </x:c>
      <x:c r="B106" t="str">
        <x:v>C</x:v>
      </x:c>
      <x:c r="C106" t="str">
        <x:v>o</x:v>
      </x:c>
      <x:c r="D106" s="45" t="n">
        <x:v>0</x:v>
      </x:c>
      <x:c r="E106" s="45" t="n">
        <x:v>0</x:v>
      </x:c>
      <x:c r="F106" s="45" t="n">
        <x:v>0.5</x:v>
      </x:c>
      <x:c r="G106" s="45" t="n">
        <x:v>0.5</x:v>
      </x:c>
      <x:c r="H106" s="45" t="n">
        <x:v>0</x:v>
      </x:c>
      <x:c r="I106" s="45" t="n">
        <x:v>0</x:v>
      </x:c>
      <x:c r="J106" s="45" t="n">
        <x:v>0.5</x:v>
      </x:c>
      <x:c r="K106" s="45" t="n">
        <x:v>0</x:v>
      </x:c>
      <x:c r="L106" s="45" t="n">
        <x:v>0.5</x:v>
      </x:c>
      <x:c r="M106" s="45" t="n">
        <x:f>SUM(D106:I106)</x:f>
        <x:v>1</x:v>
      </x:c>
      <x:c r="N106" s="42" t="n">
        <x:f>IF(ABS(M106-1)&gt;0.000001,1,0)</x:f>
        <x:v>0</x:v>
      </x:c>
    </x:row>
    <x:row r="107">
      <x:c r="A107" t="str">
        <x:v>oev</x:v>
      </x:c>
      <x:c r="B107" t="str">
        <x:v>A</x:v>
      </x:c>
      <x:c r="C107" t="str">
        <x:v>o</x:v>
      </x:c>
      <x:c r="D107" s="45" t="n">
        <x:v>0</x:v>
      </x:c>
      <x:c r="E107" s="45" t="n">
        <x:v>0</x:v>
      </x:c>
      <x:c r="F107" s="45" t="n">
        <x:v>1</x:v>
      </x:c>
      <x:c r="G107" s="45" t="n">
        <x:v>0</x:v>
      </x:c>
      <x:c r="H107" s="45" t="n">
        <x:v>0</x:v>
      </x:c>
      <x:c r="I107" s="45" t="n">
        <x:v>0</x:v>
      </x:c>
      <x:c r="J107" s="45" t="n">
        <x:v>0</x:v>
      </x:c>
      <x:c r="K107" s="45" t="n">
        <x:v>0</x:v>
      </x:c>
      <x:c r="L107" s="45" t="n">
        <x:v>0</x:v>
      </x:c>
      <x:c r="M107" s="45" t="n">
        <x:f>SUM(D107:I107)</x:f>
        <x:v>1</x:v>
      </x:c>
      <x:c r="N107" s="42" t="n">
        <x:f>IF(ABS(M107-1)&gt;0.000001,1,0)</x:f>
        <x:v>0</x:v>
      </x:c>
    </x:row>
    <x:row r="108">
      <x:c r="A108" t="str">
        <x:v>oev</x:v>
      </x:c>
      <x:c r="B108" t="str">
        <x:v>B</x:v>
      </x:c>
      <x:c r="C108" t="str">
        <x:v>e</x:v>
      </x:c>
      <x:c r="D108" s="45" t="n">
        <x:v>0</x:v>
      </x:c>
      <x:c r="E108" s="45" t="n">
        <x:v>1</x:v>
      </x:c>
      <x:c r="F108" s="45" t="n">
        <x:v>0</x:v>
      </x:c>
      <x:c r="G108" s="45" t="n">
        <x:v>0</x:v>
      </x:c>
      <x:c r="H108" s="45" t="n">
        <x:v>0</x:v>
      </x:c>
      <x:c r="I108" s="45" t="n">
        <x:v>0</x:v>
      </x:c>
      <x:c r="J108" s="45" t="n">
        <x:v>0</x:v>
      </x:c>
      <x:c r="K108" s="45" t="n">
        <x:v>1</x:v>
      </x:c>
      <x:c r="L108" s="45" t="n">
        <x:v>0</x:v>
      </x:c>
      <x:c r="M108" s="45" t="n">
        <x:f>SUM(D108:I108)</x:f>
        <x:v>1</x:v>
      </x:c>
      <x:c r="N108" s="42" t="n">
        <x:f>IF(ABS(M108-1)&gt;0.000001,1,0)</x:f>
        <x:v>0</x:v>
      </x:c>
    </x:row>
    <x:row r="109">
      <x:c r="A109" t="str">
        <x:v>oev</x:v>
      </x:c>
      <x:c r="B109" t="str">
        <x:v>C</x:v>
      </x:c>
      <x:c r="C109" t="str">
        <x:v>v</x:v>
      </x:c>
      <x:c r="D109" s="45" t="n">
        <x:v>1</x:v>
      </x:c>
      <x:c r="E109" s="45" t="n">
        <x:v>0</x:v>
      </x:c>
      <x:c r="F109" s="45" t="n">
        <x:v>0</x:v>
      </x:c>
      <x:c r="G109" s="45" t="n">
        <x:v>0</x:v>
      </x:c>
      <x:c r="H109" s="45" t="n">
        <x:v>0</x:v>
      </x:c>
      <x:c r="I109" s="45" t="n">
        <x:v>0</x:v>
      </x:c>
      <x:c r="J109" s="45" t="n">
        <x:v>0</x:v>
      </x:c>
      <x:c r="K109" s="45" t="n">
        <x:v>2</x:v>
      </x:c>
      <x:c r="L109" s="45" t="n">
        <x:v>0</x:v>
      </x:c>
      <x:c r="M109" s="45" t="n">
        <x:f>SUM(D109:I109)</x:f>
        <x:v>1</x:v>
      </x:c>
      <x:c r="N109" s="42" t="n">
        <x:f>IF(ABS(M109-1)&gt;0.000001,1,0)</x:f>
        <x:v>0</x:v>
      </x:c>
    </x:row>
    <x:row r="110">
      <x:c r="A110" t="str">
        <x:v>ole</x:v>
      </x:c>
      <x:c r="B110" t="str">
        <x:v>A</x:v>
      </x:c>
      <x:c r="C110" t="str">
        <x:v>o</x:v>
      </x:c>
      <x:c r="D110" s="45" t="n">
        <x:v>0</x:v>
      </x:c>
      <x:c r="E110" s="45" t="n">
        <x:v>0</x:v>
      </x:c>
      <x:c r="F110" s="45" t="n">
        <x:v>1</x:v>
      </x:c>
      <x:c r="G110" s="45" t="n">
        <x:v>0</x:v>
      </x:c>
      <x:c r="H110" s="45" t="n">
        <x:v>0</x:v>
      </x:c>
      <x:c r="I110" s="45" t="n">
        <x:v>0</x:v>
      </x:c>
      <x:c r="J110" s="45" t="n">
        <x:v>0</x:v>
      </x:c>
      <x:c r="K110" s="45" t="n">
        <x:v>0</x:v>
      </x:c>
      <x:c r="L110" s="45" t="n">
        <x:v>0</x:v>
      </x:c>
      <x:c r="M110" s="45" t="n">
        <x:f>SUM(D110:I110)</x:f>
        <x:v>1</x:v>
      </x:c>
      <x:c r="N110" s="42" t="n">
        <x:f>IF(ABS(M110-1)&gt;0.000001,1,0)</x:f>
        <x:v>0</x:v>
      </x:c>
    </x:row>
    <x:row r="111">
      <x:c r="A111" t="str">
        <x:v>ole</x:v>
      </x:c>
      <x:c r="B111" t="str">
        <x:v>B</x:v>
      </x:c>
      <x:c r="C111" t="str">
        <x:v>l</x:v>
      </x:c>
      <x:c r="D111" s="45" t="n">
        <x:v>0</x:v>
      </x:c>
      <x:c r="E111" s="45" t="n">
        <x:v>0</x:v>
      </x:c>
      <x:c r="F111" s="45" t="n">
        <x:v>0</x:v>
      </x:c>
      <x:c r="G111" s="45" t="n">
        <x:v>1</x:v>
      </x:c>
      <x:c r="H111" s="45" t="n">
        <x:v>0</x:v>
      </x:c>
      <x:c r="I111" s="45" t="n">
        <x:v>0</x:v>
      </x:c>
      <x:c r="J111" s="45" t="n">
        <x:v>0</x:v>
      </x:c>
      <x:c r="K111" s="45" t="n">
        <x:v>0</x:v>
      </x:c>
      <x:c r="L111" s="45" t="n">
        <x:v>1</x:v>
      </x:c>
      <x:c r="M111" s="45" t="n">
        <x:f>SUM(D111:I111)</x:f>
        <x:v>1</x:v>
      </x:c>
      <x:c r="N111" s="42" t="n">
        <x:f>IF(ABS(M111-1)&gt;0.000001,1,0)</x:f>
        <x:v>0</x:v>
      </x:c>
    </x:row>
    <x:row r="112">
      <x:c r="A112" t="str">
        <x:v>ole</x:v>
      </x:c>
      <x:c r="B112" t="str">
        <x:v>C</x:v>
      </x:c>
      <x:c r="C112" t="str">
        <x:v>e</x:v>
      </x:c>
      <x:c r="D112" s="45" t="n">
        <x:v>0</x:v>
      </x:c>
      <x:c r="E112" s="45" t="n">
        <x:v>1</x:v>
      </x:c>
      <x:c r="F112" s="45" t="n">
        <x:v>0</x:v>
      </x:c>
      <x:c r="G112" s="45" t="n">
        <x:v>0</x:v>
      </x:c>
      <x:c r="H112" s="45" t="n">
        <x:v>0</x:v>
      </x:c>
      <x:c r="I112" s="45" t="n">
        <x:v>0</x:v>
      </x:c>
      <x:c r="J112" s="45" t="n">
        <x:v>0</x:v>
      </x:c>
      <x:c r="K112" s="45" t="n">
        <x:v>1</x:v>
      </x:c>
      <x:c r="L112" s="45" t="n">
        <x:v>0</x:v>
      </x:c>
      <x:c r="M112" s="45" t="n">
        <x:f>SUM(D112:I112)</x:f>
        <x:v>1</x:v>
      </x:c>
      <x:c r="N112" s="42" t="n">
        <x:f>IF(ABS(M112-1)&gt;0.000001,1,0)</x:f>
        <x:v>0</x:v>
      </x:c>
    </x:row>
    <x:row r="113">
      <x:c r="A113" t="str">
        <x:v>oll</x:v>
      </x:c>
      <x:c r="B113" t="str">
        <x:v>A</x:v>
      </x:c>
      <x:c r="C113" t="str">
        <x:v>o</x:v>
      </x:c>
      <x:c r="D113" s="45" t="n">
        <x:v>0</x:v>
      </x:c>
      <x:c r="E113" s="45" t="n">
        <x:v>0</x:v>
      </x:c>
      <x:c r="F113" s="45" t="n">
        <x:v>1</x:v>
      </x:c>
      <x:c r="G113" s="45" t="n">
        <x:v>0</x:v>
      </x:c>
      <x:c r="H113" s="45" t="n">
        <x:v>0</x:v>
      </x:c>
      <x:c r="I113" s="45" t="n">
        <x:v>0</x:v>
      </x:c>
      <x:c r="J113" s="45" t="n">
        <x:v>0</x:v>
      </x:c>
      <x:c r="K113" s="45" t="n">
        <x:v>0</x:v>
      </x:c>
      <x:c r="L113" s="45" t="n">
        <x:v>0</x:v>
      </x:c>
      <x:c r="M113" s="45" t="n">
        <x:f>SUM(D113:I113)</x:f>
        <x:v>1</x:v>
      </x:c>
      <x:c r="N113" s="42" t="n">
        <x:f>IF(ABS(M113-1)&gt;0.000001,1,0)</x:f>
        <x:v>0</x:v>
      </x:c>
    </x:row>
    <x:row r="114">
      <x:c r="A114" t="str">
        <x:v>oll</x:v>
      </x:c>
      <x:c r="B114" t="str">
        <x:v>B</x:v>
      </x:c>
      <x:c r="C114" t="str">
        <x:v>l</x:v>
      </x:c>
      <x:c r="D114" s="45" t="n">
        <x:v>0</x:v>
      </x:c>
      <x:c r="E114" s="45" t="n">
        <x:v>0</x:v>
      </x:c>
      <x:c r="F114" s="45" t="n">
        <x:v>0</x:v>
      </x:c>
      <x:c r="G114" s="45" t="n">
        <x:v>0.5</x:v>
      </x:c>
      <x:c r="H114" s="45" t="n">
        <x:v>0.5</x:v>
      </x:c>
      <x:c r="I114" s="45" t="n">
        <x:v>0</x:v>
      </x:c>
      <x:c r="J114" s="45" t="n">
        <x:v>0.5</x:v>
      </x:c>
      <x:c r="K114" s="45" t="n">
        <x:v>0</x:v>
      </x:c>
      <x:c r="L114" s="45" t="n">
        <x:v>1.5</x:v>
      </x:c>
      <x:c r="M114" s="45" t="n">
        <x:f>SUM(D114:I114)</x:f>
        <x:v>1</x:v>
      </x:c>
      <x:c r="N114" s="42" t="n">
        <x:f>IF(ABS(M114-1)&gt;0.000001,1,0)</x:f>
        <x:v>0</x:v>
      </x:c>
    </x:row>
    <x:row r="115">
      <x:c r="A115" t="str">
        <x:v>oll</x:v>
      </x:c>
      <x:c r="B115" t="str">
        <x:v>C</x:v>
      </x:c>
      <x:c r="C115" t="str">
        <x:v>l</x:v>
      </x:c>
      <x:c r="D115" s="45" t="n">
        <x:v>0</x:v>
      </x:c>
      <x:c r="E115" s="45" t="n">
        <x:v>0</x:v>
      </x:c>
      <x:c r="F115" s="45" t="n">
        <x:v>0</x:v>
      </x:c>
      <x:c r="G115" s="45" t="n">
        <x:v>0.5</x:v>
      </x:c>
      <x:c r="H115" s="45" t="n">
        <x:v>0.5</x:v>
      </x:c>
      <x:c r="I115" s="45" t="n">
        <x:v>0</x:v>
      </x:c>
      <x:c r="J115" s="45" t="n">
        <x:v>0.5</x:v>
      </x:c>
      <x:c r="K115" s="45" t="n">
        <x:v>0</x:v>
      </x:c>
      <x:c r="L115" s="45" t="n">
        <x:v>1.5</x:v>
      </x:c>
      <x:c r="M115" s="45" t="n">
        <x:f>SUM(D115:I115)</x:f>
        <x:v>1</x:v>
      </x:c>
      <x:c r="N115" s="42" t="n">
        <x:f>IF(ABS(M115-1)&gt;0.000001,1,0)</x:f>
        <x:v>0</x:v>
      </x:c>
    </x:row>
    <x:row r="116">
      <x:c r="A116" t="str">
        <x:v>olo</x:v>
      </x:c>
      <x:c r="B116" t="str">
        <x:v>A</x:v>
      </x:c>
      <x:c r="C116" t="str">
        <x:v>o</x:v>
      </x:c>
      <x:c r="D116" s="45" t="n">
        <x:v>0</x:v>
      </x:c>
      <x:c r="E116" s="45" t="n">
        <x:v>0</x:v>
      </x:c>
      <x:c r="F116" s="45" t="n">
        <x:v>0.5</x:v>
      </x:c>
      <x:c r="G116" s="45" t="n">
        <x:v>0.5</x:v>
      </x:c>
      <x:c r="H116" s="45" t="n">
        <x:v>0</x:v>
      </x:c>
      <x:c r="I116" s="45" t="n">
        <x:v>0</x:v>
      </x:c>
      <x:c r="J116" s="45" t="n">
        <x:v>0.5</x:v>
      </x:c>
      <x:c r="K116" s="45" t="n">
        <x:v>0</x:v>
      </x:c>
      <x:c r="L116" s="45" t="n">
        <x:v>0.5</x:v>
      </x:c>
      <x:c r="M116" s="45" t="n">
        <x:f>SUM(D116:I116)</x:f>
        <x:v>1</x:v>
      </x:c>
      <x:c r="N116" s="42" t="n">
        <x:f>IF(ABS(M116-1)&gt;0.000001,1,0)</x:f>
        <x:v>0</x:v>
      </x:c>
    </x:row>
    <x:row r="117">
      <x:c r="A117" t="str">
        <x:v>olo</x:v>
      </x:c>
      <x:c r="B117" t="str">
        <x:v>B</x:v>
      </x:c>
      <x:c r="C117" t="str">
        <x:v>l</x:v>
      </x:c>
      <x:c r="D117" s="45" t="n">
        <x:v>0</x:v>
      </x:c>
      <x:c r="E117" s="45" t="n">
        <x:v>0</x:v>
      </x:c>
      <x:c r="F117" s="45" t="n">
        <x:v>0</x:v>
      </x:c>
      <x:c r="G117" s="45" t="n">
        <x:v>0</x:v>
      </x:c>
      <x:c r="H117" s="45" t="n">
        <x:v>1</x:v>
      </x:c>
      <x:c r="I117" s="45" t="n">
        <x:v>0</x:v>
      </x:c>
      <x:c r="J117" s="45" t="n">
        <x:v>1</x:v>
      </x:c>
      <x:c r="K117" s="45" t="n">
        <x:v>0</x:v>
      </x:c>
      <x:c r="L117" s="45" t="n">
        <x:v>2</x:v>
      </x:c>
      <x:c r="M117" s="45" t="n">
        <x:f>SUM(D117:I117)</x:f>
        <x:v>1</x:v>
      </x:c>
      <x:c r="N117" s="42" t="n">
        <x:f>IF(ABS(M117-1)&gt;0.000001,1,0)</x:f>
        <x:v>0</x:v>
      </x:c>
    </x:row>
    <x:row r="118">
      <x:c r="A118" t="str">
        <x:v>olo</x:v>
      </x:c>
      <x:c r="B118" t="str">
        <x:v>C</x:v>
      </x:c>
      <x:c r="C118" t="str">
        <x:v>o</x:v>
      </x:c>
      <x:c r="D118" s="45" t="n">
        <x:v>0</x:v>
      </x:c>
      <x:c r="E118" s="45" t="n">
        <x:v>0</x:v>
      </x:c>
      <x:c r="F118" s="45" t="n">
        <x:v>0.5</x:v>
      </x:c>
      <x:c r="G118" s="45" t="n">
        <x:v>0.5</x:v>
      </x:c>
      <x:c r="H118" s="45" t="n">
        <x:v>0</x:v>
      </x:c>
      <x:c r="I118" s="45" t="n">
        <x:v>0</x:v>
      </x:c>
      <x:c r="J118" s="45" t="n">
        <x:v>0.5</x:v>
      </x:c>
      <x:c r="K118" s="45" t="n">
        <x:v>0</x:v>
      </x:c>
      <x:c r="L118" s="45" t="n">
        <x:v>0.5</x:v>
      </x:c>
      <x:c r="M118" s="45" t="n">
        <x:f>SUM(D118:I118)</x:f>
        <x:v>1</x:v>
      </x:c>
      <x:c r="N118" s="42" t="n">
        <x:f>IF(ABS(M118-1)&gt;0.000001,1,0)</x:f>
        <x:v>0</x:v>
      </x:c>
    </x:row>
    <x:row r="119">
      <x:c r="A119" t="str">
        <x:v>olv</x:v>
      </x:c>
      <x:c r="B119" t="str">
        <x:v>A</x:v>
      </x:c>
      <x:c r="C119" t="str">
        <x:v>o</x:v>
      </x:c>
      <x:c r="D119" s="45" t="n">
        <x:v>0</x:v>
      </x:c>
      <x:c r="E119" s="45" t="n">
        <x:v>0</x:v>
      </x:c>
      <x:c r="F119" s="45" t="n">
        <x:v>1</x:v>
      </x:c>
      <x:c r="G119" s="45" t="n">
        <x:v>0</x:v>
      </x:c>
      <x:c r="H119" s="45" t="n">
        <x:v>0</x:v>
      </x:c>
      <x:c r="I119" s="45" t="n">
        <x:v>0</x:v>
      </x:c>
      <x:c r="J119" s="45" t="n">
        <x:v>0</x:v>
      </x:c>
      <x:c r="K119" s="45" t="n">
        <x:v>0</x:v>
      </x:c>
      <x:c r="L119" s="45" t="n">
        <x:v>0</x:v>
      </x:c>
      <x:c r="M119" s="45" t="n">
        <x:f>SUM(D119:I119)</x:f>
        <x:v>1</x:v>
      </x:c>
      <x:c r="N119" s="42" t="n">
        <x:f>IF(ABS(M119-1)&gt;0.000001,1,0)</x:f>
        <x:v>0</x:v>
      </x:c>
    </x:row>
    <x:row r="120">
      <x:c r="A120" t="str">
        <x:v>olv</x:v>
      </x:c>
      <x:c r="B120" t="str">
        <x:v>B</x:v>
      </x:c>
      <x:c r="C120" t="str">
        <x:v>l</x:v>
      </x:c>
      <x:c r="D120" s="45" t="n">
        <x:v>0</x:v>
      </x:c>
      <x:c r="E120" s="45" t="n">
        <x:v>0</x:v>
      </x:c>
      <x:c r="F120" s="45" t="n">
        <x:v>0</x:v>
      </x:c>
      <x:c r="G120" s="45" t="n">
        <x:v>1</x:v>
      </x:c>
      <x:c r="H120" s="45" t="n">
        <x:v>0</x:v>
      </x:c>
      <x:c r="I120" s="45" t="n">
        <x:v>0</x:v>
      </x:c>
      <x:c r="J120" s="45" t="n">
        <x:v>0</x:v>
      </x:c>
      <x:c r="K120" s="45" t="n">
        <x:v>0</x:v>
      </x:c>
      <x:c r="L120" s="45" t="n">
        <x:v>1</x:v>
      </x:c>
      <x:c r="M120" s="45" t="n">
        <x:f>SUM(D120:I120)</x:f>
        <x:v>1</x:v>
      </x:c>
      <x:c r="N120" s="42" t="n">
        <x:f>IF(ABS(M120-1)&gt;0.000001,1,0)</x:f>
        <x:v>0</x:v>
      </x:c>
    </x:row>
    <x:row r="121">
      <x:c r="A121" t="str">
        <x:v>olv</x:v>
      </x:c>
      <x:c r="B121" t="str">
        <x:v>C</x:v>
      </x:c>
      <x:c r="C121" t="str">
        <x:v>v</x:v>
      </x:c>
      <x:c r="D121" s="45" t="n">
        <x:v>1</x:v>
      </x:c>
      <x:c r="E121" s="45" t="n">
        <x:v>0</x:v>
      </x:c>
      <x:c r="F121" s="45" t="n">
        <x:v>0</x:v>
      </x:c>
      <x:c r="G121" s="45" t="n">
        <x:v>0</x:v>
      </x:c>
      <x:c r="H121" s="45" t="n">
        <x:v>0</x:v>
      </x:c>
      <x:c r="I121" s="45" t="n">
        <x:v>0</x:v>
      </x:c>
      <x:c r="J121" s="45" t="n">
        <x:v>0</x:v>
      </x:c>
      <x:c r="K121" s="45" t="n">
        <x:v>2</x:v>
      </x:c>
      <x:c r="L121" s="45" t="n">
        <x:v>0</x:v>
      </x:c>
      <x:c r="M121" s="45" t="n">
        <x:f>SUM(D121:I121)</x:f>
        <x:v>1</x:v>
      </x:c>
      <x:c r="N121" s="42" t="n">
        <x:f>IF(ABS(M121-1)&gt;0.000001,1,0)</x:f>
        <x:v>0</x:v>
      </x:c>
    </x:row>
    <x:row r="122">
      <x:c r="A122" t="str">
        <x:v>ooe</x:v>
      </x:c>
      <x:c r="B122" t="str">
        <x:v>A</x:v>
      </x:c>
      <x:c r="C122" t="str">
        <x:v>o</x:v>
      </x:c>
      <x:c r="D122" s="45" t="n">
        <x:v>0</x:v>
      </x:c>
      <x:c r="E122" s="45" t="n">
        <x:v>0</x:v>
      </x:c>
      <x:c r="F122" s="45" t="n">
        <x:v>0.5</x:v>
      </x:c>
      <x:c r="G122" s="45" t="n">
        <x:v>0.5</x:v>
      </x:c>
      <x:c r="H122" s="45" t="n">
        <x:v>0</x:v>
      </x:c>
      <x:c r="I122" s="45" t="n">
        <x:v>0</x:v>
      </x:c>
      <x:c r="J122" s="45" t="n">
        <x:v>0.5</x:v>
      </x:c>
      <x:c r="K122" s="45" t="n">
        <x:v>0</x:v>
      </x:c>
      <x:c r="L122" s="45" t="n">
        <x:v>0.5</x:v>
      </x:c>
      <x:c r="M122" s="45" t="n">
        <x:f>SUM(D122:I122)</x:f>
        <x:v>1</x:v>
      </x:c>
      <x:c r="N122" s="42" t="n">
        <x:f>IF(ABS(M122-1)&gt;0.000001,1,0)</x:f>
        <x:v>0</x:v>
      </x:c>
    </x:row>
    <x:row r="123">
      <x:c r="A123" t="str">
        <x:v>ooe</x:v>
      </x:c>
      <x:c r="B123" t="str">
        <x:v>B</x:v>
      </x:c>
      <x:c r="C123" t="str">
        <x:v>o</x:v>
      </x:c>
      <x:c r="D123" s="45" t="n">
        <x:v>0</x:v>
      </x:c>
      <x:c r="E123" s="45" t="n">
        <x:v>0</x:v>
      </x:c>
      <x:c r="F123" s="45" t="n">
        <x:v>0.5</x:v>
      </x:c>
      <x:c r="G123" s="45" t="n">
        <x:v>0.5</x:v>
      </x:c>
      <x:c r="H123" s="45" t="n">
        <x:v>0</x:v>
      </x:c>
      <x:c r="I123" s="45" t="n">
        <x:v>0</x:v>
      </x:c>
      <x:c r="J123" s="45" t="n">
        <x:v>0.5</x:v>
      </x:c>
      <x:c r="K123" s="45" t="n">
        <x:v>0</x:v>
      </x:c>
      <x:c r="L123" s="45" t="n">
        <x:v>0.5</x:v>
      </x:c>
      <x:c r="M123" s="45" t="n">
        <x:f>SUM(D123:I123)</x:f>
        <x:v>1</x:v>
      </x:c>
      <x:c r="N123" s="42" t="n">
        <x:f>IF(ABS(M123-1)&gt;0.000001,1,0)</x:f>
        <x:v>0</x:v>
      </x:c>
    </x:row>
    <x:row r="124">
      <x:c r="A124" t="str">
        <x:v>ooe</x:v>
      </x:c>
      <x:c r="B124" t="str">
        <x:v>C</x:v>
      </x:c>
      <x:c r="C124" t="str">
        <x:v>e</x:v>
      </x:c>
      <x:c r="D124" s="45" t="n">
        <x:v>0</x:v>
      </x:c>
      <x:c r="E124" s="45" t="n">
        <x:v>1</x:v>
      </x:c>
      <x:c r="F124" s="45" t="n">
        <x:v>0</x:v>
      </x:c>
      <x:c r="G124" s="45" t="n">
        <x:v>0</x:v>
      </x:c>
      <x:c r="H124" s="45" t="n">
        <x:v>0</x:v>
      </x:c>
      <x:c r="I124" s="45" t="n">
        <x:v>0</x:v>
      </x:c>
      <x:c r="J124" s="45" t="n">
        <x:v>0</x:v>
      </x:c>
      <x:c r="K124" s="45" t="n">
        <x:v>1</x:v>
      </x:c>
      <x:c r="L124" s="45" t="n">
        <x:v>0</x:v>
      </x:c>
      <x:c r="M124" s="45" t="n">
        <x:f>SUM(D124:I124)</x:f>
        <x:v>1</x:v>
      </x:c>
      <x:c r="N124" s="42" t="n">
        <x:f>IF(ABS(M124-1)&gt;0.000001,1,0)</x:f>
        <x:v>0</x:v>
      </x:c>
    </x:row>
    <x:row r="125">
      <x:c r="A125" t="str">
        <x:v>ool</x:v>
      </x:c>
      <x:c r="B125" t="str">
        <x:v>A</x:v>
      </x:c>
      <x:c r="C125" t="str">
        <x:v>o</x:v>
      </x:c>
      <x:c r="D125" s="45" t="n">
        <x:v>0</x:v>
      </x:c>
      <x:c r="E125" s="45" t="n">
        <x:v>0</x:v>
      </x:c>
      <x:c r="F125" s="45" t="n">
        <x:v>0.5</x:v>
      </x:c>
      <x:c r="G125" s="45" t="n">
        <x:v>0.5</x:v>
      </x:c>
      <x:c r="H125" s="45" t="n">
        <x:v>0</x:v>
      </x:c>
      <x:c r="I125" s="45" t="n">
        <x:v>0</x:v>
      </x:c>
      <x:c r="J125" s="45" t="n">
        <x:v>0.5</x:v>
      </x:c>
      <x:c r="K125" s="45" t="n">
        <x:v>0</x:v>
      </x:c>
      <x:c r="L125" s="45" t="n">
        <x:v>0.5</x:v>
      </x:c>
      <x:c r="M125" s="45" t="n">
        <x:f>SUM(D125:I125)</x:f>
        <x:v>1</x:v>
      </x:c>
      <x:c r="N125" s="42" t="n">
        <x:f>IF(ABS(M125-1)&gt;0.000001,1,0)</x:f>
        <x:v>0</x:v>
      </x:c>
    </x:row>
    <x:row r="126">
      <x:c r="A126" t="str">
        <x:v>ool</x:v>
      </x:c>
      <x:c r="B126" t="str">
        <x:v>B</x:v>
      </x:c>
      <x:c r="C126" t="str">
        <x:v>o</x:v>
      </x:c>
      <x:c r="D126" s="45" t="n">
        <x:v>0</x:v>
      </x:c>
      <x:c r="E126" s="45" t="n">
        <x:v>0</x:v>
      </x:c>
      <x:c r="F126" s="45" t="n">
        <x:v>0.5</x:v>
      </x:c>
      <x:c r="G126" s="45" t="n">
        <x:v>0.5</x:v>
      </x:c>
      <x:c r="H126" s="45" t="n">
        <x:v>0</x:v>
      </x:c>
      <x:c r="I126" s="45" t="n">
        <x:v>0</x:v>
      </x:c>
      <x:c r="J126" s="45" t="n">
        <x:v>0.5</x:v>
      </x:c>
      <x:c r="K126" s="45" t="n">
        <x:v>0</x:v>
      </x:c>
      <x:c r="L126" s="45" t="n">
        <x:v>0.5</x:v>
      </x:c>
      <x:c r="M126" s="45" t="n">
        <x:f>SUM(D126:I126)</x:f>
        <x:v>1</x:v>
      </x:c>
      <x:c r="N126" s="42" t="n">
        <x:f>IF(ABS(M126-1)&gt;0.000001,1,0)</x:f>
        <x:v>0</x:v>
      </x:c>
    </x:row>
    <x:row r="127">
      <x:c r="A127" t="str">
        <x:v>ool</x:v>
      </x:c>
      <x:c r="B127" t="str">
        <x:v>C</x:v>
      </x:c>
      <x:c r="C127" t="str">
        <x:v>l</x:v>
      </x:c>
      <x:c r="D127" s="45" t="n">
        <x:v>0</x:v>
      </x:c>
      <x:c r="E127" s="45" t="n">
        <x:v>0</x:v>
      </x:c>
      <x:c r="F127" s="45" t="n">
        <x:v>0</x:v>
      </x:c>
      <x:c r="G127" s="45" t="n">
        <x:v>0</x:v>
      </x:c>
      <x:c r="H127" s="45" t="n">
        <x:v>1</x:v>
      </x:c>
      <x:c r="I127" s="45" t="n">
        <x:v>0</x:v>
      </x:c>
      <x:c r="J127" s="45" t="n">
        <x:v>1</x:v>
      </x:c>
      <x:c r="K127" s="45" t="n">
        <x:v>0</x:v>
      </x:c>
      <x:c r="L127" s="45" t="n">
        <x:v>2</x:v>
      </x:c>
      <x:c r="M127" s="45" t="n">
        <x:f>SUM(D127:I127)</x:f>
        <x:v>1</x:v>
      </x:c>
      <x:c r="N127" s="42" t="n">
        <x:f>IF(ABS(M127-1)&gt;0.000001,1,0)</x:f>
        <x:v>0</x:v>
      </x:c>
    </x:row>
    <x:row r="128">
      <x:c r="A128" t="str">
        <x:v>ooo</x:v>
      </x:c>
      <x:c r="B128" t="str">
        <x:v>A</x:v>
      </x:c>
      <x:c r="C128" t="str">
        <x:v>o</x:v>
      </x:c>
      <x:c r="D128" s="45" t="n">
        <x:v>0</x:v>
      </x:c>
      <x:c r="E128" s="45" t="n">
        <x:v>0</x:v>
      </x:c>
      <x:c r="F128" s="45" t="n">
        <x:v>0.3333333333333333</x:v>
      </x:c>
      <x:c r="G128" s="45" t="n">
        <x:v>0.3333333333333333</x:v>
      </x:c>
      <x:c r="H128" s="45" t="n">
        <x:v>0.3333333333333333</x:v>
      </x:c>
      <x:c r="I128" s="45" t="n">
        <x:v>0</x:v>
      </x:c>
      <x:c r="J128" s="45" t="n">
        <x:v>1</x:v>
      </x:c>
      <x:c r="K128" s="45" t="n">
        <x:v>0</x:v>
      </x:c>
      <x:c r="L128" s="45" t="n">
        <x:v>1</x:v>
      </x:c>
      <x:c r="M128" s="45" t="n">
        <x:f>SUM(D128:I128)</x:f>
        <x:v>1</x:v>
      </x:c>
      <x:c r="N128" s="42" t="n">
        <x:f>IF(ABS(M128-1)&gt;0.000001,1,0)</x:f>
        <x:v>0</x:v>
      </x:c>
    </x:row>
    <x:row r="129">
      <x:c r="A129" t="str">
        <x:v>ooo</x:v>
      </x:c>
      <x:c r="B129" t="str">
        <x:v>B</x:v>
      </x:c>
      <x:c r="C129" t="str">
        <x:v>o</x:v>
      </x:c>
      <x:c r="D129" s="45" t="n">
        <x:v>0</x:v>
      </x:c>
      <x:c r="E129" s="45" t="n">
        <x:v>0</x:v>
      </x:c>
      <x:c r="F129" s="45" t="n">
        <x:v>0.3333333333333333</x:v>
      </x:c>
      <x:c r="G129" s="45" t="n">
        <x:v>0.3333333333333333</x:v>
      </x:c>
      <x:c r="H129" s="45" t="n">
        <x:v>0.3333333333333333</x:v>
      </x:c>
      <x:c r="I129" s="45" t="n">
        <x:v>0</x:v>
      </x:c>
      <x:c r="J129" s="45" t="n">
        <x:v>1</x:v>
      </x:c>
      <x:c r="K129" s="45" t="n">
        <x:v>0</x:v>
      </x:c>
      <x:c r="L129" s="45" t="n">
        <x:v>1</x:v>
      </x:c>
      <x:c r="M129" s="45" t="n">
        <x:f>SUM(D129:I129)</x:f>
        <x:v>1</x:v>
      </x:c>
      <x:c r="N129" s="42" t="n">
        <x:f>IF(ABS(M129-1)&gt;0.000001,1,0)</x:f>
        <x:v>0</x:v>
      </x:c>
    </x:row>
    <x:row r="130">
      <x:c r="A130" t="str">
        <x:v>ooo</x:v>
      </x:c>
      <x:c r="B130" t="str">
        <x:v>C</x:v>
      </x:c>
      <x:c r="C130" t="str">
        <x:v>o</x:v>
      </x:c>
      <x:c r="D130" s="45" t="n">
        <x:v>0</x:v>
      </x:c>
      <x:c r="E130" s="45" t="n">
        <x:v>0</x:v>
      </x:c>
      <x:c r="F130" s="45" t="n">
        <x:v>0.3333333333333333</x:v>
      </x:c>
      <x:c r="G130" s="45" t="n">
        <x:v>0.3333333333333333</x:v>
      </x:c>
      <x:c r="H130" s="45" t="n">
        <x:v>0.3333333333333333</x:v>
      </x:c>
      <x:c r="I130" s="45" t="n">
        <x:v>0</x:v>
      </x:c>
      <x:c r="J130" s="45" t="n">
        <x:v>1</x:v>
      </x:c>
      <x:c r="K130" s="45" t="n">
        <x:v>0</x:v>
      </x:c>
      <x:c r="L130" s="45" t="n">
        <x:v>1</x:v>
      </x:c>
      <x:c r="M130" s="45" t="n">
        <x:f>SUM(D130:I130)</x:f>
        <x:v>1</x:v>
      </x:c>
      <x:c r="N130" s="42" t="n">
        <x:f>IF(ABS(M130-1)&gt;0.000001,1,0)</x:f>
        <x:v>0</x:v>
      </x:c>
    </x:row>
    <x:row r="131">
      <x:c r="A131" t="str">
        <x:v>oov</x:v>
      </x:c>
      <x:c r="B131" t="str">
        <x:v>A</x:v>
      </x:c>
      <x:c r="C131" t="str">
        <x:v>o</x:v>
      </x:c>
      <x:c r="D131" s="45" t="n">
        <x:v>0</x:v>
      </x:c>
      <x:c r="E131" s="45" t="n">
        <x:v>0</x:v>
      </x:c>
      <x:c r="F131" s="45" t="n">
        <x:v>0.5</x:v>
      </x:c>
      <x:c r="G131" s="45" t="n">
        <x:v>0.5</x:v>
      </x:c>
      <x:c r="H131" s="45" t="n">
        <x:v>0</x:v>
      </x:c>
      <x:c r="I131" s="45" t="n">
        <x:v>0</x:v>
      </x:c>
      <x:c r="J131" s="45" t="n">
        <x:v>0.5</x:v>
      </x:c>
      <x:c r="K131" s="45" t="n">
        <x:v>0</x:v>
      </x:c>
      <x:c r="L131" s="45" t="n">
        <x:v>0.5</x:v>
      </x:c>
      <x:c r="M131" s="45" t="n">
        <x:f>SUM(D131:I131)</x:f>
        <x:v>1</x:v>
      </x:c>
      <x:c r="N131" s="42" t="n">
        <x:f>IF(ABS(M131-1)&gt;0.000001,1,0)</x:f>
        <x:v>0</x:v>
      </x:c>
    </x:row>
    <x:row r="132">
      <x:c r="A132" t="str">
        <x:v>oov</x:v>
      </x:c>
      <x:c r="B132" t="str">
        <x:v>B</x:v>
      </x:c>
      <x:c r="C132" t="str">
        <x:v>o</x:v>
      </x:c>
      <x:c r="D132" s="45" t="n">
        <x:v>0</x:v>
      </x:c>
      <x:c r="E132" s="45" t="n">
        <x:v>0</x:v>
      </x:c>
      <x:c r="F132" s="45" t="n">
        <x:v>0.5</x:v>
      </x:c>
      <x:c r="G132" s="45" t="n">
        <x:v>0.5</x:v>
      </x:c>
      <x:c r="H132" s="45" t="n">
        <x:v>0</x:v>
      </x:c>
      <x:c r="I132" s="45" t="n">
        <x:v>0</x:v>
      </x:c>
      <x:c r="J132" s="45" t="n">
        <x:v>0.5</x:v>
      </x:c>
      <x:c r="K132" s="45" t="n">
        <x:v>0</x:v>
      </x:c>
      <x:c r="L132" s="45" t="n">
        <x:v>0.5</x:v>
      </x:c>
      <x:c r="M132" s="45" t="n">
        <x:f>SUM(D132:I132)</x:f>
        <x:v>1</x:v>
      </x:c>
      <x:c r="N132" s="42" t="n">
        <x:f>IF(ABS(M132-1)&gt;0.000001,1,0)</x:f>
        <x:v>0</x:v>
      </x:c>
    </x:row>
    <x:row r="133">
      <x:c r="A133" t="str">
        <x:v>oov</x:v>
      </x:c>
      <x:c r="B133" t="str">
        <x:v>C</x:v>
      </x:c>
      <x:c r="C133" t="str">
        <x:v>v</x:v>
      </x:c>
      <x:c r="D133" s="45" t="n">
        <x:v>1</x:v>
      </x:c>
      <x:c r="E133" s="45" t="n">
        <x:v>0</x:v>
      </x:c>
      <x:c r="F133" s="45" t="n">
        <x:v>0</x:v>
      </x:c>
      <x:c r="G133" s="45" t="n">
        <x:v>0</x:v>
      </x:c>
      <x:c r="H133" s="45" t="n">
        <x:v>0</x:v>
      </x:c>
      <x:c r="I133" s="45" t="n">
        <x:v>0</x:v>
      </x:c>
      <x:c r="J133" s="45" t="n">
        <x:v>0</x:v>
      </x:c>
      <x:c r="K133" s="45" t="n">
        <x:v>2</x:v>
      </x:c>
      <x:c r="L133" s="45" t="n">
        <x:v>0</x:v>
      </x:c>
      <x:c r="M133" s="45" t="n">
        <x:f>SUM(D133:I133)</x:f>
        <x:v>1</x:v>
      </x:c>
      <x:c r="N133" s="42" t="n">
        <x:f>IF(ABS(M133-1)&gt;0.000001,1,0)</x:f>
        <x:v>0</x:v>
      </x:c>
    </x:row>
    <x:row r="134">
      <x:c r="A134" t="str">
        <x:v>ove</x:v>
      </x:c>
      <x:c r="B134" t="str">
        <x:v>A</x:v>
      </x:c>
      <x:c r="C134" t="str">
        <x:v>o</x:v>
      </x:c>
      <x:c r="D134" s="45" t="n">
        <x:v>0</x:v>
      </x:c>
      <x:c r="E134" s="45" t="n">
        <x:v>0</x:v>
      </x:c>
      <x:c r="F134" s="45" t="n">
        <x:v>1</x:v>
      </x:c>
      <x:c r="G134" s="45" t="n">
        <x:v>0</x:v>
      </x:c>
      <x:c r="H134" s="45" t="n">
        <x:v>0</x:v>
      </x:c>
      <x:c r="I134" s="45" t="n">
        <x:v>0</x:v>
      </x:c>
      <x:c r="J134" s="45" t="n">
        <x:v>0</x:v>
      </x:c>
      <x:c r="K134" s="45" t="n">
        <x:v>0</x:v>
      </x:c>
      <x:c r="L134" s="45" t="n">
        <x:v>0</x:v>
      </x:c>
      <x:c r="M134" s="45" t="n">
        <x:f>SUM(D134:I134)</x:f>
        <x:v>1</x:v>
      </x:c>
      <x:c r="N134" s="42" t="n">
        <x:f>IF(ABS(M134-1)&gt;0.000001,1,0)</x:f>
        <x:v>0</x:v>
      </x:c>
    </x:row>
    <x:row r="135">
      <x:c r="A135" t="str">
        <x:v>ove</x:v>
      </x:c>
      <x:c r="B135" t="str">
        <x:v>B</x:v>
      </x:c>
      <x:c r="C135" t="str">
        <x:v>v</x:v>
      </x:c>
      <x:c r="D135" s="45" t="n">
        <x:v>1</x:v>
      </x:c>
      <x:c r="E135" s="45" t="n">
        <x:v>0</x:v>
      </x:c>
      <x:c r="F135" s="45" t="n">
        <x:v>0</x:v>
      </x:c>
      <x:c r="G135" s="45" t="n">
        <x:v>0</x:v>
      </x:c>
      <x:c r="H135" s="45" t="n">
        <x:v>0</x:v>
      </x:c>
      <x:c r="I135" s="45" t="n">
        <x:v>0</x:v>
      </x:c>
      <x:c r="J135" s="45" t="n">
        <x:v>0</x:v>
      </x:c>
      <x:c r="K135" s="45" t="n">
        <x:v>2</x:v>
      </x:c>
      <x:c r="L135" s="45" t="n">
        <x:v>0</x:v>
      </x:c>
      <x:c r="M135" s="45" t="n">
        <x:f>SUM(D135:I135)</x:f>
        <x:v>1</x:v>
      </x:c>
      <x:c r="N135" s="42" t="n">
        <x:f>IF(ABS(M135-1)&gt;0.000001,1,0)</x:f>
        <x:v>0</x:v>
      </x:c>
    </x:row>
    <x:row r="136">
      <x:c r="A136" t="str">
        <x:v>ove</x:v>
      </x:c>
      <x:c r="B136" t="str">
        <x:v>C</x:v>
      </x:c>
      <x:c r="C136" t="str">
        <x:v>e</x:v>
      </x:c>
      <x:c r="D136" s="45" t="n">
        <x:v>0</x:v>
      </x:c>
      <x:c r="E136" s="45" t="n">
        <x:v>1</x:v>
      </x:c>
      <x:c r="F136" s="45" t="n">
        <x:v>0</x:v>
      </x:c>
      <x:c r="G136" s="45" t="n">
        <x:v>0</x:v>
      </x:c>
      <x:c r="H136" s="45" t="n">
        <x:v>0</x:v>
      </x:c>
      <x:c r="I136" s="45" t="n">
        <x:v>0</x:v>
      </x:c>
      <x:c r="J136" s="45" t="n">
        <x:v>0</x:v>
      </x:c>
      <x:c r="K136" s="45" t="n">
        <x:v>1</x:v>
      </x:c>
      <x:c r="L136" s="45" t="n">
        <x:v>0</x:v>
      </x:c>
      <x:c r="M136" s="45" t="n">
        <x:f>SUM(D136:I136)</x:f>
        <x:v>1</x:v>
      </x:c>
      <x:c r="N136" s="42" t="n">
        <x:f>IF(ABS(M136-1)&gt;0.000001,1,0)</x:f>
        <x:v>0</x:v>
      </x:c>
    </x:row>
    <x:row r="137">
      <x:c r="A137" t="str">
        <x:v>ovl</x:v>
      </x:c>
      <x:c r="B137" t="str">
        <x:v>A</x:v>
      </x:c>
      <x:c r="C137" t="str">
        <x:v>o</x:v>
      </x:c>
      <x:c r="D137" s="45" t="n">
        <x:v>0</x:v>
      </x:c>
      <x:c r="E137" s="45" t="n">
        <x:v>0</x:v>
      </x:c>
      <x:c r="F137" s="45" t="n">
        <x:v>1</x:v>
      </x:c>
      <x:c r="G137" s="45" t="n">
        <x:v>0</x:v>
      </x:c>
      <x:c r="H137" s="45" t="n">
        <x:v>0</x:v>
      </x:c>
      <x:c r="I137" s="45" t="n">
        <x:v>0</x:v>
      </x:c>
      <x:c r="J137" s="45" t="n">
        <x:v>0</x:v>
      </x:c>
      <x:c r="K137" s="45" t="n">
        <x:v>0</x:v>
      </x:c>
      <x:c r="L137" s="45" t="n">
        <x:v>0</x:v>
      </x:c>
      <x:c r="M137" s="45" t="n">
        <x:f>SUM(D137:I137)</x:f>
        <x:v>1</x:v>
      </x:c>
      <x:c r="N137" s="42" t="n">
        <x:f>IF(ABS(M137-1)&gt;0.000001,1,0)</x:f>
        <x:v>0</x:v>
      </x:c>
    </x:row>
    <x:row r="138">
      <x:c r="A138" t="str">
        <x:v>ovl</x:v>
      </x:c>
      <x:c r="B138" t="str">
        <x:v>B</x:v>
      </x:c>
      <x:c r="C138" t="str">
        <x:v>v</x:v>
      </x:c>
      <x:c r="D138" s="45" t="n">
        <x:v>1</x:v>
      </x:c>
      <x:c r="E138" s="45" t="n">
        <x:v>0</x:v>
      </x:c>
      <x:c r="F138" s="45" t="n">
        <x:v>0</x:v>
      </x:c>
      <x:c r="G138" s="45" t="n">
        <x:v>0</x:v>
      </x:c>
      <x:c r="H138" s="45" t="n">
        <x:v>0</x:v>
      </x:c>
      <x:c r="I138" s="45" t="n">
        <x:v>0</x:v>
      </x:c>
      <x:c r="J138" s="45" t="n">
        <x:v>0</x:v>
      </x:c>
      <x:c r="K138" s="45" t="n">
        <x:v>2</x:v>
      </x:c>
      <x:c r="L138" s="45" t="n">
        <x:v>0</x:v>
      </x:c>
      <x:c r="M138" s="45" t="n">
        <x:f>SUM(D138:I138)</x:f>
        <x:v>1</x:v>
      </x:c>
      <x:c r="N138" s="42" t="n">
        <x:f>IF(ABS(M138-1)&gt;0.000001,1,0)</x:f>
        <x:v>0</x:v>
      </x:c>
    </x:row>
    <x:row r="139">
      <x:c r="A139" t="str">
        <x:v>ovl</x:v>
      </x:c>
      <x:c r="B139" t="str">
        <x:v>C</x:v>
      </x:c>
      <x:c r="C139" t="str">
        <x:v>l</x:v>
      </x:c>
      <x:c r="D139" s="45" t="n">
        <x:v>0</x:v>
      </x:c>
      <x:c r="E139" s="45" t="n">
        <x:v>0</x:v>
      </x:c>
      <x:c r="F139" s="45" t="n">
        <x:v>0</x:v>
      </x:c>
      <x:c r="G139" s="45" t="n">
        <x:v>1</x:v>
      </x:c>
      <x:c r="H139" s="45" t="n">
        <x:v>0</x:v>
      </x:c>
      <x:c r="I139" s="45" t="n">
        <x:v>0</x:v>
      </x:c>
      <x:c r="J139" s="45" t="n">
        <x:v>0</x:v>
      </x:c>
      <x:c r="K139" s="45" t="n">
        <x:v>0</x:v>
      </x:c>
      <x:c r="L139" s="45" t="n">
        <x:v>1</x:v>
      </x:c>
      <x:c r="M139" s="45" t="n">
        <x:f>SUM(D139:I139)</x:f>
        <x:v>1</x:v>
      </x:c>
      <x:c r="N139" s="42" t="n">
        <x:f>IF(ABS(M139-1)&gt;0.000001,1,0)</x:f>
        <x:v>0</x:v>
      </x:c>
    </x:row>
    <x:row r="140">
      <x:c r="A140" t="str">
        <x:v>ovo</x:v>
      </x:c>
      <x:c r="B140" t="str">
        <x:v>A</x:v>
      </x:c>
      <x:c r="C140" t="str">
        <x:v>o</x:v>
      </x:c>
      <x:c r="D140" s="45" t="n">
        <x:v>0</x:v>
      </x:c>
      <x:c r="E140" s="45" t="n">
        <x:v>0</x:v>
      </x:c>
      <x:c r="F140" s="45" t="n">
        <x:v>0.5</x:v>
      </x:c>
      <x:c r="G140" s="45" t="n">
        <x:v>0.5</x:v>
      </x:c>
      <x:c r="H140" s="45" t="n">
        <x:v>0</x:v>
      </x:c>
      <x:c r="I140" s="45" t="n">
        <x:v>0</x:v>
      </x:c>
      <x:c r="J140" s="45" t="n">
        <x:v>0.5</x:v>
      </x:c>
      <x:c r="K140" s="45" t="n">
        <x:v>0</x:v>
      </x:c>
      <x:c r="L140" s="45" t="n">
        <x:v>0.5</x:v>
      </x:c>
      <x:c r="M140" s="45" t="n">
        <x:f>SUM(D140:I140)</x:f>
        <x:v>1</x:v>
      </x:c>
      <x:c r="N140" s="42" t="n">
        <x:f>IF(ABS(M140-1)&gt;0.000001,1,0)</x:f>
        <x:v>0</x:v>
      </x:c>
    </x:row>
    <x:row r="141">
      <x:c r="A141" t="str">
        <x:v>ovo</x:v>
      </x:c>
      <x:c r="B141" t="str">
        <x:v>B</x:v>
      </x:c>
      <x:c r="C141" t="str">
        <x:v>v</x:v>
      </x:c>
      <x:c r="D141" s="45" t="n">
        <x:v>1</x:v>
      </x:c>
      <x:c r="E141" s="45" t="n">
        <x:v>0</x:v>
      </x:c>
      <x:c r="F141" s="45" t="n">
        <x:v>0</x:v>
      </x:c>
      <x:c r="G141" s="45" t="n">
        <x:v>0</x:v>
      </x:c>
      <x:c r="H141" s="45" t="n">
        <x:v>0</x:v>
      </x:c>
      <x:c r="I141" s="45" t="n">
        <x:v>0</x:v>
      </x:c>
      <x:c r="J141" s="45" t="n">
        <x:v>0</x:v>
      </x:c>
      <x:c r="K141" s="45" t="n">
        <x:v>2</x:v>
      </x:c>
      <x:c r="L141" s="45" t="n">
        <x:v>0</x:v>
      </x:c>
      <x:c r="M141" s="45" t="n">
        <x:f>SUM(D141:I141)</x:f>
        <x:v>1</x:v>
      </x:c>
      <x:c r="N141" s="42" t="n">
        <x:f>IF(ABS(M141-1)&gt;0.000001,1,0)</x:f>
        <x:v>0</x:v>
      </x:c>
    </x:row>
    <x:row r="142">
      <x:c r="A142" t="str">
        <x:v>ovo</x:v>
      </x:c>
      <x:c r="B142" t="str">
        <x:v>C</x:v>
      </x:c>
      <x:c r="C142" t="str">
        <x:v>o</x:v>
      </x:c>
      <x:c r="D142" s="45" t="n">
        <x:v>0</x:v>
      </x:c>
      <x:c r="E142" s="45" t="n">
        <x:v>0</x:v>
      </x:c>
      <x:c r="F142" s="45" t="n">
        <x:v>0.5</x:v>
      </x:c>
      <x:c r="G142" s="45" t="n">
        <x:v>0.5</x:v>
      </x:c>
      <x:c r="H142" s="45" t="n">
        <x:v>0</x:v>
      </x:c>
      <x:c r="I142" s="45" t="n">
        <x:v>0</x:v>
      </x:c>
      <x:c r="J142" s="45" t="n">
        <x:v>0.5</x:v>
      </x:c>
      <x:c r="K142" s="45" t="n">
        <x:v>0</x:v>
      </x:c>
      <x:c r="L142" s="45" t="n">
        <x:v>0.5</x:v>
      </x:c>
      <x:c r="M142" s="45" t="n">
        <x:f>SUM(D142:I142)</x:f>
        <x:v>1</x:v>
      </x:c>
      <x:c r="N142" s="42" t="n">
        <x:f>IF(ABS(M142-1)&gt;0.000001,1,0)</x:f>
        <x:v>0</x:v>
      </x:c>
    </x:row>
    <x:row r="143">
      <x:c r="A143" t="str">
        <x:v>ovv</x:v>
      </x:c>
      <x:c r="B143" t="str">
        <x:v>A</x:v>
      </x:c>
      <x:c r="C143" t="str">
        <x:v>o</x:v>
      </x:c>
      <x:c r="D143" s="45" t="n">
        <x:v>0</x:v>
      </x:c>
      <x:c r="E143" s="45" t="n">
        <x:v>0</x:v>
      </x:c>
      <x:c r="F143" s="45" t="n">
        <x:v>1</x:v>
      </x:c>
      <x:c r="G143" s="45" t="n">
        <x:v>0</x:v>
      </x:c>
      <x:c r="H143" s="45" t="n">
        <x:v>0</x:v>
      </x:c>
      <x:c r="I143" s="45" t="n">
        <x:v>0</x:v>
      </x:c>
      <x:c r="J143" s="45" t="n">
        <x:v>0</x:v>
      </x:c>
      <x:c r="K143" s="45" t="n">
        <x:v>0</x:v>
      </x:c>
      <x:c r="L143" s="45" t="n">
        <x:v>0</x:v>
      </x:c>
      <x:c r="M143" s="45" t="n">
        <x:f>SUM(D143:I143)</x:f>
        <x:v>1</x:v>
      </x:c>
      <x:c r="N143" s="42" t="n">
        <x:f>IF(ABS(M143-1)&gt;0.000001,1,0)</x:f>
        <x:v>0</x:v>
      </x:c>
    </x:row>
    <x:row r="144">
      <x:c r="A144" t="str">
        <x:v>ovv</x:v>
      </x:c>
      <x:c r="B144" t="str">
        <x:v>B</x:v>
      </x:c>
      <x:c r="C144" t="str">
        <x:v>v</x:v>
      </x:c>
      <x:c r="D144" s="45" t="n">
        <x:v>0.5</x:v>
      </x:c>
      <x:c r="E144" s="45" t="n">
        <x:v>0.5</x:v>
      </x:c>
      <x:c r="F144" s="45" t="n">
        <x:v>0</x:v>
      </x:c>
      <x:c r="G144" s="45" t="n">
        <x:v>0</x:v>
      </x:c>
      <x:c r="H144" s="45" t="n">
        <x:v>0</x:v>
      </x:c>
      <x:c r="I144" s="45" t="n">
        <x:v>0</x:v>
      </x:c>
      <x:c r="J144" s="45" t="n">
        <x:v>0.5</x:v>
      </x:c>
      <x:c r="K144" s="45" t="n">
        <x:v>1.5</x:v>
      </x:c>
      <x:c r="L144" s="45" t="n">
        <x:v>0</x:v>
      </x:c>
      <x:c r="M144" s="45" t="n">
        <x:f>SUM(D144:I144)</x:f>
        <x:v>1</x:v>
      </x:c>
      <x:c r="N144" s="42" t="n">
        <x:f>IF(ABS(M144-1)&gt;0.000001,1,0)</x:f>
        <x:v>0</x:v>
      </x:c>
    </x:row>
    <x:row r="145">
      <x:c r="A145" t="str">
        <x:v>ovv</x:v>
      </x:c>
      <x:c r="B145" t="str">
        <x:v>C</x:v>
      </x:c>
      <x:c r="C145" t="str">
        <x:v>v</x:v>
      </x:c>
      <x:c r="D145" s="45" t="n">
        <x:v>0.5</x:v>
      </x:c>
      <x:c r="E145" s="45" t="n">
        <x:v>0.5</x:v>
      </x:c>
      <x:c r="F145" s="45" t="n">
        <x:v>0</x:v>
      </x:c>
      <x:c r="G145" s="45" t="n">
        <x:v>0</x:v>
      </x:c>
      <x:c r="H145" s="45" t="n">
        <x:v>0</x:v>
      </x:c>
      <x:c r="I145" s="45" t="n">
        <x:v>0</x:v>
      </x:c>
      <x:c r="J145" s="45" t="n">
        <x:v>0.5</x:v>
      </x:c>
      <x:c r="K145" s="45" t="n">
        <x:v>1.5</x:v>
      </x:c>
      <x:c r="L145" s="45" t="n">
        <x:v>0</x:v>
      </x:c>
      <x:c r="M145" s="45" t="n">
        <x:f>SUM(D145:I145)</x:f>
        <x:v>1</x:v>
      </x:c>
      <x:c r="N145" s="42" t="n">
        <x:f>IF(ABS(M145-1)&gt;0.000001,1,0)</x:f>
        <x:v>0</x:v>
      </x:c>
    </x:row>
    <x:row r="146">
      <x:c r="A146" t="str">
        <x:v>vee</x:v>
      </x:c>
      <x:c r="B146" t="str">
        <x:v>A</x:v>
      </x:c>
      <x:c r="C146" t="str">
        <x:v>v</x:v>
      </x:c>
      <x:c r="D146" s="45" t="n">
        <x:v>1</x:v>
      </x:c>
      <x:c r="E146" s="45" t="n">
        <x:v>0</x:v>
      </x:c>
      <x:c r="F146" s="45" t="n">
        <x:v>0</x:v>
      </x:c>
      <x:c r="G146" s="45" t="n">
        <x:v>0</x:v>
      </x:c>
      <x:c r="H146" s="45" t="n">
        <x:v>0</x:v>
      </x:c>
      <x:c r="I146" s="45" t="n">
        <x:v>0</x:v>
      </x:c>
      <x:c r="J146" s="45" t="n">
        <x:v>0</x:v>
      </x:c>
      <x:c r="K146" s="45" t="n">
        <x:v>2</x:v>
      </x:c>
      <x:c r="L146" s="45" t="n">
        <x:v>0</x:v>
      </x:c>
      <x:c r="M146" s="45" t="n">
        <x:f>SUM(D146:I146)</x:f>
        <x:v>1</x:v>
      </x:c>
      <x:c r="N146" s="42" t="n">
        <x:f>IF(ABS(M146-1)&gt;0.000001,1,0)</x:f>
        <x:v>0</x:v>
      </x:c>
    </x:row>
    <x:row r="147">
      <x:c r="A147" t="str">
        <x:v>vee</x:v>
      </x:c>
      <x:c r="B147" t="str">
        <x:v>B</x:v>
      </x:c>
      <x:c r="C147" t="str">
        <x:v>e</x:v>
      </x:c>
      <x:c r="D147" s="45" t="n">
        <x:v>0</x:v>
      </x:c>
      <x:c r="E147" s="45" t="n">
        <x:v>0.5</x:v>
      </x:c>
      <x:c r="F147" s="45" t="n">
        <x:v>0.5</x:v>
      </x:c>
      <x:c r="G147" s="45" t="n">
        <x:v>0</x:v>
      </x:c>
      <x:c r="H147" s="45" t="n">
        <x:v>0</x:v>
      </x:c>
      <x:c r="I147" s="45" t="n">
        <x:v>0</x:v>
      </x:c>
      <x:c r="J147" s="45" t="n">
        <x:v>0.5</x:v>
      </x:c>
      <x:c r="K147" s="45" t="n">
        <x:v>0.5</x:v>
      </x:c>
      <x:c r="L147" s="45" t="n">
        <x:v>0</x:v>
      </x:c>
      <x:c r="M147" s="45" t="n">
        <x:f>SUM(D147:I147)</x:f>
        <x:v>1</x:v>
      </x:c>
      <x:c r="N147" s="42" t="n">
        <x:f>IF(ABS(M147-1)&gt;0.000001,1,0)</x:f>
        <x:v>0</x:v>
      </x:c>
    </x:row>
    <x:row r="148">
      <x:c r="A148" t="str">
        <x:v>vee</x:v>
      </x:c>
      <x:c r="B148" t="str">
        <x:v>C</x:v>
      </x:c>
      <x:c r="C148" t="str">
        <x:v>e</x:v>
      </x:c>
      <x:c r="D148" s="45" t="n">
        <x:v>0</x:v>
      </x:c>
      <x:c r="E148" s="45" t="n">
        <x:v>0.5</x:v>
      </x:c>
      <x:c r="F148" s="45" t="n">
        <x:v>0.5</x:v>
      </x:c>
      <x:c r="G148" s="45" t="n">
        <x:v>0</x:v>
      </x:c>
      <x:c r="H148" s="45" t="n">
        <x:v>0</x:v>
      </x:c>
      <x:c r="I148" s="45" t="n">
        <x:v>0</x:v>
      </x:c>
      <x:c r="J148" s="45" t="n">
        <x:v>0.5</x:v>
      </x:c>
      <x:c r="K148" s="45" t="n">
        <x:v>0.5</x:v>
      </x:c>
      <x:c r="L148" s="45" t="n">
        <x:v>0</x:v>
      </x:c>
      <x:c r="M148" s="45" t="n">
        <x:f>SUM(D148:I148)</x:f>
        <x:v>1</x:v>
      </x:c>
      <x:c r="N148" s="42" t="n">
        <x:f>IF(ABS(M148-1)&gt;0.000001,1,0)</x:f>
        <x:v>0</x:v>
      </x:c>
    </x:row>
    <x:row r="149">
      <x:c r="A149" t="str">
        <x:v>vel</x:v>
      </x:c>
      <x:c r="B149" t="str">
        <x:v>A</x:v>
      </x:c>
      <x:c r="C149" t="str">
        <x:v>v</x:v>
      </x:c>
      <x:c r="D149" s="45" t="n">
        <x:v>1</x:v>
      </x:c>
      <x:c r="E149" s="45" t="n">
        <x:v>0</x:v>
      </x:c>
      <x:c r="F149" s="45" t="n">
        <x:v>0</x:v>
      </x:c>
      <x:c r="G149" s="45" t="n">
        <x:v>0</x:v>
      </x:c>
      <x:c r="H149" s="45" t="n">
        <x:v>0</x:v>
      </x:c>
      <x:c r="I149" s="45" t="n">
        <x:v>0</x:v>
      </x:c>
      <x:c r="J149" s="45" t="n">
        <x:v>0</x:v>
      </x:c>
      <x:c r="K149" s="45" t="n">
        <x:v>2</x:v>
      </x:c>
      <x:c r="L149" s="45" t="n">
        <x:v>0</x:v>
      </x:c>
      <x:c r="M149" s="45" t="n">
        <x:f>SUM(D149:I149)</x:f>
        <x:v>1</x:v>
      </x:c>
      <x:c r="N149" s="42" t="n">
        <x:f>IF(ABS(M149-1)&gt;0.000001,1,0)</x:f>
        <x:v>0</x:v>
      </x:c>
    </x:row>
    <x:row r="150">
      <x:c r="A150" t="str">
        <x:v>vel</x:v>
      </x:c>
      <x:c r="B150" t="str">
        <x:v>B</x:v>
      </x:c>
      <x:c r="C150" t="str">
        <x:v>e</x:v>
      </x:c>
      <x:c r="D150" s="45" t="n">
        <x:v>0</x:v>
      </x:c>
      <x:c r="E150" s="45" t="n">
        <x:v>1</x:v>
      </x:c>
      <x:c r="F150" s="45" t="n">
        <x:v>0</x:v>
      </x:c>
      <x:c r="G150" s="45" t="n">
        <x:v>0</x:v>
      </x:c>
      <x:c r="H150" s="45" t="n">
        <x:v>0</x:v>
      </x:c>
      <x:c r="I150" s="45" t="n">
        <x:v>0</x:v>
      </x:c>
      <x:c r="J150" s="45" t="n">
        <x:v>0</x:v>
      </x:c>
      <x:c r="K150" s="45" t="n">
        <x:v>1</x:v>
      </x:c>
      <x:c r="L150" s="45" t="n">
        <x:v>0</x:v>
      </x:c>
      <x:c r="M150" s="45" t="n">
        <x:f>SUM(D150:I150)</x:f>
        <x:v>1</x:v>
      </x:c>
      <x:c r="N150" s="42" t="n">
        <x:f>IF(ABS(M150-1)&gt;0.000001,1,0)</x:f>
        <x:v>0</x:v>
      </x:c>
    </x:row>
    <x:row r="151">
      <x:c r="A151" t="str">
        <x:v>vel</x:v>
      </x:c>
      <x:c r="B151" t="str">
        <x:v>C</x:v>
      </x:c>
      <x:c r="C151" t="str">
        <x:v>l</x:v>
      </x:c>
      <x:c r="D151" s="45" t="n">
        <x:v>0</x:v>
      </x:c>
      <x:c r="E151" s="45" t="n">
        <x:v>0</x:v>
      </x:c>
      <x:c r="F151" s="45" t="n">
        <x:v>0</x:v>
      </x:c>
      <x:c r="G151" s="45" t="n">
        <x:v>1</x:v>
      </x:c>
      <x:c r="H151" s="45" t="n">
        <x:v>0</x:v>
      </x:c>
      <x:c r="I151" s="45" t="n">
        <x:v>0</x:v>
      </x:c>
      <x:c r="J151" s="45" t="n">
        <x:v>0</x:v>
      </x:c>
      <x:c r="K151" s="45" t="n">
        <x:v>0</x:v>
      </x:c>
      <x:c r="L151" s="45" t="n">
        <x:v>1</x:v>
      </x:c>
      <x:c r="M151" s="45" t="n">
        <x:f>SUM(D151:I151)</x:f>
        <x:v>1</x:v>
      </x:c>
      <x:c r="N151" s="42" t="n">
        <x:f>IF(ABS(M151-1)&gt;0.000001,1,0)</x:f>
        <x:v>0</x:v>
      </x:c>
    </x:row>
    <x:row r="152">
      <x:c r="A152" t="str">
        <x:v>veo</x:v>
      </x:c>
      <x:c r="B152" t="str">
        <x:v>A</x:v>
      </x:c>
      <x:c r="C152" t="str">
        <x:v>v</x:v>
      </x:c>
      <x:c r="D152" s="45" t="n">
        <x:v>1</x:v>
      </x:c>
      <x:c r="E152" s="45" t="n">
        <x:v>0</x:v>
      </x:c>
      <x:c r="F152" s="45" t="n">
        <x:v>0</x:v>
      </x:c>
      <x:c r="G152" s="45" t="n">
        <x:v>0</x:v>
      </x:c>
      <x:c r="H152" s="45" t="n">
        <x:v>0</x:v>
      </x:c>
      <x:c r="I152" s="45" t="n">
        <x:v>0</x:v>
      </x:c>
      <x:c r="J152" s="45" t="n">
        <x:v>0</x:v>
      </x:c>
      <x:c r="K152" s="45" t="n">
        <x:v>2</x:v>
      </x:c>
      <x:c r="L152" s="45" t="n">
        <x:v>0</x:v>
      </x:c>
      <x:c r="M152" s="45" t="n">
        <x:f>SUM(D152:I152)</x:f>
        <x:v>1</x:v>
      </x:c>
      <x:c r="N152" s="42" t="n">
        <x:f>IF(ABS(M152-1)&gt;0.000001,1,0)</x:f>
        <x:v>0</x:v>
      </x:c>
    </x:row>
    <x:row r="153">
      <x:c r="A153" t="str">
        <x:v>veo</x:v>
      </x:c>
      <x:c r="B153" t="str">
        <x:v>B</x:v>
      </x:c>
      <x:c r="C153" t="str">
        <x:v>e</x:v>
      </x:c>
      <x:c r="D153" s="45" t="n">
        <x:v>0</x:v>
      </x:c>
      <x:c r="E153" s="45" t="n">
        <x:v>1</x:v>
      </x:c>
      <x:c r="F153" s="45" t="n">
        <x:v>0</x:v>
      </x:c>
      <x:c r="G153" s="45" t="n">
        <x:v>0</x:v>
      </x:c>
      <x:c r="H153" s="45" t="n">
        <x:v>0</x:v>
      </x:c>
      <x:c r="I153" s="45" t="n">
        <x:v>0</x:v>
      </x:c>
      <x:c r="J153" s="45" t="n">
        <x:v>0</x:v>
      </x:c>
      <x:c r="K153" s="45" t="n">
        <x:v>1</x:v>
      </x:c>
      <x:c r="L153" s="45" t="n">
        <x:v>0</x:v>
      </x:c>
      <x:c r="M153" s="45" t="n">
        <x:f>SUM(D153:I153)</x:f>
        <x:v>1</x:v>
      </x:c>
      <x:c r="N153" s="42" t="n">
        <x:f>IF(ABS(M153-1)&gt;0.000001,1,0)</x:f>
        <x:v>0</x:v>
      </x:c>
    </x:row>
    <x:row r="154">
      <x:c r="A154" t="str">
        <x:v>veo</x:v>
      </x:c>
      <x:c r="B154" t="str">
        <x:v>C</x:v>
      </x:c>
      <x:c r="C154" t="str">
        <x:v>o</x:v>
      </x:c>
      <x:c r="D154" s="45" t="n">
        <x:v>0</x:v>
      </x:c>
      <x:c r="E154" s="45" t="n">
        <x:v>0</x:v>
      </x:c>
      <x:c r="F154" s="45" t="n">
        <x:v>1</x:v>
      </x:c>
      <x:c r="G154" s="45" t="n">
        <x:v>0</x:v>
      </x:c>
      <x:c r="H154" s="45" t="n">
        <x:v>0</x:v>
      </x:c>
      <x:c r="I154" s="45" t="n">
        <x:v>0</x:v>
      </x:c>
      <x:c r="J154" s="45" t="n">
        <x:v>0</x:v>
      </x:c>
      <x:c r="K154" s="45" t="n">
        <x:v>0</x:v>
      </x:c>
      <x:c r="L154" s="45" t="n">
        <x:v>0</x:v>
      </x:c>
      <x:c r="M154" s="45" t="n">
        <x:f>SUM(D154:I154)</x:f>
        <x:v>1</x:v>
      </x:c>
      <x:c r="N154" s="42" t="n">
        <x:f>IF(ABS(M154-1)&gt;0.000001,1,0)</x:f>
        <x:v>0</x:v>
      </x:c>
    </x:row>
    <x:row r="155">
      <x:c r="A155" t="str">
        <x:v>vev</x:v>
      </x:c>
      <x:c r="B155" t="str">
        <x:v>A</x:v>
      </x:c>
      <x:c r="C155" t="str">
        <x:v>v</x:v>
      </x:c>
      <x:c r="D155" s="45" t="n">
        <x:v>0.5</x:v>
      </x:c>
      <x:c r="E155" s="45" t="n">
        <x:v>0.5</x:v>
      </x:c>
      <x:c r="F155" s="45" t="n">
        <x:v>0</x:v>
      </x:c>
      <x:c r="G155" s="45" t="n">
        <x:v>0</x:v>
      </x:c>
      <x:c r="H155" s="45" t="n">
        <x:v>0</x:v>
      </x:c>
      <x:c r="I155" s="45" t="n">
        <x:v>0</x:v>
      </x:c>
      <x:c r="J155" s="45" t="n">
        <x:v>0.5</x:v>
      </x:c>
      <x:c r="K155" s="45" t="n">
        <x:v>1.5</x:v>
      </x:c>
      <x:c r="L155" s="45" t="n">
        <x:v>0</x:v>
      </x:c>
      <x:c r="M155" s="45" t="n">
        <x:f>SUM(D155:I155)</x:f>
        <x:v>1</x:v>
      </x:c>
      <x:c r="N155" s="42" t="n">
        <x:f>IF(ABS(M155-1)&gt;0.000001,1,0)</x:f>
        <x:v>0</x:v>
      </x:c>
    </x:row>
    <x:row r="156">
      <x:c r="A156" t="str">
        <x:v>vev</x:v>
      </x:c>
      <x:c r="B156" t="str">
        <x:v>B</x:v>
      </x:c>
      <x:c r="C156" t="str">
        <x:v>e</x:v>
      </x:c>
      <x:c r="D156" s="45" t="n">
        <x:v>0</x:v>
      </x:c>
      <x:c r="E156" s="45" t="n">
        <x:v>0</x:v>
      </x:c>
      <x:c r="F156" s="45" t="n">
        <x:v>1</x:v>
      </x:c>
      <x:c r="G156" s="45" t="n">
        <x:v>0</x:v>
      </x:c>
      <x:c r="H156" s="45" t="n">
        <x:v>0</x:v>
      </x:c>
      <x:c r="I156" s="45" t="n">
        <x:v>0</x:v>
      </x:c>
      <x:c r="J156" s="45" t="n">
        <x:v>1</x:v>
      </x:c>
      <x:c r="K156" s="45" t="n">
        <x:v>0</x:v>
      </x:c>
      <x:c r="L156" s="45" t="n">
        <x:v>0</x:v>
      </x:c>
      <x:c r="M156" s="45" t="n">
        <x:f>SUM(D156:I156)</x:f>
        <x:v>1</x:v>
      </x:c>
      <x:c r="N156" s="42" t="n">
        <x:f>IF(ABS(M156-1)&gt;0.000001,1,0)</x:f>
        <x:v>0</x:v>
      </x:c>
    </x:row>
    <x:row r="157">
      <x:c r="A157" t="str">
        <x:v>vev</x:v>
      </x:c>
      <x:c r="B157" t="str">
        <x:v>C</x:v>
      </x:c>
      <x:c r="C157" t="str">
        <x:v>v</x:v>
      </x:c>
      <x:c r="D157" s="45" t="n">
        <x:v>0.5</x:v>
      </x:c>
      <x:c r="E157" s="45" t="n">
        <x:v>0.5</x:v>
      </x:c>
      <x:c r="F157" s="45" t="n">
        <x:v>0</x:v>
      </x:c>
      <x:c r="G157" s="45" t="n">
        <x:v>0</x:v>
      </x:c>
      <x:c r="H157" s="45" t="n">
        <x:v>0</x:v>
      </x:c>
      <x:c r="I157" s="45" t="n">
        <x:v>0</x:v>
      </x:c>
      <x:c r="J157" s="45" t="n">
        <x:v>0.5</x:v>
      </x:c>
      <x:c r="K157" s="45" t="n">
        <x:v>1.5</x:v>
      </x:c>
      <x:c r="L157" s="45" t="n">
        <x:v>0</x:v>
      </x:c>
      <x:c r="M157" s="45" t="n">
        <x:f>SUM(D157:I157)</x:f>
        <x:v>1</x:v>
      </x:c>
      <x:c r="N157" s="42" t="n">
        <x:f>IF(ABS(M157-1)&gt;0.000001,1,0)</x:f>
        <x:v>0</x:v>
      </x:c>
    </x:row>
    <x:row r="158">
      <x:c r="A158" t="str">
        <x:v>vle</x:v>
      </x:c>
      <x:c r="B158" t="str">
        <x:v>A</x:v>
      </x:c>
      <x:c r="C158" t="str">
        <x:v>v</x:v>
      </x:c>
      <x:c r="D158" s="45" t="n">
        <x:v>1</x:v>
      </x:c>
      <x:c r="E158" s="45" t="n">
        <x:v>0</x:v>
      </x:c>
      <x:c r="F158" s="45" t="n">
        <x:v>0</x:v>
      </x:c>
      <x:c r="G158" s="45" t="n">
        <x:v>0</x:v>
      </x:c>
      <x:c r="H158" s="45" t="n">
        <x:v>0</x:v>
      </x:c>
      <x:c r="I158" s="45" t="n">
        <x:v>0</x:v>
      </x:c>
      <x:c r="J158" s="45" t="n">
        <x:v>0</x:v>
      </x:c>
      <x:c r="K158" s="45" t="n">
        <x:v>2</x:v>
      </x:c>
      <x:c r="L158" s="45" t="n">
        <x:v>0</x:v>
      </x:c>
      <x:c r="M158" s="45" t="n">
        <x:f>SUM(D158:I158)</x:f>
        <x:v>1</x:v>
      </x:c>
      <x:c r="N158" s="42" t="n">
        <x:f>IF(ABS(M158-1)&gt;0.000001,1,0)</x:f>
        <x:v>0</x:v>
      </x:c>
    </x:row>
    <x:row r="159">
      <x:c r="A159" t="str">
        <x:v>vle</x:v>
      </x:c>
      <x:c r="B159" t="str">
        <x:v>B</x:v>
      </x:c>
      <x:c r="C159" t="str">
        <x:v>l</x:v>
      </x:c>
      <x:c r="D159" s="45" t="n">
        <x:v>0</x:v>
      </x:c>
      <x:c r="E159" s="45" t="n">
        <x:v>0</x:v>
      </x:c>
      <x:c r="F159" s="45" t="n">
        <x:v>0</x:v>
      </x:c>
      <x:c r="G159" s="45" t="n">
        <x:v>1</x:v>
      </x:c>
      <x:c r="H159" s="45" t="n">
        <x:v>0</x:v>
      </x:c>
      <x:c r="I159" s="45" t="n">
        <x:v>0</x:v>
      </x:c>
      <x:c r="J159" s="45" t="n">
        <x:v>0</x:v>
      </x:c>
      <x:c r="K159" s="45" t="n">
        <x:v>0</x:v>
      </x:c>
      <x:c r="L159" s="45" t="n">
        <x:v>1</x:v>
      </x:c>
      <x:c r="M159" s="45" t="n">
        <x:f>SUM(D159:I159)</x:f>
        <x:v>1</x:v>
      </x:c>
      <x:c r="N159" s="42" t="n">
        <x:f>IF(ABS(M159-1)&gt;0.000001,1,0)</x:f>
        <x:v>0</x:v>
      </x:c>
    </x:row>
    <x:row r="160">
      <x:c r="A160" t="str">
        <x:v>vle</x:v>
      </x:c>
      <x:c r="B160" t="str">
        <x:v>C</x:v>
      </x:c>
      <x:c r="C160" t="str">
        <x:v>e</x:v>
      </x:c>
      <x:c r="D160" s="45" t="n">
        <x:v>0</x:v>
      </x:c>
      <x:c r="E160" s="45" t="n">
        <x:v>1</x:v>
      </x:c>
      <x:c r="F160" s="45" t="n">
        <x:v>0</x:v>
      </x:c>
      <x:c r="G160" s="45" t="n">
        <x:v>0</x:v>
      </x:c>
      <x:c r="H160" s="45" t="n">
        <x:v>0</x:v>
      </x:c>
      <x:c r="I160" s="45" t="n">
        <x:v>0</x:v>
      </x:c>
      <x:c r="J160" s="45" t="n">
        <x:v>0</x:v>
      </x:c>
      <x:c r="K160" s="45" t="n">
        <x:v>1</x:v>
      </x:c>
      <x:c r="L160" s="45" t="n">
        <x:v>0</x:v>
      </x:c>
      <x:c r="M160" s="45" t="n">
        <x:f>SUM(D160:I160)</x:f>
        <x:v>1</x:v>
      </x:c>
      <x:c r="N160" s="42" t="n">
        <x:f>IF(ABS(M160-1)&gt;0.000001,1,0)</x:f>
        <x:v>0</x:v>
      </x:c>
    </x:row>
    <x:row r="161">
      <x:c r="A161" t="str">
        <x:v>vll</x:v>
      </x:c>
      <x:c r="B161" t="str">
        <x:v>A</x:v>
      </x:c>
      <x:c r="C161" t="str">
        <x:v>v</x:v>
      </x:c>
      <x:c r="D161" s="45" t="n">
        <x:v>1</x:v>
      </x:c>
      <x:c r="E161" s="45" t="n">
        <x:v>0</x:v>
      </x:c>
      <x:c r="F161" s="45" t="n">
        <x:v>0</x:v>
      </x:c>
      <x:c r="G161" s="45" t="n">
        <x:v>0</x:v>
      </x:c>
      <x:c r="H161" s="45" t="n">
        <x:v>0</x:v>
      </x:c>
      <x:c r="I161" s="45" t="n">
        <x:v>0</x:v>
      </x:c>
      <x:c r="J161" s="45" t="n">
        <x:v>0</x:v>
      </x:c>
      <x:c r="K161" s="45" t="n">
        <x:v>2</x:v>
      </x:c>
      <x:c r="L161" s="45" t="n">
        <x:v>0</x:v>
      </x:c>
      <x:c r="M161" s="45" t="n">
        <x:f>SUM(D161:I161)</x:f>
        <x:v>1</x:v>
      </x:c>
      <x:c r="N161" s="42" t="n">
        <x:f>IF(ABS(M161-1)&gt;0.000001,1,0)</x:f>
        <x:v>0</x:v>
      </x:c>
    </x:row>
    <x:row r="162">
      <x:c r="A162" t="str">
        <x:v>vll</x:v>
      </x:c>
      <x:c r="B162" t="str">
        <x:v>B</x:v>
      </x:c>
      <x:c r="C162" t="str">
        <x:v>l</x:v>
      </x:c>
      <x:c r="D162" s="45" t="n">
        <x:v>0</x:v>
      </x:c>
      <x:c r="E162" s="45" t="n">
        <x:v>0</x:v>
      </x:c>
      <x:c r="F162" s="45" t="n">
        <x:v>0</x:v>
      </x:c>
      <x:c r="G162" s="45" t="n">
        <x:v>0.5</x:v>
      </x:c>
      <x:c r="H162" s="45" t="n">
        <x:v>0.5</x:v>
      </x:c>
      <x:c r="I162" s="45" t="n">
        <x:v>0</x:v>
      </x:c>
      <x:c r="J162" s="45" t="n">
        <x:v>0.5</x:v>
      </x:c>
      <x:c r="K162" s="45" t="n">
        <x:v>0</x:v>
      </x:c>
      <x:c r="L162" s="45" t="n">
        <x:v>1.5</x:v>
      </x:c>
      <x:c r="M162" s="45" t="n">
        <x:f>SUM(D162:I162)</x:f>
        <x:v>1</x:v>
      </x:c>
      <x:c r="N162" s="42" t="n">
        <x:f>IF(ABS(M162-1)&gt;0.000001,1,0)</x:f>
        <x:v>0</x:v>
      </x:c>
    </x:row>
    <x:row r="163">
      <x:c r="A163" t="str">
        <x:v>vll</x:v>
      </x:c>
      <x:c r="B163" t="str">
        <x:v>C</x:v>
      </x:c>
      <x:c r="C163" t="str">
        <x:v>l</x:v>
      </x:c>
      <x:c r="D163" s="45" t="n">
        <x:v>0</x:v>
      </x:c>
      <x:c r="E163" s="45" t="n">
        <x:v>0</x:v>
      </x:c>
      <x:c r="F163" s="45" t="n">
        <x:v>0</x:v>
      </x:c>
      <x:c r="G163" s="45" t="n">
        <x:v>0.5</x:v>
      </x:c>
      <x:c r="H163" s="45" t="n">
        <x:v>0.5</x:v>
      </x:c>
      <x:c r="I163" s="45" t="n">
        <x:v>0</x:v>
      </x:c>
      <x:c r="J163" s="45" t="n">
        <x:v>0.5</x:v>
      </x:c>
      <x:c r="K163" s="45" t="n">
        <x:v>0</x:v>
      </x:c>
      <x:c r="L163" s="45" t="n">
        <x:v>1.5</x:v>
      </x:c>
      <x:c r="M163" s="45" t="n">
        <x:f>SUM(D163:I163)</x:f>
        <x:v>1</x:v>
      </x:c>
      <x:c r="N163" s="42" t="n">
        <x:f>IF(ABS(M163-1)&gt;0.000001,1,0)</x:f>
        <x:v>0</x:v>
      </x:c>
    </x:row>
    <x:row r="164">
      <x:c r="A164" t="str">
        <x:v>vlo</x:v>
      </x:c>
      <x:c r="B164" t="str">
        <x:v>A</x:v>
      </x:c>
      <x:c r="C164" t="str">
        <x:v>v</x:v>
      </x:c>
      <x:c r="D164" s="45" t="n">
        <x:v>1</x:v>
      </x:c>
      <x:c r="E164" s="45" t="n">
        <x:v>0</x:v>
      </x:c>
      <x:c r="F164" s="45" t="n">
        <x:v>0</x:v>
      </x:c>
      <x:c r="G164" s="45" t="n">
        <x:v>0</x:v>
      </x:c>
      <x:c r="H164" s="45" t="n">
        <x:v>0</x:v>
      </x:c>
      <x:c r="I164" s="45" t="n">
        <x:v>0</x:v>
      </x:c>
      <x:c r="J164" s="45" t="n">
        <x:v>0</x:v>
      </x:c>
      <x:c r="K164" s="45" t="n">
        <x:v>2</x:v>
      </x:c>
      <x:c r="L164" s="45" t="n">
        <x:v>0</x:v>
      </x:c>
      <x:c r="M164" s="45" t="n">
        <x:f>SUM(D164:I164)</x:f>
        <x:v>1</x:v>
      </x:c>
      <x:c r="N164" s="42" t="n">
        <x:f>IF(ABS(M164-1)&gt;0.000001,1,0)</x:f>
        <x:v>0</x:v>
      </x:c>
    </x:row>
    <x:row r="165">
      <x:c r="A165" t="str">
        <x:v>vlo</x:v>
      </x:c>
      <x:c r="B165" t="str">
        <x:v>B</x:v>
      </x:c>
      <x:c r="C165" t="str">
        <x:v>l</x:v>
      </x:c>
      <x:c r="D165" s="45" t="n">
        <x:v>0</x:v>
      </x:c>
      <x:c r="E165" s="45" t="n">
        <x:v>0</x:v>
      </x:c>
      <x:c r="F165" s="45" t="n">
        <x:v>0</x:v>
      </x:c>
      <x:c r="G165" s="45" t="n">
        <x:v>1</x:v>
      </x:c>
      <x:c r="H165" s="45" t="n">
        <x:v>0</x:v>
      </x:c>
      <x:c r="I165" s="45" t="n">
        <x:v>0</x:v>
      </x:c>
      <x:c r="J165" s="45" t="n">
        <x:v>0</x:v>
      </x:c>
      <x:c r="K165" s="45" t="n">
        <x:v>0</x:v>
      </x:c>
      <x:c r="L165" s="45" t="n">
        <x:v>1</x:v>
      </x:c>
      <x:c r="M165" s="45" t="n">
        <x:f>SUM(D165:I165)</x:f>
        <x:v>1</x:v>
      </x:c>
      <x:c r="N165" s="42" t="n">
        <x:f>IF(ABS(M165-1)&gt;0.000001,1,0)</x:f>
        <x:v>0</x:v>
      </x:c>
    </x:row>
    <x:row r="166">
      <x:c r="A166" t="str">
        <x:v>vlo</x:v>
      </x:c>
      <x:c r="B166" t="str">
        <x:v>C</x:v>
      </x:c>
      <x:c r="C166" t="str">
        <x:v>o</x:v>
      </x:c>
      <x:c r="D166" s="45" t="n">
        <x:v>0</x:v>
      </x:c>
      <x:c r="E166" s="45" t="n">
        <x:v>0</x:v>
      </x:c>
      <x:c r="F166" s="45" t="n">
        <x:v>1</x:v>
      </x:c>
      <x:c r="G166" s="45" t="n">
        <x:v>0</x:v>
      </x:c>
      <x:c r="H166" s="45" t="n">
        <x:v>0</x:v>
      </x:c>
      <x:c r="I166" s="45" t="n">
        <x:v>0</x:v>
      </x:c>
      <x:c r="J166" s="45" t="n">
        <x:v>0</x:v>
      </x:c>
      <x:c r="K166" s="45" t="n">
        <x:v>0</x:v>
      </x:c>
      <x:c r="L166" s="45" t="n">
        <x:v>0</x:v>
      </x:c>
      <x:c r="M166" s="45" t="n">
        <x:f>SUM(D166:I166)</x:f>
        <x:v>1</x:v>
      </x:c>
      <x:c r="N166" s="42" t="n">
        <x:f>IF(ABS(M166-1)&gt;0.000001,1,0)</x:f>
        <x:v>0</x:v>
      </x:c>
    </x:row>
    <x:row r="167">
      <x:c r="A167" t="str">
        <x:v>vlv</x:v>
      </x:c>
      <x:c r="B167" t="str">
        <x:v>A</x:v>
      </x:c>
      <x:c r="C167" t="str">
        <x:v>v</x:v>
      </x:c>
      <x:c r="D167" s="45" t="n">
        <x:v>0.5</x:v>
      </x:c>
      <x:c r="E167" s="45" t="n">
        <x:v>0.5</x:v>
      </x:c>
      <x:c r="F167" s="45" t="n">
        <x:v>0</x:v>
      </x:c>
      <x:c r="G167" s="45" t="n">
        <x:v>0</x:v>
      </x:c>
      <x:c r="H167" s="45" t="n">
        <x:v>0</x:v>
      </x:c>
      <x:c r="I167" s="45" t="n">
        <x:v>0</x:v>
      </x:c>
      <x:c r="J167" s="45" t="n">
        <x:v>0.5</x:v>
      </x:c>
      <x:c r="K167" s="45" t="n">
        <x:v>1.5</x:v>
      </x:c>
      <x:c r="L167" s="45" t="n">
        <x:v>0</x:v>
      </x:c>
      <x:c r="M167" s="45" t="n">
        <x:f>SUM(D167:I167)</x:f>
        <x:v>1</x:v>
      </x:c>
      <x:c r="N167" s="42" t="n">
        <x:f>IF(ABS(M167-1)&gt;0.000001,1,0)</x:f>
        <x:v>0</x:v>
      </x:c>
    </x:row>
    <x:row r="168">
      <x:c r="A168" t="str">
        <x:v>vlv</x:v>
      </x:c>
      <x:c r="B168" t="str">
        <x:v>B</x:v>
      </x:c>
      <x:c r="C168" t="str">
        <x:v>l</x:v>
      </x:c>
      <x:c r="D168" s="45" t="n">
        <x:v>0</x:v>
      </x:c>
      <x:c r="E168" s="45" t="n">
        <x:v>0</x:v>
      </x:c>
      <x:c r="F168" s="45" t="n">
        <x:v>0</x:v>
      </x:c>
      <x:c r="G168" s="45" t="n">
        <x:v>1</x:v>
      </x:c>
      <x:c r="H168" s="45" t="n">
        <x:v>0</x:v>
      </x:c>
      <x:c r="I168" s="45" t="n">
        <x:v>0</x:v>
      </x:c>
      <x:c r="J168" s="45" t="n">
        <x:v>0</x:v>
      </x:c>
      <x:c r="K168" s="45" t="n">
        <x:v>0</x:v>
      </x:c>
      <x:c r="L168" s="45" t="n">
        <x:v>1</x:v>
      </x:c>
      <x:c r="M168" s="45" t="n">
        <x:f>SUM(D168:I168)</x:f>
        <x:v>1</x:v>
      </x:c>
      <x:c r="N168" s="42" t="n">
        <x:f>IF(ABS(M168-1)&gt;0.000001,1,0)</x:f>
        <x:v>0</x:v>
      </x:c>
    </x:row>
    <x:row r="169">
      <x:c r="A169" t="str">
        <x:v>vlv</x:v>
      </x:c>
      <x:c r="B169" t="str">
        <x:v>C</x:v>
      </x:c>
      <x:c r="C169" t="str">
        <x:v>v</x:v>
      </x:c>
      <x:c r="D169" s="45" t="n">
        <x:v>0.5</x:v>
      </x:c>
      <x:c r="E169" s="45" t="n">
        <x:v>0.5</x:v>
      </x:c>
      <x:c r="F169" s="45" t="n">
        <x:v>0</x:v>
      </x:c>
      <x:c r="G169" s="45" t="n">
        <x:v>0</x:v>
      </x:c>
      <x:c r="H169" s="45" t="n">
        <x:v>0</x:v>
      </x:c>
      <x:c r="I169" s="45" t="n">
        <x:v>0</x:v>
      </x:c>
      <x:c r="J169" s="45" t="n">
        <x:v>0.5</x:v>
      </x:c>
      <x:c r="K169" s="45" t="n">
        <x:v>1.5</x:v>
      </x:c>
      <x:c r="L169" s="45" t="n">
        <x:v>0</x:v>
      </x:c>
      <x:c r="M169" s="45" t="n">
        <x:f>SUM(D169:I169)</x:f>
        <x:v>1</x:v>
      </x:c>
      <x:c r="N169" s="42" t="n">
        <x:f>IF(ABS(M169-1)&gt;0.000001,1,0)</x:f>
        <x:v>0</x:v>
      </x:c>
    </x:row>
    <x:row r="170">
      <x:c r="A170" t="str">
        <x:v>voe</x:v>
      </x:c>
      <x:c r="B170" t="str">
        <x:v>A</x:v>
      </x:c>
      <x:c r="C170" t="str">
        <x:v>v</x:v>
      </x:c>
      <x:c r="D170" s="45" t="n">
        <x:v>1</x:v>
      </x:c>
      <x:c r="E170" s="45" t="n">
        <x:v>0</x:v>
      </x:c>
      <x:c r="F170" s="45" t="n">
        <x:v>0</x:v>
      </x:c>
      <x:c r="G170" s="45" t="n">
        <x:v>0</x:v>
      </x:c>
      <x:c r="H170" s="45" t="n">
        <x:v>0</x:v>
      </x:c>
      <x:c r="I170" s="45" t="n">
        <x:v>0</x:v>
      </x:c>
      <x:c r="J170" s="45" t="n">
        <x:v>0</x:v>
      </x:c>
      <x:c r="K170" s="45" t="n">
        <x:v>2</x:v>
      </x:c>
      <x:c r="L170" s="45" t="n">
        <x:v>0</x:v>
      </x:c>
      <x:c r="M170" s="45" t="n">
        <x:f>SUM(D170:I170)</x:f>
        <x:v>1</x:v>
      </x:c>
      <x:c r="N170" s="42" t="n">
        <x:f>IF(ABS(M170-1)&gt;0.000001,1,0)</x:f>
        <x:v>0</x:v>
      </x:c>
    </x:row>
    <x:row r="171">
      <x:c r="A171" t="str">
        <x:v>voe</x:v>
      </x:c>
      <x:c r="B171" t="str">
        <x:v>B</x:v>
      </x:c>
      <x:c r="C171" t="str">
        <x:v>o</x:v>
      </x:c>
      <x:c r="D171" s="45" t="n">
        <x:v>0</x:v>
      </x:c>
      <x:c r="E171" s="45" t="n">
        <x:v>0</x:v>
      </x:c>
      <x:c r="F171" s="45" t="n">
        <x:v>1</x:v>
      </x:c>
      <x:c r="G171" s="45" t="n">
        <x:v>0</x:v>
      </x:c>
      <x:c r="H171" s="45" t="n">
        <x:v>0</x:v>
      </x:c>
      <x:c r="I171" s="45" t="n">
        <x:v>0</x:v>
      </x:c>
      <x:c r="J171" s="45" t="n">
        <x:v>0</x:v>
      </x:c>
      <x:c r="K171" s="45" t="n">
        <x:v>0</x:v>
      </x:c>
      <x:c r="L171" s="45" t="n">
        <x:v>0</x:v>
      </x:c>
      <x:c r="M171" s="45" t="n">
        <x:f>SUM(D171:I171)</x:f>
        <x:v>1</x:v>
      </x:c>
      <x:c r="N171" s="42" t="n">
        <x:f>IF(ABS(M171-1)&gt;0.000001,1,0)</x:f>
        <x:v>0</x:v>
      </x:c>
    </x:row>
    <x:row r="172">
      <x:c r="A172" t="str">
        <x:v>voe</x:v>
      </x:c>
      <x:c r="B172" t="str">
        <x:v>C</x:v>
      </x:c>
      <x:c r="C172" t="str">
        <x:v>e</x:v>
      </x:c>
      <x:c r="D172" s="45" t="n">
        <x:v>0</x:v>
      </x:c>
      <x:c r="E172" s="45" t="n">
        <x:v>1</x:v>
      </x:c>
      <x:c r="F172" s="45" t="n">
        <x:v>0</x:v>
      </x:c>
      <x:c r="G172" s="45" t="n">
        <x:v>0</x:v>
      </x:c>
      <x:c r="H172" s="45" t="n">
        <x:v>0</x:v>
      </x:c>
      <x:c r="I172" s="45" t="n">
        <x:v>0</x:v>
      </x:c>
      <x:c r="J172" s="45" t="n">
        <x:v>0</x:v>
      </x:c>
      <x:c r="K172" s="45" t="n">
        <x:v>1</x:v>
      </x:c>
      <x:c r="L172" s="45" t="n">
        <x:v>0</x:v>
      </x:c>
      <x:c r="M172" s="45" t="n">
        <x:f>SUM(D172:I172)</x:f>
        <x:v>1</x:v>
      </x:c>
      <x:c r="N172" s="42" t="n">
        <x:f>IF(ABS(M172-1)&gt;0.000001,1,0)</x:f>
        <x:v>0</x:v>
      </x:c>
    </x:row>
    <x:row r="173">
      <x:c r="A173" t="str">
        <x:v>vol</x:v>
      </x:c>
      <x:c r="B173" t="str">
        <x:v>A</x:v>
      </x:c>
      <x:c r="C173" t="str">
        <x:v>v</x:v>
      </x:c>
      <x:c r="D173" s="45" t="n">
        <x:v>1</x:v>
      </x:c>
      <x:c r="E173" s="45" t="n">
        <x:v>0</x:v>
      </x:c>
      <x:c r="F173" s="45" t="n">
        <x:v>0</x:v>
      </x:c>
      <x:c r="G173" s="45" t="n">
        <x:v>0</x:v>
      </x:c>
      <x:c r="H173" s="45" t="n">
        <x:v>0</x:v>
      </x:c>
      <x:c r="I173" s="45" t="n">
        <x:v>0</x:v>
      </x:c>
      <x:c r="J173" s="45" t="n">
        <x:v>0</x:v>
      </x:c>
      <x:c r="K173" s="45" t="n">
        <x:v>2</x:v>
      </x:c>
      <x:c r="L173" s="45" t="n">
        <x:v>0</x:v>
      </x:c>
      <x:c r="M173" s="45" t="n">
        <x:f>SUM(D173:I173)</x:f>
        <x:v>1</x:v>
      </x:c>
      <x:c r="N173" s="42" t="n">
        <x:f>IF(ABS(M173-1)&gt;0.000001,1,0)</x:f>
        <x:v>0</x:v>
      </x:c>
    </x:row>
    <x:row r="174">
      <x:c r="A174" t="str">
        <x:v>vol</x:v>
      </x:c>
      <x:c r="B174" t="str">
        <x:v>B</x:v>
      </x:c>
      <x:c r="C174" t="str">
        <x:v>o</x:v>
      </x:c>
      <x:c r="D174" s="45" t="n">
        <x:v>0</x:v>
      </x:c>
      <x:c r="E174" s="45" t="n">
        <x:v>0</x:v>
      </x:c>
      <x:c r="F174" s="45" t="n">
        <x:v>1</x:v>
      </x:c>
      <x:c r="G174" s="45" t="n">
        <x:v>0</x:v>
      </x:c>
      <x:c r="H174" s="45" t="n">
        <x:v>0</x:v>
      </x:c>
      <x:c r="I174" s="45" t="n">
        <x:v>0</x:v>
      </x:c>
      <x:c r="J174" s="45" t="n">
        <x:v>0</x:v>
      </x:c>
      <x:c r="K174" s="45" t="n">
        <x:v>0</x:v>
      </x:c>
      <x:c r="L174" s="45" t="n">
        <x:v>0</x:v>
      </x:c>
      <x:c r="M174" s="45" t="n">
        <x:f>SUM(D174:I174)</x:f>
        <x:v>1</x:v>
      </x:c>
      <x:c r="N174" s="42" t="n">
        <x:f>IF(ABS(M174-1)&gt;0.000001,1,0)</x:f>
        <x:v>0</x:v>
      </x:c>
    </x:row>
    <x:row r="175">
      <x:c r="A175" t="str">
        <x:v>vol</x:v>
      </x:c>
      <x:c r="B175" t="str">
        <x:v>C</x:v>
      </x:c>
      <x:c r="C175" t="str">
        <x:v>l</x:v>
      </x:c>
      <x:c r="D175" s="45" t="n">
        <x:v>0</x:v>
      </x:c>
      <x:c r="E175" s="45" t="n">
        <x:v>0</x:v>
      </x:c>
      <x:c r="F175" s="45" t="n">
        <x:v>0</x:v>
      </x:c>
      <x:c r="G175" s="45" t="n">
        <x:v>1</x:v>
      </x:c>
      <x:c r="H175" s="45" t="n">
        <x:v>0</x:v>
      </x:c>
      <x:c r="I175" s="45" t="n">
        <x:v>0</x:v>
      </x:c>
      <x:c r="J175" s="45" t="n">
        <x:v>0</x:v>
      </x:c>
      <x:c r="K175" s="45" t="n">
        <x:v>0</x:v>
      </x:c>
      <x:c r="L175" s="45" t="n">
        <x:v>1</x:v>
      </x:c>
      <x:c r="M175" s="45" t="n">
        <x:f>SUM(D175:I175)</x:f>
        <x:v>1</x:v>
      </x:c>
      <x:c r="N175" s="42" t="n">
        <x:f>IF(ABS(M175-1)&gt;0.000001,1,0)</x:f>
        <x:v>0</x:v>
      </x:c>
    </x:row>
    <x:row r="176">
      <x:c r="A176" t="str">
        <x:v>voo</x:v>
      </x:c>
      <x:c r="B176" t="str">
        <x:v>A</x:v>
      </x:c>
      <x:c r="C176" t="str">
        <x:v>v</x:v>
      </x:c>
      <x:c r="D176" s="45" t="n">
        <x:v>1</x:v>
      </x:c>
      <x:c r="E176" s="45" t="n">
        <x:v>0</x:v>
      </x:c>
      <x:c r="F176" s="45" t="n">
        <x:v>0</x:v>
      </x:c>
      <x:c r="G176" s="45" t="n">
        <x:v>0</x:v>
      </x:c>
      <x:c r="H176" s="45" t="n">
        <x:v>0</x:v>
      </x:c>
      <x:c r="I176" s="45" t="n">
        <x:v>0</x:v>
      </x:c>
      <x:c r="J176" s="45" t="n">
        <x:v>0</x:v>
      </x:c>
      <x:c r="K176" s="45" t="n">
        <x:v>2</x:v>
      </x:c>
      <x:c r="L176" s="45" t="n">
        <x:v>0</x:v>
      </x:c>
      <x:c r="M176" s="45" t="n">
        <x:f>SUM(D176:I176)</x:f>
        <x:v>1</x:v>
      </x:c>
      <x:c r="N176" s="42" t="n">
        <x:f>IF(ABS(M176-1)&gt;0.000001,1,0)</x:f>
        <x:v>0</x:v>
      </x:c>
    </x:row>
    <x:row r="177">
      <x:c r="A177" t="str">
        <x:v>voo</x:v>
      </x:c>
      <x:c r="B177" t="str">
        <x:v>B</x:v>
      </x:c>
      <x:c r="C177" t="str">
        <x:v>o</x:v>
      </x:c>
      <x:c r="D177" s="45" t="n">
        <x:v>0</x:v>
      </x:c>
      <x:c r="E177" s="45" t="n">
        <x:v>0</x:v>
      </x:c>
      <x:c r="F177" s="45" t="n">
        <x:v>0.5</x:v>
      </x:c>
      <x:c r="G177" s="45" t="n">
        <x:v>0.5</x:v>
      </x:c>
      <x:c r="H177" s="45" t="n">
        <x:v>0</x:v>
      </x:c>
      <x:c r="I177" s="45" t="n">
        <x:v>0</x:v>
      </x:c>
      <x:c r="J177" s="45" t="n">
        <x:v>0.5</x:v>
      </x:c>
      <x:c r="K177" s="45" t="n">
        <x:v>0</x:v>
      </x:c>
      <x:c r="L177" s="45" t="n">
        <x:v>0.5</x:v>
      </x:c>
      <x:c r="M177" s="45" t="n">
        <x:f>SUM(D177:I177)</x:f>
        <x:v>1</x:v>
      </x:c>
      <x:c r="N177" s="42" t="n">
        <x:f>IF(ABS(M177-1)&gt;0.000001,1,0)</x:f>
        <x:v>0</x:v>
      </x:c>
    </x:row>
    <x:row r="178">
      <x:c r="A178" t="str">
        <x:v>voo</x:v>
      </x:c>
      <x:c r="B178" t="str">
        <x:v>C</x:v>
      </x:c>
      <x:c r="C178" t="str">
        <x:v>o</x:v>
      </x:c>
      <x:c r="D178" s="45" t="n">
        <x:v>0</x:v>
      </x:c>
      <x:c r="E178" s="45" t="n">
        <x:v>0</x:v>
      </x:c>
      <x:c r="F178" s="45" t="n">
        <x:v>0.5</x:v>
      </x:c>
      <x:c r="G178" s="45" t="n">
        <x:v>0.5</x:v>
      </x:c>
      <x:c r="H178" s="45" t="n">
        <x:v>0</x:v>
      </x:c>
      <x:c r="I178" s="45" t="n">
        <x:v>0</x:v>
      </x:c>
      <x:c r="J178" s="45" t="n">
        <x:v>0.5</x:v>
      </x:c>
      <x:c r="K178" s="45" t="n">
        <x:v>0</x:v>
      </x:c>
      <x:c r="L178" s="45" t="n">
        <x:v>0.5</x:v>
      </x:c>
      <x:c r="M178" s="45" t="n">
        <x:f>SUM(D178:I178)</x:f>
        <x:v>1</x:v>
      </x:c>
      <x:c r="N178" s="42" t="n">
        <x:f>IF(ABS(M178-1)&gt;0.000001,1,0)</x:f>
        <x:v>0</x:v>
      </x:c>
    </x:row>
    <x:row r="179">
      <x:c r="A179" t="str">
        <x:v>vov</x:v>
      </x:c>
      <x:c r="B179" t="str">
        <x:v>A</x:v>
      </x:c>
      <x:c r="C179" t="str">
        <x:v>v</x:v>
      </x:c>
      <x:c r="D179" s="45" t="n">
        <x:v>0.5</x:v>
      </x:c>
      <x:c r="E179" s="45" t="n">
        <x:v>0.5</x:v>
      </x:c>
      <x:c r="F179" s="45" t="n">
        <x:v>0</x:v>
      </x:c>
      <x:c r="G179" s="45" t="n">
        <x:v>0</x:v>
      </x:c>
      <x:c r="H179" s="45" t="n">
        <x:v>0</x:v>
      </x:c>
      <x:c r="I179" s="45" t="n">
        <x:v>0</x:v>
      </x:c>
      <x:c r="J179" s="45" t="n">
        <x:v>0.5</x:v>
      </x:c>
      <x:c r="K179" s="45" t="n">
        <x:v>1.5</x:v>
      </x:c>
      <x:c r="L179" s="45" t="n">
        <x:v>0</x:v>
      </x:c>
      <x:c r="M179" s="45" t="n">
        <x:f>SUM(D179:I179)</x:f>
        <x:v>1</x:v>
      </x:c>
      <x:c r="N179" s="42" t="n">
        <x:f>IF(ABS(M179-1)&gt;0.000001,1,0)</x:f>
        <x:v>0</x:v>
      </x:c>
    </x:row>
    <x:row r="180">
      <x:c r="A180" t="str">
        <x:v>vov</x:v>
      </x:c>
      <x:c r="B180" t="str">
        <x:v>B</x:v>
      </x:c>
      <x:c r="C180" t="str">
        <x:v>o</x:v>
      </x:c>
      <x:c r="D180" s="45" t="n">
        <x:v>0</x:v>
      </x:c>
      <x:c r="E180" s="45" t="n">
        <x:v>0</x:v>
      </x:c>
      <x:c r="F180" s="45" t="n">
        <x:v>1</x:v>
      </x:c>
      <x:c r="G180" s="45" t="n">
        <x:v>0</x:v>
      </x:c>
      <x:c r="H180" s="45" t="n">
        <x:v>0</x:v>
      </x:c>
      <x:c r="I180" s="45" t="n">
        <x:v>0</x:v>
      </x:c>
      <x:c r="J180" s="45" t="n">
        <x:v>0</x:v>
      </x:c>
      <x:c r="K180" s="45" t="n">
        <x:v>0</x:v>
      </x:c>
      <x:c r="L180" s="45" t="n">
        <x:v>0</x:v>
      </x:c>
      <x:c r="M180" s="45" t="n">
        <x:f>SUM(D180:I180)</x:f>
        <x:v>1</x:v>
      </x:c>
      <x:c r="N180" s="42" t="n">
        <x:f>IF(ABS(M180-1)&gt;0.000001,1,0)</x:f>
        <x:v>0</x:v>
      </x:c>
    </x:row>
    <x:row r="181">
      <x:c r="A181" t="str">
        <x:v>vov</x:v>
      </x:c>
      <x:c r="B181" t="str">
        <x:v>C</x:v>
      </x:c>
      <x:c r="C181" t="str">
        <x:v>v</x:v>
      </x:c>
      <x:c r="D181" s="45" t="n">
        <x:v>0.5</x:v>
      </x:c>
      <x:c r="E181" s="45" t="n">
        <x:v>0.5</x:v>
      </x:c>
      <x:c r="F181" s="45" t="n">
        <x:v>0</x:v>
      </x:c>
      <x:c r="G181" s="45" t="n">
        <x:v>0</x:v>
      </x:c>
      <x:c r="H181" s="45" t="n">
        <x:v>0</x:v>
      </x:c>
      <x:c r="I181" s="45" t="n">
        <x:v>0</x:v>
      </x:c>
      <x:c r="J181" s="45" t="n">
        <x:v>0.5</x:v>
      </x:c>
      <x:c r="K181" s="45" t="n">
        <x:v>1.5</x:v>
      </x:c>
      <x:c r="L181" s="45" t="n">
        <x:v>0</x:v>
      </x:c>
      <x:c r="M181" s="45" t="n">
        <x:f>SUM(D181:I181)</x:f>
        <x:v>1</x:v>
      </x:c>
      <x:c r="N181" s="42" t="n">
        <x:f>IF(ABS(M181-1)&gt;0.000001,1,0)</x:f>
        <x:v>0</x:v>
      </x:c>
    </x:row>
    <x:row r="182">
      <x:c r="A182" t="str">
        <x:v>vve</x:v>
      </x:c>
      <x:c r="B182" t="str">
        <x:v>A</x:v>
      </x:c>
      <x:c r="C182" t="str">
        <x:v>v</x:v>
      </x:c>
      <x:c r="D182" s="45" t="n">
        <x:v>0.5</x:v>
      </x:c>
      <x:c r="E182" s="45" t="n">
        <x:v>0.5</x:v>
      </x:c>
      <x:c r="F182" s="45" t="n">
        <x:v>0</x:v>
      </x:c>
      <x:c r="G182" s="45" t="n">
        <x:v>0</x:v>
      </x:c>
      <x:c r="H182" s="45" t="n">
        <x:v>0</x:v>
      </x:c>
      <x:c r="I182" s="45" t="n">
        <x:v>0</x:v>
      </x:c>
      <x:c r="J182" s="45" t="n">
        <x:v>0.5</x:v>
      </x:c>
      <x:c r="K182" s="45" t="n">
        <x:v>1.5</x:v>
      </x:c>
      <x:c r="L182" s="45" t="n">
        <x:v>0</x:v>
      </x:c>
      <x:c r="M182" s="45" t="n">
        <x:f>SUM(D182:I182)</x:f>
        <x:v>1</x:v>
      </x:c>
      <x:c r="N182" s="42" t="n">
        <x:f>IF(ABS(M182-1)&gt;0.000001,1,0)</x:f>
        <x:v>0</x:v>
      </x:c>
    </x:row>
    <x:row r="183">
      <x:c r="A183" t="str">
        <x:v>vve</x:v>
      </x:c>
      <x:c r="B183" t="str">
        <x:v>B</x:v>
      </x:c>
      <x:c r="C183" t="str">
        <x:v>v</x:v>
      </x:c>
      <x:c r="D183" s="45" t="n">
        <x:v>0.5</x:v>
      </x:c>
      <x:c r="E183" s="45" t="n">
        <x:v>0.5</x:v>
      </x:c>
      <x:c r="F183" s="45" t="n">
        <x:v>0</x:v>
      </x:c>
      <x:c r="G183" s="45" t="n">
        <x:v>0</x:v>
      </x:c>
      <x:c r="H183" s="45" t="n">
        <x:v>0</x:v>
      </x:c>
      <x:c r="I183" s="45" t="n">
        <x:v>0</x:v>
      </x:c>
      <x:c r="J183" s="45" t="n">
        <x:v>0.5</x:v>
      </x:c>
      <x:c r="K183" s="45" t="n">
        <x:v>1.5</x:v>
      </x:c>
      <x:c r="L183" s="45" t="n">
        <x:v>0</x:v>
      </x:c>
      <x:c r="M183" s="45" t="n">
        <x:f>SUM(D183:I183)</x:f>
        <x:v>1</x:v>
      </x:c>
      <x:c r="N183" s="42" t="n">
        <x:f>IF(ABS(M183-1)&gt;0.000001,1,0)</x:f>
        <x:v>0</x:v>
      </x:c>
    </x:row>
    <x:row r="184">
      <x:c r="A184" t="str">
        <x:v>vve</x:v>
      </x:c>
      <x:c r="B184" t="str">
        <x:v>C</x:v>
      </x:c>
      <x:c r="C184" t="str">
        <x:v>e</x:v>
      </x:c>
      <x:c r="D184" s="45" t="n">
        <x:v>0</x:v>
      </x:c>
      <x:c r="E184" s="45" t="n">
        <x:v>0</x:v>
      </x:c>
      <x:c r="F184" s="45" t="n">
        <x:v>1</x:v>
      </x:c>
      <x:c r="G184" s="45" t="n">
        <x:v>0</x:v>
      </x:c>
      <x:c r="H184" s="45" t="n">
        <x:v>0</x:v>
      </x:c>
      <x:c r="I184" s="45" t="n">
        <x:v>0</x:v>
      </x:c>
      <x:c r="J184" s="45" t="n">
        <x:v>1</x:v>
      </x:c>
      <x:c r="K184" s="45" t="n">
        <x:v>0</x:v>
      </x:c>
      <x:c r="L184" s="45" t="n">
        <x:v>0</x:v>
      </x:c>
      <x:c r="M184" s="45" t="n">
        <x:f>SUM(D184:I184)</x:f>
        <x:v>1</x:v>
      </x:c>
      <x:c r="N184" s="42" t="n">
        <x:f>IF(ABS(M184-1)&gt;0.000001,1,0)</x:f>
        <x:v>0</x:v>
      </x:c>
    </x:row>
    <x:row r="185">
      <x:c r="A185" t="str">
        <x:v>vvl</x:v>
      </x:c>
      <x:c r="B185" t="str">
        <x:v>A</x:v>
      </x:c>
      <x:c r="C185" t="str">
        <x:v>v</x:v>
      </x:c>
      <x:c r="D185" s="45" t="n">
        <x:v>0.5</x:v>
      </x:c>
      <x:c r="E185" s="45" t="n">
        <x:v>0.5</x:v>
      </x:c>
      <x:c r="F185" s="45" t="n">
        <x:v>0</x:v>
      </x:c>
      <x:c r="G185" s="45" t="n">
        <x:v>0</x:v>
      </x:c>
      <x:c r="H185" s="45" t="n">
        <x:v>0</x:v>
      </x:c>
      <x:c r="I185" s="45" t="n">
        <x:v>0</x:v>
      </x:c>
      <x:c r="J185" s="45" t="n">
        <x:v>0.5</x:v>
      </x:c>
      <x:c r="K185" s="45" t="n">
        <x:v>1.5</x:v>
      </x:c>
      <x:c r="L185" s="45" t="n">
        <x:v>0</x:v>
      </x:c>
      <x:c r="M185" s="45" t="n">
        <x:f>SUM(D185:I185)</x:f>
        <x:v>1</x:v>
      </x:c>
      <x:c r="N185" s="42" t="n">
        <x:f>IF(ABS(M185-1)&gt;0.000001,1,0)</x:f>
        <x:v>0</x:v>
      </x:c>
    </x:row>
    <x:row r="186">
      <x:c r="A186" t="str">
        <x:v>vvl</x:v>
      </x:c>
      <x:c r="B186" t="str">
        <x:v>B</x:v>
      </x:c>
      <x:c r="C186" t="str">
        <x:v>v</x:v>
      </x:c>
      <x:c r="D186" s="45" t="n">
        <x:v>0.5</x:v>
      </x:c>
      <x:c r="E186" s="45" t="n">
        <x:v>0.5</x:v>
      </x:c>
      <x:c r="F186" s="45" t="n">
        <x:v>0</x:v>
      </x:c>
      <x:c r="G186" s="45" t="n">
        <x:v>0</x:v>
      </x:c>
      <x:c r="H186" s="45" t="n">
        <x:v>0</x:v>
      </x:c>
      <x:c r="I186" s="45" t="n">
        <x:v>0</x:v>
      </x:c>
      <x:c r="J186" s="45" t="n">
        <x:v>0.5</x:v>
      </x:c>
      <x:c r="K186" s="45" t="n">
        <x:v>1.5</x:v>
      </x:c>
      <x:c r="L186" s="45" t="n">
        <x:v>0</x:v>
      </x:c>
      <x:c r="M186" s="45" t="n">
        <x:f>SUM(D186:I186)</x:f>
        <x:v>1</x:v>
      </x:c>
      <x:c r="N186" s="42" t="n">
        <x:f>IF(ABS(M186-1)&gt;0.000001,1,0)</x:f>
        <x:v>0</x:v>
      </x:c>
    </x:row>
    <x:row r="187">
      <x:c r="A187" t="str">
        <x:v>vvl</x:v>
      </x:c>
      <x:c r="B187" t="str">
        <x:v>C</x:v>
      </x:c>
      <x:c r="C187" t="str">
        <x:v>l</x:v>
      </x:c>
      <x:c r="D187" s="45" t="n">
        <x:v>0</x:v>
      </x:c>
      <x:c r="E187" s="45" t="n">
        <x:v>0</x:v>
      </x:c>
      <x:c r="F187" s="45" t="n">
        <x:v>0</x:v>
      </x:c>
      <x:c r="G187" s="45" t="n">
        <x:v>1</x:v>
      </x:c>
      <x:c r="H187" s="45" t="n">
        <x:v>0</x:v>
      </x:c>
      <x:c r="I187" s="45" t="n">
        <x:v>0</x:v>
      </x:c>
      <x:c r="J187" s="45" t="n">
        <x:v>0</x:v>
      </x:c>
      <x:c r="K187" s="45" t="n">
        <x:v>0</x:v>
      </x:c>
      <x:c r="L187" s="45" t="n">
        <x:v>1</x:v>
      </x:c>
      <x:c r="M187" s="45" t="n">
        <x:f>SUM(D187:I187)</x:f>
        <x:v>1</x:v>
      </x:c>
      <x:c r="N187" s="42" t="n">
        <x:f>IF(ABS(M187-1)&gt;0.000001,1,0)</x:f>
        <x:v>0</x:v>
      </x:c>
    </x:row>
    <x:row r="188">
      <x:c r="A188" t="str">
        <x:v>vvo</x:v>
      </x:c>
      <x:c r="B188" t="str">
        <x:v>A</x:v>
      </x:c>
      <x:c r="C188" t="str">
        <x:v>v</x:v>
      </x:c>
      <x:c r="D188" s="45" t="n">
        <x:v>0.5</x:v>
      </x:c>
      <x:c r="E188" s="45" t="n">
        <x:v>0.5</x:v>
      </x:c>
      <x:c r="F188" s="45" t="n">
        <x:v>0</x:v>
      </x:c>
      <x:c r="G188" s="45" t="n">
        <x:v>0</x:v>
      </x:c>
      <x:c r="H188" s="45" t="n">
        <x:v>0</x:v>
      </x:c>
      <x:c r="I188" s="45" t="n">
        <x:v>0</x:v>
      </x:c>
      <x:c r="J188" s="45" t="n">
        <x:v>0.5</x:v>
      </x:c>
      <x:c r="K188" s="45" t="n">
        <x:v>1.5</x:v>
      </x:c>
      <x:c r="L188" s="45" t="n">
        <x:v>0</x:v>
      </x:c>
      <x:c r="M188" s="45" t="n">
        <x:f>SUM(D188:I188)</x:f>
        <x:v>1</x:v>
      </x:c>
      <x:c r="N188" s="42" t="n">
        <x:f>IF(ABS(M188-1)&gt;0.000001,1,0)</x:f>
        <x:v>0</x:v>
      </x:c>
    </x:row>
    <x:row r="189">
      <x:c r="A189" t="str">
        <x:v>vvo</x:v>
      </x:c>
      <x:c r="B189" t="str">
        <x:v>B</x:v>
      </x:c>
      <x:c r="C189" t="str">
        <x:v>v</x:v>
      </x:c>
      <x:c r="D189" s="45" t="n">
        <x:v>0.5</x:v>
      </x:c>
      <x:c r="E189" s="45" t="n">
        <x:v>0.5</x:v>
      </x:c>
      <x:c r="F189" s="45" t="n">
        <x:v>0</x:v>
      </x:c>
      <x:c r="G189" s="45" t="n">
        <x:v>0</x:v>
      </x:c>
      <x:c r="H189" s="45" t="n">
        <x:v>0</x:v>
      </x:c>
      <x:c r="I189" s="45" t="n">
        <x:v>0</x:v>
      </x:c>
      <x:c r="J189" s="45" t="n">
        <x:v>0.5</x:v>
      </x:c>
      <x:c r="K189" s="45" t="n">
        <x:v>1.5</x:v>
      </x:c>
      <x:c r="L189" s="45" t="n">
        <x:v>0</x:v>
      </x:c>
      <x:c r="M189" s="45" t="n">
        <x:f>SUM(D189:I189)</x:f>
        <x:v>1</x:v>
      </x:c>
      <x:c r="N189" s="42" t="n">
        <x:f>IF(ABS(M189-1)&gt;0.000001,1,0)</x:f>
        <x:v>0</x:v>
      </x:c>
    </x:row>
    <x:row r="190">
      <x:c r="A190" t="str">
        <x:v>vvo</x:v>
      </x:c>
      <x:c r="B190" t="str">
        <x:v>C</x:v>
      </x:c>
      <x:c r="C190" t="str">
        <x:v>o</x:v>
      </x:c>
      <x:c r="D190" s="45" t="n">
        <x:v>0</x:v>
      </x:c>
      <x:c r="E190" s="45" t="n">
        <x:v>0</x:v>
      </x:c>
      <x:c r="F190" s="45" t="n">
        <x:v>1</x:v>
      </x:c>
      <x:c r="G190" s="45" t="n">
        <x:v>0</x:v>
      </x:c>
      <x:c r="H190" s="45" t="n">
        <x:v>0</x:v>
      </x:c>
      <x:c r="I190" s="45" t="n">
        <x:v>0</x:v>
      </x:c>
      <x:c r="J190" s="45" t="n">
        <x:v>0</x:v>
      </x:c>
      <x:c r="K190" s="45" t="n">
        <x:v>0</x:v>
      </x:c>
      <x:c r="L190" s="45" t="n">
        <x:v>0</x:v>
      </x:c>
      <x:c r="M190" s="45" t="n">
        <x:f>SUM(D190:I190)</x:f>
        <x:v>1</x:v>
      </x:c>
      <x:c r="N190" s="42" t="n">
        <x:f>IF(ABS(M190-1)&gt;0.000001,1,0)</x:f>
        <x:v>0</x:v>
      </x:c>
    </x:row>
    <x:row r="191">
      <x:c r="A191" t="str">
        <x:v>vvv</x:v>
      </x:c>
      <x:c r="B191" t="str">
        <x:v>A</x:v>
      </x:c>
      <x:c r="C191" t="str">
        <x:v>v</x:v>
      </x:c>
      <x:c r="D191" s="45" t="n">
        <x:v>0.3333333333333333</x:v>
      </x:c>
      <x:c r="E191" s="45" t="n">
        <x:v>0.3333333333333333</x:v>
      </x:c>
      <x:c r="F191" s="45" t="n">
        <x:v>0.3333333333333333</x:v>
      </x:c>
      <x:c r="G191" s="45" t="n">
        <x:v>0</x:v>
      </x:c>
      <x:c r="H191" s="45" t="n">
        <x:v>0</x:v>
      </x:c>
      <x:c r="I191" s="45" t="n">
        <x:v>0</x:v>
      </x:c>
      <x:c r="J191" s="45" t="n">
        <x:v>1</x:v>
      </x:c>
      <x:c r="K191" s="45" t="n">
        <x:v>1</x:v>
      </x:c>
      <x:c r="L191" s="45" t="n">
        <x:v>0</x:v>
      </x:c>
      <x:c r="M191" s="45" t="n">
        <x:f>SUM(D191:I191)</x:f>
        <x:v>1</x:v>
      </x:c>
      <x:c r="N191" s="42" t="n">
        <x:f>IF(ABS(M191-1)&gt;0.000001,1,0)</x:f>
        <x:v>0</x:v>
      </x:c>
    </x:row>
    <x:row r="192">
      <x:c r="A192" t="str">
        <x:v>vvv</x:v>
      </x:c>
      <x:c r="B192" t="str">
        <x:v>B</x:v>
      </x:c>
      <x:c r="C192" t="str">
        <x:v>v</x:v>
      </x:c>
      <x:c r="D192" s="45" t="n">
        <x:v>0.3333333333333333</x:v>
      </x:c>
      <x:c r="E192" s="45" t="n">
        <x:v>0.3333333333333333</x:v>
      </x:c>
      <x:c r="F192" s="45" t="n">
        <x:v>0.3333333333333333</x:v>
      </x:c>
      <x:c r="G192" s="45" t="n">
        <x:v>0</x:v>
      </x:c>
      <x:c r="H192" s="45" t="n">
        <x:v>0</x:v>
      </x:c>
      <x:c r="I192" s="45" t="n">
        <x:v>0</x:v>
      </x:c>
      <x:c r="J192" s="45" t="n">
        <x:v>1</x:v>
      </x:c>
      <x:c r="K192" s="45" t="n">
        <x:v>1</x:v>
      </x:c>
      <x:c r="L192" s="45" t="n">
        <x:v>0</x:v>
      </x:c>
      <x:c r="M192" s="45" t="n">
        <x:f>SUM(D192:I192)</x:f>
        <x:v>1</x:v>
      </x:c>
      <x:c r="N192" s="42" t="n">
        <x:f>IF(ABS(M192-1)&gt;0.000001,1,0)</x:f>
        <x:v>0</x:v>
      </x:c>
    </x:row>
    <x:row r="193">
      <x:c r="A193" t="str">
        <x:v>vvv</x:v>
      </x:c>
      <x:c r="B193" t="str">
        <x:v>C</x:v>
      </x:c>
      <x:c r="C193" t="str">
        <x:v>v</x:v>
      </x:c>
      <x:c r="D193" s="45" t="n">
        <x:v>0.3333333333333333</x:v>
      </x:c>
      <x:c r="E193" s="45" t="n">
        <x:v>0.3333333333333333</x:v>
      </x:c>
      <x:c r="F193" s="45" t="n">
        <x:v>0.3333333333333333</x:v>
      </x:c>
      <x:c r="G193" s="45" t="n">
        <x:v>0</x:v>
      </x:c>
      <x:c r="H193" s="45" t="n">
        <x:v>0</x:v>
      </x:c>
      <x:c r="I193" s="45" t="n">
        <x:v>0</x:v>
      </x:c>
      <x:c r="J193" s="45" t="n">
        <x:v>1</x:v>
      </x:c>
      <x:c r="K193" s="45" t="n">
        <x:v>1</x:v>
      </x:c>
      <x:c r="L193" s="45" t="n">
        <x:v>0</x:v>
      </x:c>
      <x:c r="M193" s="45" t="n">
        <x:f>SUM(D193:I193)</x:f>
        <x:v>1</x:v>
      </x:c>
      <x:c r="N193" s="42" t="n">
        <x:f>IF(ABS(M193-1)&gt;0.000001,1,0)</x:f>
        <x:v>0</x:v>
      </x:c>
    </x:row>
  </x:sheetData>
  <x:conditionalFormatting sqref="N2:N193">
    <x:cfRule type="cellIs" dxfId="9" priority="1" operator="equal">
      <x:formula>1</x:formula>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31" hidden="0" customWidth="1"/>
    <x:col min="4" max="4" width="38" hidden="0" customWidth="1"/>
    <x:col min="5" max="5" width="42" hidden="0" customWidth="1"/>
    <x:col min="6" max="6" width="50" hidden="0" customWidth="1"/>
  </x:cols>
  <x:sheetData>
    <x:row r="1" ht="28" customHeight="1">
      <x:c r="A1" s="41" t="str">
        <x:v>Toll Rules: Stated ISC - IPC Method And Printed-Sign Check</x:v>
      </x:c>
      <x:c r="B1" s="41"/>
      <x:c r="C1" s="41"/>
      <x:c r="D1" s="41"/>
      <x:c r="E1" s="41"/>
      <x:c r="F1" s="41"/>
    </x:row>
    <x:row r="3">
      <x:c r="A3" s="26" t="str">
        <x:v>Symbol</x:v>
      </x:c>
      <x:c r="B3" s="39" t="str">
        <x:v>Selected value</x:v>
      </x:c>
      <x:c r="C3" s="39" t="str">
        <x:v>Implemented formula</x:v>
      </x:c>
      <x:c r="D3" s="39" t="str">
        <x:v>Toll placement</x:v>
      </x:c>
      <x:c r="E3" s="39" t="str">
        <x:v>Printed source</x:v>
      </x:c>
      <x:c r="F3" s="27" t="str">
        <x:v>Interpretation</x:v>
      </x:c>
    </x:row>
    <x:row r="4">
      <x:c r="A4" s="28" t="str">
        <x:v>alpha</x:v>
      </x:c>
      <x:c r="B4" s="40" t="n">
        <x:f>MAX('Inputs'!$B$5-'Inputs'!$B$4,0)</x:f>
        <x:v>0</x:v>
      </x:c>
      <x:c r="C4" t="str">
        <x:v>MAX(D-E,0)</x:v>
      </x:c>
      <x:c r="D4" t="str">
        <x:v>v | vv</x:v>
      </x:c>
      <x:c r="E4" t="str">
        <x:v>same</x:v>
      </x:c>
      <x:c r="F4" t="str">
        <x:v>Table: calculated tolls</x:v>
      </x:c>
    </x:row>
    <x:row r="5">
      <x:c r="A5" s="28" t="str">
        <x:v>beta</x:v>
      </x:c>
      <x:c r="B5" s="40" t="n">
        <x:f>MAX((3/2)*('Inputs'!$B$5-'Inputs'!$B$4),0)</x:f>
        <x:v>0</x:v>
      </x:c>
      <x:c r="C5" t="str">
        <x:v>MAX(1.5D-1.5E,0)</x:v>
      </x:c>
      <x:c r="D5" t="str">
        <x:v>v | ve</x:v>
      </x:c>
      <x:c r="E5" t="str">
        <x:v>same</x:v>
      </x:c>
      <x:c r="F5" t="str">
        <x:v>Table: calculated tolls</x:v>
      </x:c>
    </x:row>
    <x:row r="6">
      <x:c r="A6" s="28" t="str">
        <x:v>delta</x:v>
      </x:c>
      <x:c r="B6" s="40" t="n">
        <x:f>MAX((1/2)*('Inputs'!$B$5-'Inputs'!$B$4),0)</x:f>
        <x:v>0</x:v>
      </x:c>
      <x:c r="C6" t="str">
        <x:v>MAX(0.5D-0.5E,0)</x:v>
      </x:c>
      <x:c r="D6" t="str">
        <x:v>v | vo, v|vl, e|ve, e|el</x:v>
      </x:c>
      <x:c r="E6" t="str">
        <x:v>same</x:v>
      </x:c>
      <x:c r="F6" t="str">
        <x:v>Table: calculated tolls</x:v>
      </x:c>
    </x:row>
    <x:row r="7">
      <x:c r="A7" s="28" t="str">
        <x:v>theta</x:v>
      </x:c>
      <x:c r="B7" s="40" t="n">
        <x:f>MAX('Inputs'!$B$5+(2/3)*'Inputs'!$B$6-(1/3)*'Inputs'!$B$4,0)</x:f>
        <x:v>2.6666666666666665</x:v>
      </x:c>
      <x:c r="C7" t="str">
        <x:v>MAX(D+2L/3-E/3,0)</x:v>
      </x:c>
      <x:c r="D7" t="str">
        <x:v>e | ee</x:v>
      </x:c>
      <x:c r="E7" t="str">
        <x:v>same</x:v>
      </x:c>
      <x:c r="F7" t="str">
        <x:v>Table: calculated tolls</x:v>
      </x:c>
    </x:row>
    <x:row r="8">
      <x:c r="A8" s="28" t="str">
        <x:v>epsilon</x:v>
      </x:c>
      <x:c r="B8" s="40" t="n">
        <x:f>MAX((3/2)*'Inputs'!$B$5+'Inputs'!$B$6-(1/2)*'Inputs'!$B$4,0)</x:f>
        <x:v>4</x:v>
      </x:c>
      <x:c r="C8" t="str">
        <x:v>MAX(1.5D+L-0.5E,0)</x:v>
      </x:c>
      <x:c r="D8" t="str">
        <x:v>e | eo</x:v>
      </x:c>
      <x:c r="E8" t="str">
        <x:v>MAX(1.5D+L+0.5E,0)</x:v>
      </x:c>
      <x:c r="F8" t="str">
        <x:v>ISC (2D+L) minus IPC 0.5(E+D); printed E sign is wrong</x:v>
      </x:c>
    </x:row>
    <x:row r="9">
      <x:c r="A9" s="28" t="str">
        <x:v>mu</x:v>
      </x:c>
      <x:c r="B9" s="40" t="n">
        <x:f>(1/2)*('Inputs'!$B$5+'Inputs'!$B$6)</x:f>
        <x:v>2.5</x:v>
      </x:c>
      <x:c r="C9" t="str">
        <x:v>0.5(D+L)</x:v>
      </x:c>
      <x:c r="D9" t="str">
        <x:v>o | vo, o|eo, l|vl, l|el, l|ol</x:v>
      </x:c>
      <x:c r="E9" t="str">
        <x:v>same</x:v>
      </x:c>
      <x:c r="F9" t="str">
        <x:v>Table: calculated tolls</x:v>
      </x:c>
    </x:row>
    <x:row r="10">
      <x:c r="A10" s="28" t="str">
        <x:v>lambda</x:v>
      </x:c>
      <x:c r="B10" s="40" t="n">
        <x:f>'Inputs'!$B$5+'Inputs'!$B$6</x:f>
        <x:v>5</x:v>
      </x:c>
      <x:c r="C10" t="str">
        <x:v>D+L</x:v>
      </x:c>
      <x:c r="D10" t="str">
        <x:v>o | oo, l|ll</x:v>
      </x:c>
      <x:c r="E10" t="str">
        <x:v>same</x:v>
      </x:c>
      <x:c r="F10" t="str">
        <x:v>Table: calculated tolls</x:v>
      </x:c>
    </x:row>
    <x:row r="11">
      <x:c r="A11" s="28" t="str">
        <x:v>sigma</x:v>
      </x:c>
      <x:c r="B11" s="40" t="n">
        <x:f>(3/2)*('Inputs'!$B$5+'Inputs'!$B$6)</x:f>
        <x:v>7.5</x:v>
      </x:c>
      <x:c r="C11" t="str">
        <x:v>1.5(D+L)</x:v>
      </x:c>
      <x:c r="D11" t="str">
        <x:v>o | ol</x:v>
      </x:c>
      <x:c r="E11" t="str">
        <x:v>same</x:v>
      </x:c>
      <x:c r="F11" t="str">
        <x:v>Table: calculated tolls</x:v>
      </x:c>
    </x:row>
  </x:sheetData>
  <x:mergeCells>
    <x:mergeCell ref="A1:F1"/>
  </x:mergeCells>
  <x:pageMargins left="0.7" right="0.7" top="0.75" bottom="0.75" header="0.3" footer="0.3"/>
</x:worksheet>
</file>